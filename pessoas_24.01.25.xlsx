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5. Projetos TIC - Química - 232\ptic232\"/>
    </mc:Choice>
  </mc:AlternateContent>
  <xr:revisionPtr revIDLastSave="0" documentId="8_{7CC20899-BF23-4B7A-ADA1-91A9175F7B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ssoas" sheetId="1" r:id="rId1"/>
  </sheets>
  <definedNames>
    <definedName name="_xlnm._FilterDatabase" localSheetId="0" hidden="1">pessoas!$A$1:$M$1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75" i="1" l="1"/>
  <c r="G2074" i="1"/>
  <c r="G2073" i="1"/>
  <c r="F2075" i="1"/>
  <c r="F2074" i="1"/>
  <c r="F207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K2" i="1"/>
  <c r="L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H9" i="1"/>
  <c r="H3" i="1"/>
  <c r="H4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C2074" i="1" l="1"/>
</calcChain>
</file>

<file path=xl/sharedStrings.xml><?xml version="1.0" encoding="utf-8"?>
<sst xmlns="http://schemas.openxmlformats.org/spreadsheetml/2006/main" count="14505" uniqueCount="4197">
  <si>
    <t>nome</t>
  </si>
  <si>
    <t>data_nasc</t>
  </si>
  <si>
    <t>sexo</t>
  </si>
  <si>
    <t>cidade</t>
  </si>
  <si>
    <t>estado</t>
  </si>
  <si>
    <t>altura</t>
  </si>
  <si>
    <t>peso</t>
  </si>
  <si>
    <t>tipo_sanguineo</t>
  </si>
  <si>
    <t>Pedro Henrique Julio Sebastião da Rosa</t>
  </si>
  <si>
    <t>11/01/2002</t>
  </si>
  <si>
    <t>Masculino</t>
  </si>
  <si>
    <t>Caucaia</t>
  </si>
  <si>
    <t>CE</t>
  </si>
  <si>
    <t>1,71</t>
  </si>
  <si>
    <t>AB-</t>
  </si>
  <si>
    <t>Heitor Danilo Teixeira</t>
  </si>
  <si>
    <t>06/02/1967</t>
  </si>
  <si>
    <t>Campo Grande</t>
  </si>
  <si>
    <t>MS</t>
  </si>
  <si>
    <t>1,77</t>
  </si>
  <si>
    <t>O-</t>
  </si>
  <si>
    <t>Elisa Cláudia Rayssa da Silva</t>
  </si>
  <si>
    <t>27/03/1983</t>
  </si>
  <si>
    <t>Feminino</t>
  </si>
  <si>
    <t>Natal</t>
  </si>
  <si>
    <t>RN</t>
  </si>
  <si>
    <t>A+</t>
  </si>
  <si>
    <t>Nathan Elias da Mota</t>
  </si>
  <si>
    <t>05/10/2004</t>
  </si>
  <si>
    <t>Cacoal</t>
  </si>
  <si>
    <t>RO</t>
  </si>
  <si>
    <t>1,64</t>
  </si>
  <si>
    <t>B+</t>
  </si>
  <si>
    <t>Alexandre João Lorenzo Aragão</t>
  </si>
  <si>
    <t>13/11/1947</t>
  </si>
  <si>
    <t>Timon</t>
  </si>
  <si>
    <t>MA</t>
  </si>
  <si>
    <t>1,97</t>
  </si>
  <si>
    <t>Milena Andreia Antonella Gomes</t>
  </si>
  <si>
    <t>25/10/1992</t>
  </si>
  <si>
    <t>Campina Grande</t>
  </si>
  <si>
    <t>PB</t>
  </si>
  <si>
    <t>1,79</t>
  </si>
  <si>
    <t>Isabella Tânia dos Santos</t>
  </si>
  <si>
    <t>21/07/1991</t>
  </si>
  <si>
    <t>Goiânia</t>
  </si>
  <si>
    <t>GO</t>
  </si>
  <si>
    <t>AB+</t>
  </si>
  <si>
    <t>Sebastião Diogo Assis</t>
  </si>
  <si>
    <t>10/03/1979</t>
  </si>
  <si>
    <t>Magé</t>
  </si>
  <si>
    <t>RJ</t>
  </si>
  <si>
    <t>Alana Joana Baptista</t>
  </si>
  <si>
    <t>01/02/1976</t>
  </si>
  <si>
    <t>Ponta Grossa</t>
  </si>
  <si>
    <t>PR</t>
  </si>
  <si>
    <t>1,69</t>
  </si>
  <si>
    <t>Benjamin Manoel Vitor da Luz</t>
  </si>
  <si>
    <t>24/10/1960</t>
  </si>
  <si>
    <t>Palmas</t>
  </si>
  <si>
    <t>TO</t>
  </si>
  <si>
    <t>1,89</t>
  </si>
  <si>
    <t>Ruan Ryan Alves</t>
  </si>
  <si>
    <t>03/05/1974</t>
  </si>
  <si>
    <t>Salvador</t>
  </si>
  <si>
    <t>BA</t>
  </si>
  <si>
    <t>1,88</t>
  </si>
  <si>
    <t>Jéssica Bianca Castro</t>
  </si>
  <si>
    <t>03/07/1994</t>
  </si>
  <si>
    <t>Aracaju</t>
  </si>
  <si>
    <t>SE</t>
  </si>
  <si>
    <t>1,83</t>
  </si>
  <si>
    <t>Marlene Carolina Almada</t>
  </si>
  <si>
    <t>08/06/1996</t>
  </si>
  <si>
    <t>Macapá</t>
  </si>
  <si>
    <t>AP</t>
  </si>
  <si>
    <t>A-</t>
  </si>
  <si>
    <t>Sophia Sarah Tatiane Melo</t>
  </si>
  <si>
    <t>20/01/1969</t>
  </si>
  <si>
    <t>Novo Gama</t>
  </si>
  <si>
    <t>Bruno Luís da Costa</t>
  </si>
  <si>
    <t>02/09/2003</t>
  </si>
  <si>
    <t>Salgado dos Machados</t>
  </si>
  <si>
    <t>O+</t>
  </si>
  <si>
    <t>Letícia Heloise Manuela Novaes</t>
  </si>
  <si>
    <t>23/04/1990</t>
  </si>
  <si>
    <t>1,81</t>
  </si>
  <si>
    <t>Tânia Benedita Joana Barbosa</t>
  </si>
  <si>
    <t>08/11/1971</t>
  </si>
  <si>
    <t>Fortaleza</t>
  </si>
  <si>
    <t>1,72</t>
  </si>
  <si>
    <t>Caio Márcio Luís Almeida</t>
  </si>
  <si>
    <t>11/04/1991</t>
  </si>
  <si>
    <t>Teresópolis</t>
  </si>
  <si>
    <t>1,73</t>
  </si>
  <si>
    <t>B-</t>
  </si>
  <si>
    <t>Iago Davi Severino das Neves</t>
  </si>
  <si>
    <t>01/08/1963</t>
  </si>
  <si>
    <t>Vitória da Conquista</t>
  </si>
  <si>
    <t>1,94</t>
  </si>
  <si>
    <t>Victor Antonio Aparício</t>
  </si>
  <si>
    <t>23/09/1978</t>
  </si>
  <si>
    <t>Mauá</t>
  </si>
  <si>
    <t>SP</t>
  </si>
  <si>
    <t>1,70</t>
  </si>
  <si>
    <t>Vitor Anderson Fogaça</t>
  </si>
  <si>
    <t>16/10/2000</t>
  </si>
  <si>
    <t>São Luís</t>
  </si>
  <si>
    <t>1,91</t>
  </si>
  <si>
    <t>Renan Gabriel da Paz</t>
  </si>
  <si>
    <t>20/08/1954</t>
  </si>
  <si>
    <t>Tucuruí</t>
  </si>
  <si>
    <t>PA</t>
  </si>
  <si>
    <t>1,63</t>
  </si>
  <si>
    <t>Marcos Vinicius Henrique Vitor Silva</t>
  </si>
  <si>
    <t>04/11/1956</t>
  </si>
  <si>
    <t>Cabo Frio</t>
  </si>
  <si>
    <t>1,78</t>
  </si>
  <si>
    <t>Lorena Pietra Fabiana Drumond</t>
  </si>
  <si>
    <t>11/07/1997</t>
  </si>
  <si>
    <t>Raquel Rayssa Elaine Pires</t>
  </si>
  <si>
    <t>04/03/2004</t>
  </si>
  <si>
    <t>Salto</t>
  </si>
  <si>
    <t>1,76</t>
  </si>
  <si>
    <t>Sophie Sônia da Rocha</t>
  </si>
  <si>
    <t>14/06/2005</t>
  </si>
  <si>
    <t>Boa Vista</t>
  </si>
  <si>
    <t>RR</t>
  </si>
  <si>
    <t>Renato Murilo Gonçalves</t>
  </si>
  <si>
    <t>02/03/1979</t>
  </si>
  <si>
    <t>Balneário Camboriú</t>
  </si>
  <si>
    <t>SC</t>
  </si>
  <si>
    <t>1,87</t>
  </si>
  <si>
    <t>Aparecida Beatriz Helena Viana</t>
  </si>
  <si>
    <t>07/03/1976</t>
  </si>
  <si>
    <t>Santana</t>
  </si>
  <si>
    <t>Antonella Giovanna Caldeira</t>
  </si>
  <si>
    <t>10/09/1974</t>
  </si>
  <si>
    <t>Aparecida de Goiânia</t>
  </si>
  <si>
    <t>Vinicius Antonio Thiago Farias</t>
  </si>
  <si>
    <t>22/01/1991</t>
  </si>
  <si>
    <t>Iguatu</t>
  </si>
  <si>
    <t>Heitor Rodrigo Levi da Mata</t>
  </si>
  <si>
    <t>16/08/2000</t>
  </si>
  <si>
    <t>Maranguape</t>
  </si>
  <si>
    <t>Raimundo Levi Ruan Costa</t>
  </si>
  <si>
    <t>17/01/1980</t>
  </si>
  <si>
    <t>Londrina</t>
  </si>
  <si>
    <t>1,95</t>
  </si>
  <si>
    <t>Roberto Marcos Galvão</t>
  </si>
  <si>
    <t>09/05/1976</t>
  </si>
  <si>
    <t>Danilo Leonardo Ian Gomes</t>
  </si>
  <si>
    <t>18/08/2002</t>
  </si>
  <si>
    <t>Manaus</t>
  </si>
  <si>
    <t>AM</t>
  </si>
  <si>
    <t>1,82</t>
  </si>
  <si>
    <t>Nelson Rodrigo Farias</t>
  </si>
  <si>
    <t>26/06/1977</t>
  </si>
  <si>
    <t>Brasília</t>
  </si>
  <si>
    <t>DF</t>
  </si>
  <si>
    <t>1,84</t>
  </si>
  <si>
    <t>Cauê Cláudio Rocha</t>
  </si>
  <si>
    <t>01/07/1972</t>
  </si>
  <si>
    <t>Rio do Sul</t>
  </si>
  <si>
    <t>Benedito Alexandre Rezende</t>
  </si>
  <si>
    <t>15/10/1980</t>
  </si>
  <si>
    <t>1,68</t>
  </si>
  <si>
    <t>Malu Agatha Moura</t>
  </si>
  <si>
    <t>20/09/1954</t>
  </si>
  <si>
    <t>Maceió</t>
  </si>
  <si>
    <t>AL</t>
  </si>
  <si>
    <t>1,67</t>
  </si>
  <si>
    <t>Anthony Augusto Peixoto</t>
  </si>
  <si>
    <t>12/11/1982</t>
  </si>
  <si>
    <t>Igarassu</t>
  </si>
  <si>
    <t>PE</t>
  </si>
  <si>
    <t>Vicente Bryan Silva</t>
  </si>
  <si>
    <t>06/05/1989</t>
  </si>
  <si>
    <t>Santo Antônio do Descoberto</t>
  </si>
  <si>
    <t>1,74</t>
  </si>
  <si>
    <t>Matheus Vitor Campos</t>
  </si>
  <si>
    <t>13/11/1993</t>
  </si>
  <si>
    <t>Curitiba</t>
  </si>
  <si>
    <t>Larissa Alana da Mota</t>
  </si>
  <si>
    <t>27/07/1955</t>
  </si>
  <si>
    <t>Montes Claros</t>
  </si>
  <si>
    <t>MG</t>
  </si>
  <si>
    <t>Eliane Laís Luciana Cardoso</t>
  </si>
  <si>
    <t>12/09/1985</t>
  </si>
  <si>
    <t>Cuiabá</t>
  </si>
  <si>
    <t>MT</t>
  </si>
  <si>
    <t>1,60</t>
  </si>
  <si>
    <t>Martin Marcelo Samuel Nunes</t>
  </si>
  <si>
    <t>08/04/1951</t>
  </si>
  <si>
    <t>1,85</t>
  </si>
  <si>
    <t>Olivia Sônia Elza Assunção</t>
  </si>
  <si>
    <t>09/02/1960</t>
  </si>
  <si>
    <t>Anápolis</t>
  </si>
  <si>
    <t>1,57</t>
  </si>
  <si>
    <t>Augusto Juan Teixeira</t>
  </si>
  <si>
    <t>08/04/2005</t>
  </si>
  <si>
    <t>1,96</t>
  </si>
  <si>
    <t>Tatiane Carla Catarina Freitas</t>
  </si>
  <si>
    <t>03/04/1960</t>
  </si>
  <si>
    <t>Belém</t>
  </si>
  <si>
    <t>1,53</t>
  </si>
  <si>
    <t>Emilly Heloise das Neves</t>
  </si>
  <si>
    <t>25/05/1973</t>
  </si>
  <si>
    <t>Ji-Paraná</t>
  </si>
  <si>
    <t>1,54</t>
  </si>
  <si>
    <t>Aline Catarina da Rocha</t>
  </si>
  <si>
    <t>17/02/1950</t>
  </si>
  <si>
    <t>Belo Jardim</t>
  </si>
  <si>
    <t>1,52</t>
  </si>
  <si>
    <t>Diego Gael Ruan Rodrigues</t>
  </si>
  <si>
    <t>16/11/1987</t>
  </si>
  <si>
    <t>Lorenzo Noah Iago da Paz</t>
  </si>
  <si>
    <t>12/04/1949</t>
  </si>
  <si>
    <t>1,93</t>
  </si>
  <si>
    <t>Diego Renan Barbosa</t>
  </si>
  <si>
    <t>15/10/1982</t>
  </si>
  <si>
    <t>Pietro Danilo Porto</t>
  </si>
  <si>
    <t>05/03/1952</t>
  </si>
  <si>
    <t>Breno Diogo Novaes</t>
  </si>
  <si>
    <t>13/01/1974</t>
  </si>
  <si>
    <t>Corumbá</t>
  </si>
  <si>
    <t>1,98</t>
  </si>
  <si>
    <t>Juliana Andrea Assis</t>
  </si>
  <si>
    <t>26/04/1969</t>
  </si>
  <si>
    <t>Sérgio Levi Melo</t>
  </si>
  <si>
    <t>14/04/1957</t>
  </si>
  <si>
    <t>Ponta Porã</t>
  </si>
  <si>
    <t>Lucca Benício Marcelo Aragão</t>
  </si>
  <si>
    <t>08/02/1996</t>
  </si>
  <si>
    <t>Betina Hadassa Isis Brito</t>
  </si>
  <si>
    <t>02/06/1998</t>
  </si>
  <si>
    <t>Teresina</t>
  </si>
  <si>
    <t>PI</t>
  </si>
  <si>
    <t>Letícia Ayla Silveira</t>
  </si>
  <si>
    <t>17/05/1966</t>
  </si>
  <si>
    <t>Petrópolis</t>
  </si>
  <si>
    <t>Várzea Grande</t>
  </si>
  <si>
    <t>Sara Isabelly Moraes</t>
  </si>
  <si>
    <t>21/05/1971</t>
  </si>
  <si>
    <t>Araguaína</t>
  </si>
  <si>
    <t>Jaqueline Stella Brito</t>
  </si>
  <si>
    <t>15/02/1961</t>
  </si>
  <si>
    <t>1,50</t>
  </si>
  <si>
    <t>Enrico Lucas Ruan Jesus</t>
  </si>
  <si>
    <t>25/04/1993</t>
  </si>
  <si>
    <t>Limeira</t>
  </si>
  <si>
    <t>Alice Jéssica Milena Fernandes</t>
  </si>
  <si>
    <t>17/08/1983</t>
  </si>
  <si>
    <t>Benjamin Samuel Lucas Ramos</t>
  </si>
  <si>
    <t>14/11/1959</t>
  </si>
  <si>
    <t>1,99</t>
  </si>
  <si>
    <t>Arthur Juan Fogaça</t>
  </si>
  <si>
    <t>06/05/1975</t>
  </si>
  <si>
    <t>Eliane Giovanna da Silva</t>
  </si>
  <si>
    <t>14/07/1973</t>
  </si>
  <si>
    <t>Edson Jorge Duarte</t>
  </si>
  <si>
    <t>24/01/1981</t>
  </si>
  <si>
    <t>1,90</t>
  </si>
  <si>
    <t>Esther Emilly Pires</t>
  </si>
  <si>
    <t>20/10/1971</t>
  </si>
  <si>
    <t>Valentina Brenda Vieira</t>
  </si>
  <si>
    <t>01/03/1949</t>
  </si>
  <si>
    <t>São Paulo</t>
  </si>
  <si>
    <t>Murilo Lorenzo Cláudio Farias</t>
  </si>
  <si>
    <t>17/02/1969</t>
  </si>
  <si>
    <t>Alessandra Lorena Barbosa</t>
  </si>
  <si>
    <t>03/02/1968</t>
  </si>
  <si>
    <t>Vitória</t>
  </si>
  <si>
    <t>ES</t>
  </si>
  <si>
    <t>Alexandre Thomas Pereira</t>
  </si>
  <si>
    <t>05/04/1951</t>
  </si>
  <si>
    <t>Vicente Noah Mateus Viana</t>
  </si>
  <si>
    <t>08/01/1961</t>
  </si>
  <si>
    <t>Luzia Pietra Clarice das Neves</t>
  </si>
  <si>
    <t>03/09/1992</t>
  </si>
  <si>
    <t>Recife</t>
  </si>
  <si>
    <t>1,62</t>
  </si>
  <si>
    <t>Nicolas Otávio Nathan Silva</t>
  </si>
  <si>
    <t>13/09/1984</t>
  </si>
  <si>
    <t>Carlos Lucas Figueiredo</t>
  </si>
  <si>
    <t>17/06/1987</t>
  </si>
  <si>
    <t>1,65</t>
  </si>
  <si>
    <t>Anthony Victor Pietro Assis</t>
  </si>
  <si>
    <t>16/11/1959</t>
  </si>
  <si>
    <t>Levi Leonardo Felipe da Cruz</t>
  </si>
  <si>
    <t>03/01/1944</t>
  </si>
  <si>
    <t>Blumenau</t>
  </si>
  <si>
    <t>Melissa Isabel Fátima Sales</t>
  </si>
  <si>
    <t>27/03/1966</t>
  </si>
  <si>
    <t>Santarém</t>
  </si>
  <si>
    <t>Marcos Henry Arthur da Rocha</t>
  </si>
  <si>
    <t>25/03/1979</t>
  </si>
  <si>
    <t>Santa Maria</t>
  </si>
  <si>
    <t>Cláudia Esther Marcela Drumond</t>
  </si>
  <si>
    <t>08/11/2004</t>
  </si>
  <si>
    <t>Elza Antonella Malu Almeida</t>
  </si>
  <si>
    <t>17/09/2005</t>
  </si>
  <si>
    <t>1,51</t>
  </si>
  <si>
    <t>Lavínia Giovana Ribeiro</t>
  </si>
  <si>
    <t>25/09/1981</t>
  </si>
  <si>
    <t>Miguel Fábio Souza</t>
  </si>
  <si>
    <t>24/04/1990</t>
  </si>
  <si>
    <t>Gabrielly Milena Laura de Paula</t>
  </si>
  <si>
    <t>27/01/1979</t>
  </si>
  <si>
    <t>Gravataí</t>
  </si>
  <si>
    <t>RS</t>
  </si>
  <si>
    <t>Juliana Joana Caroline Costa</t>
  </si>
  <si>
    <t>10/07/1981</t>
  </si>
  <si>
    <t>Parnamirim</t>
  </si>
  <si>
    <t>Bárbara Josefa Sebastiana Ferreira</t>
  </si>
  <si>
    <t>26/01/1981</t>
  </si>
  <si>
    <t>Thomas Thiago Galvão</t>
  </si>
  <si>
    <t>09/09/1966</t>
  </si>
  <si>
    <t>1,92</t>
  </si>
  <si>
    <t>Fernanda Ester Monteiro</t>
  </si>
  <si>
    <t>01/07/1986</t>
  </si>
  <si>
    <t>Cariacica</t>
  </si>
  <si>
    <t>Nair Clara Rosângela Rodrigues</t>
  </si>
  <si>
    <t>18/06/1945</t>
  </si>
  <si>
    <t>Felipe Guilherme Murilo Fernandes</t>
  </si>
  <si>
    <t>14/09/1972</t>
  </si>
  <si>
    <t>Abaíra</t>
  </si>
  <si>
    <t>Lucca Diego Freitas</t>
  </si>
  <si>
    <t>03/10/1948</t>
  </si>
  <si>
    <t>Guarulhos</t>
  </si>
  <si>
    <t>Emilly Regina da Mota</t>
  </si>
  <si>
    <t>08/09/1956</t>
  </si>
  <si>
    <t>Ricardo Luan Galvão</t>
  </si>
  <si>
    <t>03/02/1999</t>
  </si>
  <si>
    <t>Oliver Noah Duarte</t>
  </si>
  <si>
    <t>17/07/1945</t>
  </si>
  <si>
    <t>Juazeiro do Norte</t>
  </si>
  <si>
    <t>Larissa Vitória Marli da Luz</t>
  </si>
  <si>
    <t>27/08/1986</t>
  </si>
  <si>
    <t>Jataí</t>
  </si>
  <si>
    <t>Brenda Sabrina Priscila Aparício</t>
  </si>
  <si>
    <t>02/11/1998</t>
  </si>
  <si>
    <t>Andreia Jaqueline Pietra Cavalcanti</t>
  </si>
  <si>
    <t>20/09/1947</t>
  </si>
  <si>
    <t>Pato Branco</t>
  </si>
  <si>
    <t>Benício Sebastião Melo</t>
  </si>
  <si>
    <t>13/10/1961</t>
  </si>
  <si>
    <t>Matheus Davi Bernardes</t>
  </si>
  <si>
    <t>15/06/1946</t>
  </si>
  <si>
    <t>Colombo</t>
  </si>
  <si>
    <t>Carolina Sara Vitória Ribeiro</t>
  </si>
  <si>
    <t>08/01/1993</t>
  </si>
  <si>
    <t>Ruan Fernando Sales</t>
  </si>
  <si>
    <t>27/01/1994</t>
  </si>
  <si>
    <t>Porto Velho</t>
  </si>
  <si>
    <t>Oliver Thales Vitor Lopes</t>
  </si>
  <si>
    <t>04/01/2005</t>
  </si>
  <si>
    <t>São José</t>
  </si>
  <si>
    <t>Rebeca Rafaela da Cunha</t>
  </si>
  <si>
    <t>03/09/1990</t>
  </si>
  <si>
    <t>1,58</t>
  </si>
  <si>
    <t>Francisca Daniela Costa</t>
  </si>
  <si>
    <t>22/10/1992</t>
  </si>
  <si>
    <t>Evelyn Giovanna Vieira</t>
  </si>
  <si>
    <t>15/03/1968</t>
  </si>
  <si>
    <t>Cabedelo</t>
  </si>
  <si>
    <t>Laura Isis de Paula</t>
  </si>
  <si>
    <t>06/03/1988</t>
  </si>
  <si>
    <t>Fernando Miguel Geraldo Rocha</t>
  </si>
  <si>
    <t>Mário Luan Murilo Corte Real</t>
  </si>
  <si>
    <t>09/04/1950</t>
  </si>
  <si>
    <t>Calebe Luiz Henrique da Rosa</t>
  </si>
  <si>
    <t>17/06/1969</t>
  </si>
  <si>
    <t>Miguel Arthur Moreira</t>
  </si>
  <si>
    <t>25/04/1992</t>
  </si>
  <si>
    <t>Esteio</t>
  </si>
  <si>
    <t>Marina Stella Eliane Castro</t>
  </si>
  <si>
    <t>15/09/1991</t>
  </si>
  <si>
    <t>Juan Roberto Nicolas Mendes</t>
  </si>
  <si>
    <t>07/08/1985</t>
  </si>
  <si>
    <t>Ananindeua</t>
  </si>
  <si>
    <t>Anthony Leandro Almeida</t>
  </si>
  <si>
    <t>11/07/1980</t>
  </si>
  <si>
    <t>Parnaíba</t>
  </si>
  <si>
    <t>Cristiane Aparecida Barbosa</t>
  </si>
  <si>
    <t>21/08/1947</t>
  </si>
  <si>
    <t>1,66</t>
  </si>
  <si>
    <t>Milena Priscila Luzia Brito</t>
  </si>
  <si>
    <t>26/07/1964</t>
  </si>
  <si>
    <t>Leandro Osvaldo Pinto</t>
  </si>
  <si>
    <t>27/02/1977</t>
  </si>
  <si>
    <t>Emily Sônia Rita Baptista</t>
  </si>
  <si>
    <t>27/04/1976</t>
  </si>
  <si>
    <t>Mirella Marcela Ramos</t>
  </si>
  <si>
    <t>21/01/1961</t>
  </si>
  <si>
    <t>Imperatriz</t>
  </si>
  <si>
    <t>Eduardo Davi Caldeira</t>
  </si>
  <si>
    <t>17/05/1959</t>
  </si>
  <si>
    <t>Laura Rebeca Francisca Galvão</t>
  </si>
  <si>
    <t>08/05/1954</t>
  </si>
  <si>
    <t>1,80</t>
  </si>
  <si>
    <t>Mateus Diogo Thales Oliveira</t>
  </si>
  <si>
    <t>10/08/1995</t>
  </si>
  <si>
    <t>Nair Liz Lúcia Cardoso</t>
  </si>
  <si>
    <t>10/07/1987</t>
  </si>
  <si>
    <t>Palmeira dos Índios</t>
  </si>
  <si>
    <t>Elaine Alice Baptista</t>
  </si>
  <si>
    <t>21/08/1998</t>
  </si>
  <si>
    <t>Antonio Edson Nunes</t>
  </si>
  <si>
    <t>17/02/1993</t>
  </si>
  <si>
    <t>Canoas</t>
  </si>
  <si>
    <t>Fátima Marli Fernandes</t>
  </si>
  <si>
    <t>10/11/1953</t>
  </si>
  <si>
    <t>Victor Nathan Vinicius Duarte</t>
  </si>
  <si>
    <t>17/03/1970</t>
  </si>
  <si>
    <t>Sapucaia do Sul</t>
  </si>
  <si>
    <t>1,61</t>
  </si>
  <si>
    <t>Lorena Juliana Barbosa</t>
  </si>
  <si>
    <t>22/06/1948</t>
  </si>
  <si>
    <t>Mossoró</t>
  </si>
  <si>
    <t>Alícia Mariana da Costa</t>
  </si>
  <si>
    <t>05/10/1955</t>
  </si>
  <si>
    <t>Feira de Santana</t>
  </si>
  <si>
    <t>Paulo Luís César Santos</t>
  </si>
  <si>
    <t>11/03/1986</t>
  </si>
  <si>
    <t>Murilo Luiz da Rocha</t>
  </si>
  <si>
    <t>18/06/1971</t>
  </si>
  <si>
    <t>Diego Otávio Francisco Almeida</t>
  </si>
  <si>
    <t>05/09/1983</t>
  </si>
  <si>
    <t>Barreiras</t>
  </si>
  <si>
    <t>Filipe Diogo Rodrigo Brito</t>
  </si>
  <si>
    <t>03/09/1958</t>
  </si>
  <si>
    <t>Mariana Patrícia das Neves</t>
  </si>
  <si>
    <t>01/02/1959</t>
  </si>
  <si>
    <t>Manuela Vitória Mariah Viana</t>
  </si>
  <si>
    <t>09/10/1982</t>
  </si>
  <si>
    <t>Aracruz</t>
  </si>
  <si>
    <t>Augusto Arthur Ramos</t>
  </si>
  <si>
    <t>24/08/1987</t>
  </si>
  <si>
    <t>Rondonópolis</t>
  </si>
  <si>
    <t>Sophia Juliana Pinto</t>
  </si>
  <si>
    <t>06/02/1986</t>
  </si>
  <si>
    <t>Elisa Mariana Silvana da Luz</t>
  </si>
  <si>
    <t>14/11/1975</t>
  </si>
  <si>
    <t>Kevin Vitor Thomas Moreira</t>
  </si>
  <si>
    <t>05/07/1986</t>
  </si>
  <si>
    <t>Arapiraca</t>
  </si>
  <si>
    <t>1,75</t>
  </si>
  <si>
    <t>Felipe Juan Diogo Almada</t>
  </si>
  <si>
    <t>22/08/1966</t>
  </si>
  <si>
    <t>Luna Louise da Cruz</t>
  </si>
  <si>
    <t>27/09/1950</t>
  </si>
  <si>
    <t>Valentina Marina Antônia Silveira</t>
  </si>
  <si>
    <t>12/07/1970</t>
  </si>
  <si>
    <t>Gurupi</t>
  </si>
  <si>
    <t>Vitória Julia Débora Fogaça</t>
  </si>
  <si>
    <t>10/01/1966</t>
  </si>
  <si>
    <t>João Pessoa</t>
  </si>
  <si>
    <t>Marcos Giovanni Lucca Farias</t>
  </si>
  <si>
    <t>19/05/1962</t>
  </si>
  <si>
    <t>Josefa Eloá da Mata</t>
  </si>
  <si>
    <t>11/04/1976</t>
  </si>
  <si>
    <t>Caxias</t>
  </si>
  <si>
    <t>Yuri Julio Bernardes</t>
  </si>
  <si>
    <t>06/04/1950</t>
  </si>
  <si>
    <t>Chapecó</t>
  </si>
  <si>
    <t>Rodrigo Benício Murilo Teixeira</t>
  </si>
  <si>
    <t>24/07/2002</t>
  </si>
  <si>
    <t>Alvorada</t>
  </si>
  <si>
    <t>Caio Sérgio Jesus</t>
  </si>
  <si>
    <t>12/11/1978</t>
  </si>
  <si>
    <t>Thales Marcos Cavalcanti</t>
  </si>
  <si>
    <t>03/02/1990</t>
  </si>
  <si>
    <t>Lucca Diego Renato Ferreira</t>
  </si>
  <si>
    <t>06/06/2005</t>
  </si>
  <si>
    <t>Liz Isis Cecília Costa</t>
  </si>
  <si>
    <t>22/05/1945</t>
  </si>
  <si>
    <t>Mário Cauã Almada</t>
  </si>
  <si>
    <t>13/04/2002</t>
  </si>
  <si>
    <t>Levi Nicolas Otávio da Costa</t>
  </si>
  <si>
    <t>05/02/1961</t>
  </si>
  <si>
    <t>Cachoeirinha</t>
  </si>
  <si>
    <t>Sophie Alessandra Joana Rezende</t>
  </si>
  <si>
    <t>16/11/1983</t>
  </si>
  <si>
    <t>1,55</t>
  </si>
  <si>
    <t>Benjamin Jorge Assis</t>
  </si>
  <si>
    <t>24/05/1990</t>
  </si>
  <si>
    <t>Andreia Rayssa Bianca Barros</t>
  </si>
  <si>
    <t>18/04/1959</t>
  </si>
  <si>
    <t>Tomás Ryan Julio Freitas</t>
  </si>
  <si>
    <t>08/11/1993</t>
  </si>
  <si>
    <t>Bento André Renan Assunção</t>
  </si>
  <si>
    <t>04/10/1982</t>
  </si>
  <si>
    <t>Jorge Martin Carlos Nogueira</t>
  </si>
  <si>
    <t>02/10/1963</t>
  </si>
  <si>
    <t>Americana</t>
  </si>
  <si>
    <t>Emily Gabrielly Moura</t>
  </si>
  <si>
    <t>17/09/1989</t>
  </si>
  <si>
    <t>Florianópolis</t>
  </si>
  <si>
    <t>Isadora Rosângela Rayssa Castro</t>
  </si>
  <si>
    <t>25/02/1976</t>
  </si>
  <si>
    <t>Renato Tiago Viana</t>
  </si>
  <si>
    <t>09/01/1973</t>
  </si>
  <si>
    <t>Giovanna Lúcia Nair Vieira</t>
  </si>
  <si>
    <t>22/02/1944</t>
  </si>
  <si>
    <t>Nina Mariah Gonçalves</t>
  </si>
  <si>
    <t>27/05/1984</t>
  </si>
  <si>
    <t>Ayla Marlene Alana Ferreira</t>
  </si>
  <si>
    <t>14/07/1946</t>
  </si>
  <si>
    <t>Contagem</t>
  </si>
  <si>
    <t>Mariana Melissa Barbosa</t>
  </si>
  <si>
    <t>21/06/1996</t>
  </si>
  <si>
    <t>Leonardo Augusto Silveira</t>
  </si>
  <si>
    <t>16/04/1957</t>
  </si>
  <si>
    <t>Ester Isabella Joana Souza</t>
  </si>
  <si>
    <t>17/09/1997</t>
  </si>
  <si>
    <t>Giovanna Sônia Aparício</t>
  </si>
  <si>
    <t>11/02/1952</t>
  </si>
  <si>
    <t>Sérgio Lorenzo Teixeira</t>
  </si>
  <si>
    <t>10/03/1953</t>
  </si>
  <si>
    <t>Sete Lagoas</t>
  </si>
  <si>
    <t>Elias Pedro da Cruz</t>
  </si>
  <si>
    <t>16/11/1948</t>
  </si>
  <si>
    <t>Viana</t>
  </si>
  <si>
    <t>Geraldo Manuel Pedro Henrique dos Santos</t>
  </si>
  <si>
    <t>23/06/1956</t>
  </si>
  <si>
    <t>Liz Isabella Adriana Rodrigues</t>
  </si>
  <si>
    <t>14/02/1954</t>
  </si>
  <si>
    <t>Nova Iguaçu</t>
  </si>
  <si>
    <t>Raimundo Mateus Vicente Duarte</t>
  </si>
  <si>
    <t>13/07/1982</t>
  </si>
  <si>
    <t>Sarah Malu Emilly Cardoso</t>
  </si>
  <si>
    <t>22/01/1960</t>
  </si>
  <si>
    <t>Enrico Lucca Elias da Luz</t>
  </si>
  <si>
    <t>21/05/1995</t>
  </si>
  <si>
    <t>Julia Emilly Isabela Rocha</t>
  </si>
  <si>
    <t>02/06/1945</t>
  </si>
  <si>
    <t>Guarapuava</t>
  </si>
  <si>
    <t>Rosângela Andrea Bernardes</t>
  </si>
  <si>
    <t>24/02/1963</t>
  </si>
  <si>
    <t>Joaquim Mário de Paula</t>
  </si>
  <si>
    <t>17/08/1972</t>
  </si>
  <si>
    <t>Julia Malu Andrea Melo</t>
  </si>
  <si>
    <t>24/09/1971</t>
  </si>
  <si>
    <t>Yago Igor Moura</t>
  </si>
  <si>
    <t>22/10/1975</t>
  </si>
  <si>
    <t>Pietro Enzo Vinicius Sales</t>
  </si>
  <si>
    <t>16/10/1989</t>
  </si>
  <si>
    <t>Lages</t>
  </si>
  <si>
    <t>Ryan Gustavo da Mota</t>
  </si>
  <si>
    <t>20/06/1987</t>
  </si>
  <si>
    <t>Carolina Aline Corte Real</t>
  </si>
  <si>
    <t>13/10/1962</t>
  </si>
  <si>
    <t>Márcio Filipe Caio Carvalho</t>
  </si>
  <si>
    <t>18/11/1979</t>
  </si>
  <si>
    <t>Fabiana Elaine Rocha</t>
  </si>
  <si>
    <t>17/02/1957</t>
  </si>
  <si>
    <t>Clara Priscila da Mata</t>
  </si>
  <si>
    <t>02/10/1989</t>
  </si>
  <si>
    <t>Caruaru</t>
  </si>
  <si>
    <t>Luan Anderson Viana</t>
  </si>
  <si>
    <t>08/07/1997</t>
  </si>
  <si>
    <t>Filipe Caio Ramos</t>
  </si>
  <si>
    <t>07/09/1967</t>
  </si>
  <si>
    <t>Rio Branco</t>
  </si>
  <si>
    <t>AC</t>
  </si>
  <si>
    <t>Miguel Oliver Guilherme Novaes</t>
  </si>
  <si>
    <t>04/07/1965</t>
  </si>
  <si>
    <t>Valparaíso de Goiás</t>
  </si>
  <si>
    <t>Henrique Martin Caldeira</t>
  </si>
  <si>
    <t>15/03/2003</t>
  </si>
  <si>
    <t>Victor Roberto Márcio Almeida</t>
  </si>
  <si>
    <t>07/07/1966</t>
  </si>
  <si>
    <t>Laís Marlene da Paz</t>
  </si>
  <si>
    <t>05/02/1959</t>
  </si>
  <si>
    <t>1,59</t>
  </si>
  <si>
    <t>Hugo Oliver Paulo Ribeiro</t>
  </si>
  <si>
    <t>Vicente Márcio Campos</t>
  </si>
  <si>
    <t>04/09/1985</t>
  </si>
  <si>
    <t>Guarujá</t>
  </si>
  <si>
    <t>Rafaela Heloisa Lopes</t>
  </si>
  <si>
    <t>04/03/1989</t>
  </si>
  <si>
    <t>1,56</t>
  </si>
  <si>
    <t>Vinicius Nathan Filipe Silva</t>
  </si>
  <si>
    <t>08/08/1973</t>
  </si>
  <si>
    <t>Paulínia</t>
  </si>
  <si>
    <t>Juliana Elaine Hadassa Aragão</t>
  </si>
  <si>
    <t>07/01/1960</t>
  </si>
  <si>
    <t>Gustavo Lucca Renan Moraes</t>
  </si>
  <si>
    <t>20/02/1950</t>
  </si>
  <si>
    <t>Luan Arthur Pinto</t>
  </si>
  <si>
    <t>19/10/1974</t>
  </si>
  <si>
    <t>Nair Alana Luzia da Cunha</t>
  </si>
  <si>
    <t>23/06/1945</t>
  </si>
  <si>
    <t>Hugo Henrique Augusto Cardoso</t>
  </si>
  <si>
    <t>15/02/1944</t>
  </si>
  <si>
    <t>Samuel Vinicius Monteiro</t>
  </si>
  <si>
    <t>18/11/1949</t>
  </si>
  <si>
    <t>Aurora Maya Peixoto</t>
  </si>
  <si>
    <t>20/01/1976</t>
  </si>
  <si>
    <t>Hugo Vicente Kaique Cavalcanti</t>
  </si>
  <si>
    <t>15/09/1973</t>
  </si>
  <si>
    <t>Manoel César Marcelo Bernardes</t>
  </si>
  <si>
    <t>13/01/1956</t>
  </si>
  <si>
    <t>Birigüi</t>
  </si>
  <si>
    <t>Victor Raul Gael da Conceição</t>
  </si>
  <si>
    <t>25/03/1994</t>
  </si>
  <si>
    <t>Itu</t>
  </si>
  <si>
    <t>Carlos Danilo Alexandre Jesus</t>
  </si>
  <si>
    <t>07/10/1985</t>
  </si>
  <si>
    <t>Davi Nelson Iago Gomes</t>
  </si>
  <si>
    <t>19/04/1979</t>
  </si>
  <si>
    <t>Lorena Sophia Souza</t>
  </si>
  <si>
    <t>24/07/1983</t>
  </si>
  <si>
    <t>Raul Anderson Mário Duarte</t>
  </si>
  <si>
    <t>22/07/1979</t>
  </si>
  <si>
    <t>Serra</t>
  </si>
  <si>
    <t>Luana Patrícia Araújo</t>
  </si>
  <si>
    <t>03/09/2000</t>
  </si>
  <si>
    <t>Carlos Eduardo Raimundo Sebastião Gonçalves</t>
  </si>
  <si>
    <t>21/06/1992</t>
  </si>
  <si>
    <t>Tomás César Caleb Nascimento</t>
  </si>
  <si>
    <t>09/11/2004</t>
  </si>
  <si>
    <t>Simone Adriana Nicole Barbosa</t>
  </si>
  <si>
    <t>06/05/1990</t>
  </si>
  <si>
    <t>Geraldo Levi da Mota</t>
  </si>
  <si>
    <t>02/10/1944</t>
  </si>
  <si>
    <t>Coronel Fabriciano</t>
  </si>
  <si>
    <t>Carolina Isabella Melissa Teixeira</t>
  </si>
  <si>
    <t>11/04/1983</t>
  </si>
  <si>
    <t>João Lucca Baptista</t>
  </si>
  <si>
    <t>11/11/1974</t>
  </si>
  <si>
    <t>Rodrigo Gael Jesus</t>
  </si>
  <si>
    <t>14/10/2003</t>
  </si>
  <si>
    <t>Erick Bento Aragão</t>
  </si>
  <si>
    <t>10/06/1995</t>
  </si>
  <si>
    <t>Criciúma</t>
  </si>
  <si>
    <t>Cauê Márcio Anderson Dias</t>
  </si>
  <si>
    <t>23/06/1978</t>
  </si>
  <si>
    <t>2,00</t>
  </si>
  <si>
    <t>Thiago Vitor Francisco Figueiredo</t>
  </si>
  <si>
    <t>24/04/1949</t>
  </si>
  <si>
    <t>Raul Thales Costa</t>
  </si>
  <si>
    <t>13/10/1990</t>
  </si>
  <si>
    <t>Caio Ryan Victor Barros</t>
  </si>
  <si>
    <t>25/05/1971</t>
  </si>
  <si>
    <t>Ester Julia Pinto</t>
  </si>
  <si>
    <t>Quixadá</t>
  </si>
  <si>
    <t>Leandro Heitor André Castro</t>
  </si>
  <si>
    <t>01/09/1967</t>
  </si>
  <si>
    <t>Yago Theo Sales</t>
  </si>
  <si>
    <t>02/10/1987</t>
  </si>
  <si>
    <t>Simone Aline Martins</t>
  </si>
  <si>
    <t>19/06/1972</t>
  </si>
  <si>
    <t>Otávio Fernando Luiz da Rosa</t>
  </si>
  <si>
    <t>03/01/1995</t>
  </si>
  <si>
    <t>Picos</t>
  </si>
  <si>
    <t>Osvaldo Leandro Miguel Vieira</t>
  </si>
  <si>
    <t>06/10/1960</t>
  </si>
  <si>
    <t>Rio das Ostras</t>
  </si>
  <si>
    <t>Laís Flávia Sophia Viana</t>
  </si>
  <si>
    <t>03/10/1959</t>
  </si>
  <si>
    <t>Leandro Sebastião da Cruz</t>
  </si>
  <si>
    <t>10/07/1945</t>
  </si>
  <si>
    <t>Votorantim</t>
  </si>
  <si>
    <t>Rafael Thomas das Neves</t>
  </si>
  <si>
    <t>26/08/2001</t>
  </si>
  <si>
    <t>Ponte Nova</t>
  </si>
  <si>
    <t>Sophia Maria Souza</t>
  </si>
  <si>
    <t>23/09/1992</t>
  </si>
  <si>
    <t>Natália Rafaela Rocha</t>
  </si>
  <si>
    <t>16/06/1950</t>
  </si>
  <si>
    <t>Ruan Sebastião Corte Real</t>
  </si>
  <si>
    <t>22/08/1986</t>
  </si>
  <si>
    <t>Nilópolis</t>
  </si>
  <si>
    <t>Victor Sebastião Vicente da Luz</t>
  </si>
  <si>
    <t>22/03/1994</t>
  </si>
  <si>
    <t>Luciana Helena Carolina Silveira</t>
  </si>
  <si>
    <t>09/07/2002</t>
  </si>
  <si>
    <t>Sara Cecília Mendes</t>
  </si>
  <si>
    <t>13/03/1965</t>
  </si>
  <si>
    <t>Jaboatão dos Guararapes</t>
  </si>
  <si>
    <t>Elisa Marlene Almada</t>
  </si>
  <si>
    <t>04/11/1995</t>
  </si>
  <si>
    <t>Isabella Tânia Beatriz Rezende</t>
  </si>
  <si>
    <t>08/05/1959</t>
  </si>
  <si>
    <t>Mariana Isis Márcia Jesus</t>
  </si>
  <si>
    <t>10/02/1957</t>
  </si>
  <si>
    <t>Agatha Marli Nunes</t>
  </si>
  <si>
    <t>12/08/2004</t>
  </si>
  <si>
    <t>Otávio Martin Kaique Novaes</t>
  </si>
  <si>
    <t>22/10/1947</t>
  </si>
  <si>
    <t>Enrico Bruno Oliveira</t>
  </si>
  <si>
    <t>06/03/1947</t>
  </si>
  <si>
    <t>1,86</t>
  </si>
  <si>
    <t>Theo Sebastião Gonçalves</t>
  </si>
  <si>
    <t>15/07/1996</t>
  </si>
  <si>
    <t>Nathan Kevin Rocha</t>
  </si>
  <si>
    <t>01/11/1975</t>
  </si>
  <si>
    <t>Itaboraí</t>
  </si>
  <si>
    <t>Stella Nicole Campos</t>
  </si>
  <si>
    <t>16/03/1968</t>
  </si>
  <si>
    <t>Apucarana</t>
  </si>
  <si>
    <t>Leonardo Raimundo Fogaça</t>
  </si>
  <si>
    <t>20/11/2006</t>
  </si>
  <si>
    <t>Rosângela Olivia Mirella Pires</t>
  </si>
  <si>
    <t>12/02/2004</t>
  </si>
  <si>
    <t>Miguel Anthony da Silva</t>
  </si>
  <si>
    <t>21/06/2006</t>
  </si>
  <si>
    <t>Miguel Elias Pedro Henrique Moraes</t>
  </si>
  <si>
    <t>27/01/1999</t>
  </si>
  <si>
    <t>Camaragibe</t>
  </si>
  <si>
    <t>Calebe Kauê Breno Mendes</t>
  </si>
  <si>
    <t>06/10/1973</t>
  </si>
  <si>
    <t>Felipe Enzo Bruno Moura</t>
  </si>
  <si>
    <t>16/04/1977</t>
  </si>
  <si>
    <t>Vanessa Laura Ana Cardoso</t>
  </si>
  <si>
    <t>27/09/1993</t>
  </si>
  <si>
    <t>Samuel Paulo Vieira</t>
  </si>
  <si>
    <t>20/01/1973</t>
  </si>
  <si>
    <t>Paulo Carlos Porto</t>
  </si>
  <si>
    <t>17/03/1991</t>
  </si>
  <si>
    <t>Isabelly Josefa da Mata</t>
  </si>
  <si>
    <t>01/09/1996</t>
  </si>
  <si>
    <t>Pelotas</t>
  </si>
  <si>
    <t>Daniel Enrico Lopes</t>
  </si>
  <si>
    <t>27/02/1969</t>
  </si>
  <si>
    <t>Tiago Marcos dos Santos</t>
  </si>
  <si>
    <t>14/01/1964</t>
  </si>
  <si>
    <t>Sabrina Laís Monteiro</t>
  </si>
  <si>
    <t>17/11/1949</t>
  </si>
  <si>
    <t>Luciana Aline Antônia Lima</t>
  </si>
  <si>
    <t>14/07/1955</t>
  </si>
  <si>
    <t>Porto Alegre</t>
  </si>
  <si>
    <t>Oliver Pietro Gustavo da Rocha</t>
  </si>
  <si>
    <t>05/10/1981</t>
  </si>
  <si>
    <t>Sinop</t>
  </si>
  <si>
    <t>Elaine Helena Nascimento</t>
  </si>
  <si>
    <t>13/03/1982</t>
  </si>
  <si>
    <t>Carolina Fabiana Carla Freitas</t>
  </si>
  <si>
    <t>10/01/1988</t>
  </si>
  <si>
    <t>Niterói</t>
  </si>
  <si>
    <t>Stefany Louise Sônia Aparício</t>
  </si>
  <si>
    <t>01/04/1973</t>
  </si>
  <si>
    <t>Suzano</t>
  </si>
  <si>
    <t>Henrique Luiz Victor Carvalho</t>
  </si>
  <si>
    <t>07/04/1953</t>
  </si>
  <si>
    <t>Thomas Igor Murilo Assis</t>
  </si>
  <si>
    <t>02/11/1988</t>
  </si>
  <si>
    <t>Sebastião Lorenzo Otávio Gomes</t>
  </si>
  <si>
    <t>13/04/1947</t>
  </si>
  <si>
    <t>Stella Sebastiana Ramos</t>
  </si>
  <si>
    <t>14/11/1949</t>
  </si>
  <si>
    <t>Kevin Pedro Henrique Costa</t>
  </si>
  <si>
    <t>27/07/1992</t>
  </si>
  <si>
    <t>Bento Danilo Miguel Melo</t>
  </si>
  <si>
    <t>01/06/1962</t>
  </si>
  <si>
    <t>Catalão</t>
  </si>
  <si>
    <t>Nicole Sarah Rodrigues</t>
  </si>
  <si>
    <t>13/03/1955</t>
  </si>
  <si>
    <t>São Leopoldo</t>
  </si>
  <si>
    <t>Nicolas Matheus Benício Cardoso</t>
  </si>
  <si>
    <t>João Neiva</t>
  </si>
  <si>
    <t>Geraldo Ruan Thales da Cruz</t>
  </si>
  <si>
    <t>19/11/1976</t>
  </si>
  <si>
    <t>Silvana Agatha Pietra Moura</t>
  </si>
  <si>
    <t>14/01/1956</t>
  </si>
  <si>
    <t>Arthur Juan da Conceição</t>
  </si>
  <si>
    <t>10/10/1989</t>
  </si>
  <si>
    <t>Brenda Gabrielly Lopes</t>
  </si>
  <si>
    <t>08/07/1969</t>
  </si>
  <si>
    <t>Cidade Ocidental</t>
  </si>
  <si>
    <t>Lívia Maitê Gomes</t>
  </si>
  <si>
    <t>Fabiana Rayssa Ribeiro</t>
  </si>
  <si>
    <t>16/11/1999</t>
  </si>
  <si>
    <t>Rio de Janeiro</t>
  </si>
  <si>
    <t>Manuela Maria Duarte</t>
  </si>
  <si>
    <t>01/01/1999</t>
  </si>
  <si>
    <t>Helena Tatiane Regina da Rocha</t>
  </si>
  <si>
    <t>10/04/1960</t>
  </si>
  <si>
    <t>Lavínia Carolina Giovana Assis</t>
  </si>
  <si>
    <t>08/10/1960</t>
  </si>
  <si>
    <t>Emilly Teresinha Pinto</t>
  </si>
  <si>
    <t>11/01/1958</t>
  </si>
  <si>
    <t>Vila Velha</t>
  </si>
  <si>
    <t>Sophia Mariana Stefany da Rosa</t>
  </si>
  <si>
    <t>26/06/1973</t>
  </si>
  <si>
    <t>Emanuel Pietro Ian Sales</t>
  </si>
  <si>
    <t>14/01/1965</t>
  </si>
  <si>
    <t>Alessandra Lavínia Julia Freitas</t>
  </si>
  <si>
    <t>16/06/1987</t>
  </si>
  <si>
    <t>Arthur Eduardo Galvão</t>
  </si>
  <si>
    <t>17/07/1954</t>
  </si>
  <si>
    <t>Oliver Vicente Lima</t>
  </si>
  <si>
    <t>21/10/1970</t>
  </si>
  <si>
    <t>Stefany Vitória Ramos</t>
  </si>
  <si>
    <t>Joinville</t>
  </si>
  <si>
    <t>Cauê Rafael Oliver Aragão</t>
  </si>
  <si>
    <t>01/03/1951</t>
  </si>
  <si>
    <t>Fernanda Melissa Moreira</t>
  </si>
  <si>
    <t>02/08/1956</t>
  </si>
  <si>
    <t>Nelson Diego Gonçalves</t>
  </si>
  <si>
    <t>09/01/1979</t>
  </si>
  <si>
    <t>Cruz Alta</t>
  </si>
  <si>
    <t>Thales Filipe João da Silva</t>
  </si>
  <si>
    <t>25/02/1949</t>
  </si>
  <si>
    <t>Adriana Emanuelly Maitê Baptista</t>
  </si>
  <si>
    <t>11/06/1948</t>
  </si>
  <si>
    <t>Luna Silvana Brenda Almeida</t>
  </si>
  <si>
    <t>26/01/2001</t>
  </si>
  <si>
    <t>Mariah Elaine Milena Pires</t>
  </si>
  <si>
    <t>03/08/1959</t>
  </si>
  <si>
    <t>Sérgio Eduardo Novaes</t>
  </si>
  <si>
    <t>14/11/1965</t>
  </si>
  <si>
    <t>Ryan Daniel Fernando Vieira</t>
  </si>
  <si>
    <t>27/07/1946</t>
  </si>
  <si>
    <t>Pedro Heitor Drumond</t>
  </si>
  <si>
    <t>19/09/1972</t>
  </si>
  <si>
    <t>Barueri</t>
  </si>
  <si>
    <t>Isis Bárbara de Paula</t>
  </si>
  <si>
    <t>09/10/1991</t>
  </si>
  <si>
    <t>Pietra Raimunda Daiane Gomes</t>
  </si>
  <si>
    <t>07/04/1951</t>
  </si>
  <si>
    <t>Raimunda Luciana dos Santos</t>
  </si>
  <si>
    <t>20/10/1991</t>
  </si>
  <si>
    <t>Caleb Kauê Drumond</t>
  </si>
  <si>
    <t>05/11/1968</t>
  </si>
  <si>
    <t>Vanessa Rayssa Ramos</t>
  </si>
  <si>
    <t>08/10/1991</t>
  </si>
  <si>
    <t>Rafaela Sueli da Luz</t>
  </si>
  <si>
    <t>11/08/1985</t>
  </si>
  <si>
    <t>Itacoatiara</t>
  </si>
  <si>
    <t>Sônia Emily Francisca Lopes</t>
  </si>
  <si>
    <t>09/10/1986</t>
  </si>
  <si>
    <t>Kamilly Hadassa Fogaça</t>
  </si>
  <si>
    <t>12/05/1955</t>
  </si>
  <si>
    <t>Allana Natália Isabel Moura</t>
  </si>
  <si>
    <t>03/08/1983</t>
  </si>
  <si>
    <t>Alice Sophia Josefa da Costa</t>
  </si>
  <si>
    <t>27/09/1958</t>
  </si>
  <si>
    <t>Hadassa Beatriz da Paz</t>
  </si>
  <si>
    <t>02/05/1997</t>
  </si>
  <si>
    <t>Evelyn Agatha Bruna da Cruz</t>
  </si>
  <si>
    <t>23/01/1994</t>
  </si>
  <si>
    <t>Mateus Geraldo Silveira</t>
  </si>
  <si>
    <t>06/02/1963</t>
  </si>
  <si>
    <t>Francisco Sérgio Victor Nunes</t>
  </si>
  <si>
    <t>05/08/1965</t>
  </si>
  <si>
    <t>Isadora Mariana Josefa Castro</t>
  </si>
  <si>
    <t>27/07/2002</t>
  </si>
  <si>
    <t>Laís Malu Marlene Aragão</t>
  </si>
  <si>
    <t>01/10/1983</t>
  </si>
  <si>
    <t>Belo Horizonte</t>
  </si>
  <si>
    <t>Henrique Raul da Silva</t>
  </si>
  <si>
    <t>21/02/1981</t>
  </si>
  <si>
    <t>Heloisa Simone Nogueira</t>
  </si>
  <si>
    <t>13/09/1992</t>
  </si>
  <si>
    <t>Danilo Diogo Jorge Bernardes</t>
  </si>
  <si>
    <t>11/03/2005</t>
  </si>
  <si>
    <t>Francisca Cláudia Barbosa</t>
  </si>
  <si>
    <t>08/07/1966</t>
  </si>
  <si>
    <t>Teresinha Isadora Brito</t>
  </si>
  <si>
    <t>04/07/1959</t>
  </si>
  <si>
    <t>Emanuel Elias Araújo</t>
  </si>
  <si>
    <t>08/03/1982</t>
  </si>
  <si>
    <t>Emily Jaqueline Alana Fernandes</t>
  </si>
  <si>
    <t>05/05/1956</t>
  </si>
  <si>
    <t>Benício Cláudio Baptista</t>
  </si>
  <si>
    <t>03/06/1966</t>
  </si>
  <si>
    <t>Maria Sophia Viana</t>
  </si>
  <si>
    <t>08/01/1980</t>
  </si>
  <si>
    <t>Anthony Marcos Ruan Oliveira</t>
  </si>
  <si>
    <t>20/04/1984</t>
  </si>
  <si>
    <t>Duque de Caxias</t>
  </si>
  <si>
    <t>Severino Francisco Martins</t>
  </si>
  <si>
    <t>12/02/1958</t>
  </si>
  <si>
    <t>Caxias do Sul</t>
  </si>
  <si>
    <t>Pietra Yasmin Giovana Barros</t>
  </si>
  <si>
    <t>04/03/1998</t>
  </si>
  <si>
    <t>Regina Bianca Sophia Campos</t>
  </si>
  <si>
    <t>05/08/1968</t>
  </si>
  <si>
    <t>Thiago Renan Cardoso</t>
  </si>
  <si>
    <t>14/11/1962</t>
  </si>
  <si>
    <t>Lorenzo Sebastião Brito</t>
  </si>
  <si>
    <t>17/04/1962</t>
  </si>
  <si>
    <t>Hadassa Fabiana Rodrigues</t>
  </si>
  <si>
    <t>27/05/1968</t>
  </si>
  <si>
    <t>Matheus Leonardo Iago das Neves</t>
  </si>
  <si>
    <t>25/02/1963</t>
  </si>
  <si>
    <t>Alícia Hadassa Oliveira</t>
  </si>
  <si>
    <t>12/07/1946</t>
  </si>
  <si>
    <t>Carolina Valentina Fogaça</t>
  </si>
  <si>
    <t>06/07/1999</t>
  </si>
  <si>
    <t>Heitor Carlos Nascimento</t>
  </si>
  <si>
    <t>04/06/1981</t>
  </si>
  <si>
    <t>Pedro Pietro Farias</t>
  </si>
  <si>
    <t>22/02/1970</t>
  </si>
  <si>
    <t>Angra dos Reis</t>
  </si>
  <si>
    <t>Lorenzo Rafael Carvalho</t>
  </si>
  <si>
    <t>09/01/1989</t>
  </si>
  <si>
    <t>Cotia</t>
  </si>
  <si>
    <t>Eloá Renata Emily de Paula</t>
  </si>
  <si>
    <t>04/01/1945</t>
  </si>
  <si>
    <t>Fábio Giovanni Miguel Martins</t>
  </si>
  <si>
    <t>02/04/1999</t>
  </si>
  <si>
    <t>Tiago Ruan Araújo</t>
  </si>
  <si>
    <t>12/06/1944</t>
  </si>
  <si>
    <t>Marcela Olivia da Mata</t>
  </si>
  <si>
    <t>16/10/1982</t>
  </si>
  <si>
    <t>Miguel Renato Jesus</t>
  </si>
  <si>
    <t>09/06/1944</t>
  </si>
  <si>
    <t>Raul Noah Marcos dos Santos</t>
  </si>
  <si>
    <t>02/01/1985</t>
  </si>
  <si>
    <t>Anderson Danilo Calebe da Conceição</t>
  </si>
  <si>
    <t>04/01/1988</t>
  </si>
  <si>
    <t>Olinda</t>
  </si>
  <si>
    <t>César Arthur Raimundo Bernardes</t>
  </si>
  <si>
    <t>11/08/1967</t>
  </si>
  <si>
    <t>Caleb Elias Nunes</t>
  </si>
  <si>
    <t>23/10/2006</t>
  </si>
  <si>
    <t>Renan Guilherme Almeida</t>
  </si>
  <si>
    <t>19/04/1982</t>
  </si>
  <si>
    <t>Gustavo Noah Aragão</t>
  </si>
  <si>
    <t>19/09/1946</t>
  </si>
  <si>
    <t>Elaine Isabelle Marli Figueiredo</t>
  </si>
  <si>
    <t>02/03/1991</t>
  </si>
  <si>
    <t>Ruan Raimundo Silva</t>
  </si>
  <si>
    <t>07/08/1976</t>
  </si>
  <si>
    <t>Lorena Carolina Mendes</t>
  </si>
  <si>
    <t>05/06/1979</t>
  </si>
  <si>
    <t>Esther Lara Maitê Santos</t>
  </si>
  <si>
    <t>12/03/1954</t>
  </si>
  <si>
    <t>Rio Verde</t>
  </si>
  <si>
    <t>Diego Caleb Fernando Pinto</t>
  </si>
  <si>
    <t>Osvaldo Gabriel Márcio Novaes</t>
  </si>
  <si>
    <t>Rodrigo Diogo Porto</t>
  </si>
  <si>
    <t>27/09/2000</t>
  </si>
  <si>
    <t>Manuel Kaique Fernando Ferreira</t>
  </si>
  <si>
    <t>15/10/1992</t>
  </si>
  <si>
    <t>Hugo Miguel Edson Corte Real</t>
  </si>
  <si>
    <t>12/08/1992</t>
  </si>
  <si>
    <t>Itajaí</t>
  </si>
  <si>
    <t>Mariah Sabrina Alice Aparício</t>
  </si>
  <si>
    <t>01/05/1962</t>
  </si>
  <si>
    <t>Cascavel</t>
  </si>
  <si>
    <t>Luna Renata da Costa</t>
  </si>
  <si>
    <t>08/03/1953</t>
  </si>
  <si>
    <t>Vitória Heloise Maitê Carvalho</t>
  </si>
  <si>
    <t>18/10/1978</t>
  </si>
  <si>
    <t>Ayla Priscila Almada</t>
  </si>
  <si>
    <t>21/09/1990</t>
  </si>
  <si>
    <t>Rodrigo Lorenzo Pereira</t>
  </si>
  <si>
    <t>03/04/1991</t>
  </si>
  <si>
    <t>Brusque</t>
  </si>
  <si>
    <t>Thiago Luís Santos</t>
  </si>
  <si>
    <t>20/04/1986</t>
  </si>
  <si>
    <t>Tefé</t>
  </si>
  <si>
    <t>Antonio Yago Nascimento</t>
  </si>
  <si>
    <t>05/05/1962</t>
  </si>
  <si>
    <t>Maitê Agatha Corte Real</t>
  </si>
  <si>
    <t>08/03/2006</t>
  </si>
  <si>
    <t>João Cauê Oliveira</t>
  </si>
  <si>
    <t>19/04/1946</t>
  </si>
  <si>
    <t>Ryan Lucca das Neves</t>
  </si>
  <si>
    <t>15/08/1991</t>
  </si>
  <si>
    <t>Benjamin Felipe Viana</t>
  </si>
  <si>
    <t>17/10/1972</t>
  </si>
  <si>
    <t>Márcio Geraldo Assunção</t>
  </si>
  <si>
    <t>14/11/1994</t>
  </si>
  <si>
    <t>Louise Agatha Sarah Farias</t>
  </si>
  <si>
    <t>22/03/2005</t>
  </si>
  <si>
    <t>Allana Juliana Lúcia Mendes</t>
  </si>
  <si>
    <t>04/11/1986</t>
  </si>
  <si>
    <t>Sérgio Carlos Eduardo Elias Pires</t>
  </si>
  <si>
    <t>01/09/2001</t>
  </si>
  <si>
    <t>Alana Analu Cláudia dos Santos</t>
  </si>
  <si>
    <t>25/08/1995</t>
  </si>
  <si>
    <t>Caio Vicente Martins</t>
  </si>
  <si>
    <t>17/07/1957</t>
  </si>
  <si>
    <t>São Gonçalo</t>
  </si>
  <si>
    <t>Yuri Cauê Rodrigo Figueiredo</t>
  </si>
  <si>
    <t>16/09/1982</t>
  </si>
  <si>
    <t>Sebastiana Ana Dias</t>
  </si>
  <si>
    <t>Vanessa Brenda Pinto</t>
  </si>
  <si>
    <t>19/03/1959</t>
  </si>
  <si>
    <t>Rolândia</t>
  </si>
  <si>
    <t>José Manoel Cavalcanti</t>
  </si>
  <si>
    <t>07/02/1974</t>
  </si>
  <si>
    <t>Alessandra Amanda Moreira</t>
  </si>
  <si>
    <t>27/07/1969</t>
  </si>
  <si>
    <t>Caio Bryan Luan da Mota</t>
  </si>
  <si>
    <t>22/05/1988</t>
  </si>
  <si>
    <t>Erechim</t>
  </si>
  <si>
    <t>Ruan Tiago da Costa</t>
  </si>
  <si>
    <t>15/03/1997</t>
  </si>
  <si>
    <t>Marcela Sophia da Silva</t>
  </si>
  <si>
    <t>04/09/1996</t>
  </si>
  <si>
    <t>Oliver Roberto Enrico Souza</t>
  </si>
  <si>
    <t>01/10/1974</t>
  </si>
  <si>
    <t>Luís Lucas Juan Galvão</t>
  </si>
  <si>
    <t>06/10/1957</t>
  </si>
  <si>
    <t>Isabel Teresinha Bruna Melo</t>
  </si>
  <si>
    <t>16/03/1986</t>
  </si>
  <si>
    <t>Mário Theo Pedro Henrique Gonçalves</t>
  </si>
  <si>
    <t>02/02/1965</t>
  </si>
  <si>
    <t>Isis Isis Betina Ribeiro</t>
  </si>
  <si>
    <t>13/11/1986</t>
  </si>
  <si>
    <t>Patrícia Maitê Monteiro</t>
  </si>
  <si>
    <t>13/10/2002</t>
  </si>
  <si>
    <t>Cláudio Benjamin Carlos Eduardo Barbosa</t>
  </si>
  <si>
    <t>18/03/1970</t>
  </si>
  <si>
    <t>Oliver Benjamin Renato Cavalcanti</t>
  </si>
  <si>
    <t>27/05/1980</t>
  </si>
  <si>
    <t>Filipe Gabriel Oliveira</t>
  </si>
  <si>
    <t>10/09/2006</t>
  </si>
  <si>
    <t>Silvana Antônia Benedita Teixeira</t>
  </si>
  <si>
    <t>23/06/1970</t>
  </si>
  <si>
    <t>Isabella Rayssa Drumond</t>
  </si>
  <si>
    <t>04/08/1957</t>
  </si>
  <si>
    <t>Leandro Henry Baptista</t>
  </si>
  <si>
    <t>10/05/1987</t>
  </si>
  <si>
    <t>Isabella Antonella Sophia Nascimento</t>
  </si>
  <si>
    <t>09/05/1969</t>
  </si>
  <si>
    <t>Luís Fábio da Cunha</t>
  </si>
  <si>
    <t>02/04/1979</t>
  </si>
  <si>
    <t>Giovanna Betina Alves</t>
  </si>
  <si>
    <t>04/01/1950</t>
  </si>
  <si>
    <t>Lúcia Beatriz Monteiro</t>
  </si>
  <si>
    <t>15/09/1987</t>
  </si>
  <si>
    <t>Gabriel Hugo Dias</t>
  </si>
  <si>
    <t>10/01/1974</t>
  </si>
  <si>
    <t>Osvaldo Otávio Leandro Pires</t>
  </si>
  <si>
    <t>17/06/1965</t>
  </si>
  <si>
    <t>Heitor Rafael Carvalho</t>
  </si>
  <si>
    <t>17/01/2000</t>
  </si>
  <si>
    <t>Marcelo José Diogo Martins</t>
  </si>
  <si>
    <t>08/10/1964</t>
  </si>
  <si>
    <t>Itumbiara</t>
  </si>
  <si>
    <t>Lorena Cristiane da Rosa</t>
  </si>
  <si>
    <t>26/04/1983</t>
  </si>
  <si>
    <t>Foz do Iguaçu</t>
  </si>
  <si>
    <t>Amanda Rosa Aparício</t>
  </si>
  <si>
    <t>16/06/1955</t>
  </si>
  <si>
    <t>Patos</t>
  </si>
  <si>
    <t>Isaac Oliver Ferreira</t>
  </si>
  <si>
    <t>04/06/1987</t>
  </si>
  <si>
    <t>Juan Guilherme Caio dos Santos</t>
  </si>
  <si>
    <t>02/04/1991</t>
  </si>
  <si>
    <t>Regina Lívia Adriana Nogueira</t>
  </si>
  <si>
    <t>18/03/1986</t>
  </si>
  <si>
    <t>Eduardo Samuel Henrique Silveira</t>
  </si>
  <si>
    <t>10/07/2006</t>
  </si>
  <si>
    <t>Toledo</t>
  </si>
  <si>
    <t>Brenda Sophia Mendes</t>
  </si>
  <si>
    <t>10/08/1948</t>
  </si>
  <si>
    <t>Ariquemes</t>
  </si>
  <si>
    <t>Heloise Lúcia de Paula</t>
  </si>
  <si>
    <t>24/07/1979</t>
  </si>
  <si>
    <t>Otávio Julio Caio Fogaça</t>
  </si>
  <si>
    <t>05/07/1980</t>
  </si>
  <si>
    <t>Renan Emanuel da Conceição</t>
  </si>
  <si>
    <t>19/09/1966</t>
  </si>
  <si>
    <t>Yasmin Flávia Maria Silva</t>
  </si>
  <si>
    <t>17/06/1997</t>
  </si>
  <si>
    <t>Emily Elaine Aragão</t>
  </si>
  <si>
    <t>19/07/1997</t>
  </si>
  <si>
    <t>Tatiane Jaqueline Emilly Moura</t>
  </si>
  <si>
    <t>07/09/1990</t>
  </si>
  <si>
    <t>Araruna</t>
  </si>
  <si>
    <t>Jennifer Emily da Cruz</t>
  </si>
  <si>
    <t>02/02/1989</t>
  </si>
  <si>
    <t>Natália Louise Elza Fernandes</t>
  </si>
  <si>
    <t>19/04/1968</t>
  </si>
  <si>
    <t>Nathan Anthony da Mota</t>
  </si>
  <si>
    <t>12/07/1956</t>
  </si>
  <si>
    <t>Ilhéus</t>
  </si>
  <si>
    <t>Marcos Oliver Diego Sales</t>
  </si>
  <si>
    <t>14/05/1959</t>
  </si>
  <si>
    <t>Emily Eloá Bruna Pereira</t>
  </si>
  <si>
    <t>09/07/1949</t>
  </si>
  <si>
    <t>Stella Evelyn Peixoto</t>
  </si>
  <si>
    <t>01/04/1979</t>
  </si>
  <si>
    <t>Luana Simone Aparício</t>
  </si>
  <si>
    <t>Itabuna</t>
  </si>
  <si>
    <t>Fabiana Andrea Yasmin Moraes</t>
  </si>
  <si>
    <t>08/08/1944</t>
  </si>
  <si>
    <t>Isabelle Gabriela Daiane Figueiredo</t>
  </si>
  <si>
    <t>14/03/2000</t>
  </si>
  <si>
    <t>Jorge Carlos Anderson Silva</t>
  </si>
  <si>
    <t>07/08/1981</t>
  </si>
  <si>
    <t>Giovanni Caleb Pietro Fernandes</t>
  </si>
  <si>
    <t>20/08/1982</t>
  </si>
  <si>
    <t>Ricardo Breno Bruno Galvão</t>
  </si>
  <si>
    <t>23/10/1986</t>
  </si>
  <si>
    <t>Yuri Matheus Pinto</t>
  </si>
  <si>
    <t>21/10/1957</t>
  </si>
  <si>
    <t>Anthony Rodrigo Bento da Luz</t>
  </si>
  <si>
    <t>14/11/1956</t>
  </si>
  <si>
    <t>Diogo Luiz Murilo de Paula</t>
  </si>
  <si>
    <t>04/03/1951</t>
  </si>
  <si>
    <t>Ourinhos</t>
  </si>
  <si>
    <t>Antonio Arthur Joaquim da Mata</t>
  </si>
  <si>
    <t>09/08/1987</t>
  </si>
  <si>
    <t>Elias Luís Gomes</t>
  </si>
  <si>
    <t>27/02/2003</t>
  </si>
  <si>
    <t>Novo Hamburgo</t>
  </si>
  <si>
    <t>Isadora Mariane Esther Pires</t>
  </si>
  <si>
    <t>15/05/1951</t>
  </si>
  <si>
    <t>Cláudia Yasmin Sales</t>
  </si>
  <si>
    <t>25/09/1993</t>
  </si>
  <si>
    <t>Marcos Ruan Porto</t>
  </si>
  <si>
    <t>10/02/2001</t>
  </si>
  <si>
    <t>Isis Vanessa Mirella Freitas</t>
  </si>
  <si>
    <t>07/02/1950</t>
  </si>
  <si>
    <t>Luan Antonio Danilo Gonçalves</t>
  </si>
  <si>
    <t>25/04/1948</t>
  </si>
  <si>
    <t>Isabelly Teresinha Jesus</t>
  </si>
  <si>
    <t>07/09/1959</t>
  </si>
  <si>
    <t>Raimundo Ian Martins</t>
  </si>
  <si>
    <t>02/08/1974</t>
  </si>
  <si>
    <t>Thomas Carlos Eduardo Calebe Corte Real</t>
  </si>
  <si>
    <t>13/04/1970</t>
  </si>
  <si>
    <t>Martin Thiago Rezende</t>
  </si>
  <si>
    <t>16/03/1983</t>
  </si>
  <si>
    <t>Breno Sebastião Leandro Lima</t>
  </si>
  <si>
    <t>24/04/1968</t>
  </si>
  <si>
    <t>Pará de Minas</t>
  </si>
  <si>
    <t>Gustavo Ricardo Bruno Assis</t>
  </si>
  <si>
    <t>02/02/1951</t>
  </si>
  <si>
    <t>Victor Luís Eduardo Monteiro</t>
  </si>
  <si>
    <t>21/05/1970</t>
  </si>
  <si>
    <t>São Bernardo do Campo</t>
  </si>
  <si>
    <t>Marcelo Mateus Ruan da Rocha</t>
  </si>
  <si>
    <t>25/08/1984</t>
  </si>
  <si>
    <t>André Anthony Rodrigues</t>
  </si>
  <si>
    <t>20/09/2005</t>
  </si>
  <si>
    <t>Victor Oliver Assunção</t>
  </si>
  <si>
    <t>04/08/2002</t>
  </si>
  <si>
    <t>Julia Alana Betina Silveira</t>
  </si>
  <si>
    <t>17/01/1998</t>
  </si>
  <si>
    <t>Vitor Raul Souza</t>
  </si>
  <si>
    <t>01/11/1945</t>
  </si>
  <si>
    <t>Anthony Cauã Cardoso</t>
  </si>
  <si>
    <t>10/11/1947</t>
  </si>
  <si>
    <t>Betina Sebastiana Carolina Drumond</t>
  </si>
  <si>
    <t>25/02/1994</t>
  </si>
  <si>
    <t>Vitória Débora Isadora da Rosa</t>
  </si>
  <si>
    <t>12/03/1993</t>
  </si>
  <si>
    <t>Silvana Gabrielly Josefa Mendes</t>
  </si>
  <si>
    <t>14/08/1957</t>
  </si>
  <si>
    <t>Louise Rosângela Daniela Costa</t>
  </si>
  <si>
    <t>17/05/1949</t>
  </si>
  <si>
    <t>Flávia Carla Emily Cavalcanti</t>
  </si>
  <si>
    <t>Isabela Yasmin Isis Viana</t>
  </si>
  <si>
    <t>09/01/1981</t>
  </si>
  <si>
    <t>Osasco</t>
  </si>
  <si>
    <t>Jorge Mário Duarte</t>
  </si>
  <si>
    <t>05/10/2003</t>
  </si>
  <si>
    <t>Sérgio Anthony Breno Lima</t>
  </si>
  <si>
    <t>21/04/1980</t>
  </si>
  <si>
    <t>Heloisa Sara Ribeiro</t>
  </si>
  <si>
    <t>20/02/1956</t>
  </si>
  <si>
    <t>Catarina Luzia Pinto</t>
  </si>
  <si>
    <t>04/11/1950</t>
  </si>
  <si>
    <t>Sueli Sebastiana Gomes</t>
  </si>
  <si>
    <t>17/03/1981</t>
  </si>
  <si>
    <t>Mário Rodrigo Caldeira</t>
  </si>
  <si>
    <t>20/02/1951</t>
  </si>
  <si>
    <t>Henry Eduardo Leonardo Sales</t>
  </si>
  <si>
    <t>25/04/1985</t>
  </si>
  <si>
    <t>Alícia Sônia Pietra Aparício</t>
  </si>
  <si>
    <t>19/10/1944</t>
  </si>
  <si>
    <t>Jaqueline Rafaela Lívia Souza</t>
  </si>
  <si>
    <t>13/01/1980</t>
  </si>
  <si>
    <t>Raquel Regina Jesus</t>
  </si>
  <si>
    <t>14/03/1963</t>
  </si>
  <si>
    <t>Juan Elias César Carvalho</t>
  </si>
  <si>
    <t>23/04/1996</t>
  </si>
  <si>
    <t>Luziânia</t>
  </si>
  <si>
    <t>Sebastião Rafael Assis</t>
  </si>
  <si>
    <t>01/02/1945</t>
  </si>
  <si>
    <t>Yago Isaac Ferreira</t>
  </si>
  <si>
    <t>05/06/1988</t>
  </si>
  <si>
    <t>Planalto</t>
  </si>
  <si>
    <t>Linhares</t>
  </si>
  <si>
    <t>Fátima Carla Olivia Martins</t>
  </si>
  <si>
    <t>13/10/1987</t>
  </si>
  <si>
    <t>Nelson Otávio Almeida</t>
  </si>
  <si>
    <t>12/07/1977</t>
  </si>
  <si>
    <t>Manuela Melissa Melo</t>
  </si>
  <si>
    <t>18/09/1970</t>
  </si>
  <si>
    <t>Rosângela Emanuelly Baptista</t>
  </si>
  <si>
    <t>05/03/1961</t>
  </si>
  <si>
    <t>Pedro Henrique Nathan Vitor Vieira</t>
  </si>
  <si>
    <t>21/04/1952</t>
  </si>
  <si>
    <t>Fernando Paulo Barros</t>
  </si>
  <si>
    <t>07/11/1989</t>
  </si>
  <si>
    <t>Paranaguá</t>
  </si>
  <si>
    <t>Simone Manuela Eliane da Luz</t>
  </si>
  <si>
    <t>15/05/1988</t>
  </si>
  <si>
    <t>Sousa</t>
  </si>
  <si>
    <t>Lavínia Ester Rodrigues</t>
  </si>
  <si>
    <t>01/08/1945</t>
  </si>
  <si>
    <t>Analu Débora Bernardes</t>
  </si>
  <si>
    <t>Cristiane Luana Fogaça</t>
  </si>
  <si>
    <t>05/11/1987</t>
  </si>
  <si>
    <t>Eduardo Miguel Rodrigues</t>
  </si>
  <si>
    <t>09/10/2003</t>
  </si>
  <si>
    <t>Tomás Alexandre Benjamin da Mata</t>
  </si>
  <si>
    <t>03/04/1954</t>
  </si>
  <si>
    <t>Tatiane Laura Nunes</t>
  </si>
  <si>
    <t>23/03/1991</t>
  </si>
  <si>
    <t>Pietro Edson Cláudio da Cunha</t>
  </si>
  <si>
    <t>02/08/1964</t>
  </si>
  <si>
    <t>Emanuelly Simone Mendes</t>
  </si>
  <si>
    <t>11/10/1977</t>
  </si>
  <si>
    <t>Ian Anthony Viana</t>
  </si>
  <si>
    <t>16/11/1984</t>
  </si>
  <si>
    <t>Planaltina</t>
  </si>
  <si>
    <t>Sarah Silvana Fátima Caldeira</t>
  </si>
  <si>
    <t>Marcos Vinicius Gustavo da Cruz</t>
  </si>
  <si>
    <t>06/04/1993</t>
  </si>
  <si>
    <t>Nina Joana Lorena Assunção</t>
  </si>
  <si>
    <t>10/07/1964</t>
  </si>
  <si>
    <t>Tereza Yasmin Ribeiro</t>
  </si>
  <si>
    <t>07/11/1944</t>
  </si>
  <si>
    <t>Isabelle Flávia Tereza Lopes</t>
  </si>
  <si>
    <t>10/10/1956</t>
  </si>
  <si>
    <t>Evelyn Stella Jéssica Peixoto</t>
  </si>
  <si>
    <t>10/10/1947</t>
  </si>
  <si>
    <t>Bianca Juliana Aparecida Jesus</t>
  </si>
  <si>
    <t>04/01/1980</t>
  </si>
  <si>
    <t>Tereza Alessandra Sandra Santos</t>
  </si>
  <si>
    <t>14/07/1953</t>
  </si>
  <si>
    <t>Alexandre Thomas Gomes</t>
  </si>
  <si>
    <t>22/01/2002</t>
  </si>
  <si>
    <t>Bruna Alana Dias</t>
  </si>
  <si>
    <t>21/06/1981</t>
  </si>
  <si>
    <t>Márcia Silvana Brito</t>
  </si>
  <si>
    <t>02/01/1959</t>
  </si>
  <si>
    <t>Eduardo Enrico Gonçalves</t>
  </si>
  <si>
    <t>07/05/1956</t>
  </si>
  <si>
    <t>Juan Rafael Farias</t>
  </si>
  <si>
    <t>12/10/1984</t>
  </si>
  <si>
    <t>Giovanni Manoel Nogueira</t>
  </si>
  <si>
    <t>16/07/1998</t>
  </si>
  <si>
    <t>Renato Jorge Ramos</t>
  </si>
  <si>
    <t>07/07/1982</t>
  </si>
  <si>
    <t>Rayssa Bianca Luna Silveira</t>
  </si>
  <si>
    <t>13/08/1979</t>
  </si>
  <si>
    <t>Martin Victor Erick Vieira</t>
  </si>
  <si>
    <t>10/08/1957</t>
  </si>
  <si>
    <t>Samuel André da Costa</t>
  </si>
  <si>
    <t>27/04/1962</t>
  </si>
  <si>
    <t>Raimunda Aparecida Carolina Corte Real</t>
  </si>
  <si>
    <t>06/03/1979</t>
  </si>
  <si>
    <t>Araraquara</t>
  </si>
  <si>
    <t>Cláudio Pedro Silva</t>
  </si>
  <si>
    <t>14/03/1998</t>
  </si>
  <si>
    <t>Catanduva</t>
  </si>
  <si>
    <t>Victor Leonardo Carvalho</t>
  </si>
  <si>
    <t>16/02/1958</t>
  </si>
  <si>
    <t>Luís Mário Emanuel Oliveira</t>
  </si>
  <si>
    <t>18/04/1993</t>
  </si>
  <si>
    <t>Heloise Aline Alves</t>
  </si>
  <si>
    <t>06/01/2003</t>
  </si>
  <si>
    <t>Bruno Martin Barros</t>
  </si>
  <si>
    <t>12/07/1961</t>
  </si>
  <si>
    <t>Raimunda Marcela Pereira</t>
  </si>
  <si>
    <t>16/05/2000</t>
  </si>
  <si>
    <t>Gabriela Raquel Fernandes</t>
  </si>
  <si>
    <t>11/05/1944</t>
  </si>
  <si>
    <t>Luna Gabrielly Eloá Rocha</t>
  </si>
  <si>
    <t>02/01/1974</t>
  </si>
  <si>
    <t>Belford Roxo</t>
  </si>
  <si>
    <t>Tomás Bryan César Melo</t>
  </si>
  <si>
    <t>22/07/1997</t>
  </si>
  <si>
    <t>José Thomas Cláudio Barros</t>
  </si>
  <si>
    <t>07/09/2004</t>
  </si>
  <si>
    <t>Sara Aparecida Camila Assis</t>
  </si>
  <si>
    <t>04/06/1960</t>
  </si>
  <si>
    <t>Isabella Rosa Silvana Araújo</t>
  </si>
  <si>
    <t>13/08/2005</t>
  </si>
  <si>
    <t>Castanhal</t>
  </si>
  <si>
    <t>Rafael Bryan Yago Silveira</t>
  </si>
  <si>
    <t>20/11/1981</t>
  </si>
  <si>
    <t>Lívia Nair da Costa</t>
  </si>
  <si>
    <t>25/02/1986</t>
  </si>
  <si>
    <t>Jaraguá do Sul</t>
  </si>
  <si>
    <t>Levi Nathan Vitor Viana</t>
  </si>
  <si>
    <t>20/07/1965</t>
  </si>
  <si>
    <t>Geraldo Thales Bernardes</t>
  </si>
  <si>
    <t>10/04/1950</t>
  </si>
  <si>
    <t>Aline Nina Andreia Oliveira</t>
  </si>
  <si>
    <t>10/10/2002</t>
  </si>
  <si>
    <t>Breno Gael Manoel Silva</t>
  </si>
  <si>
    <t>Kevin Cauê Henrique Gomes</t>
  </si>
  <si>
    <t>06/06/1960</t>
  </si>
  <si>
    <t>Sebastião Marcelo Vieira</t>
  </si>
  <si>
    <t>18/03/1993</t>
  </si>
  <si>
    <t>Catarina Mariana Sônia Drumond</t>
  </si>
  <si>
    <t>12/01/2003</t>
  </si>
  <si>
    <t>Igor Oliver de Paula</t>
  </si>
  <si>
    <t>24/06/1953</t>
  </si>
  <si>
    <t>Nathan Henrique Vicente Rodrigues</t>
  </si>
  <si>
    <t>01/11/1995</t>
  </si>
  <si>
    <t>Edson Carlos Eduardo Arthur Porto</t>
  </si>
  <si>
    <t>21/03/1951</t>
  </si>
  <si>
    <t>Marina Pietra Sueli Ramos</t>
  </si>
  <si>
    <t>24/10/1970</t>
  </si>
  <si>
    <t>Campos dos Goytacazes</t>
  </si>
  <si>
    <t>Leonardo Manuel Teixeira</t>
  </si>
  <si>
    <t>18/10/1972</t>
  </si>
  <si>
    <t>Helena Manuela Clarice Rezende</t>
  </si>
  <si>
    <t>13/04/1993</t>
  </si>
  <si>
    <t>Otávio Bernardo Matheus Moreira</t>
  </si>
  <si>
    <t>18/11/1963</t>
  </si>
  <si>
    <t>Vitor Diego da Rosa</t>
  </si>
  <si>
    <t>08/11/1961</t>
  </si>
  <si>
    <t>Fernanda Patrícia Luzia Martins</t>
  </si>
  <si>
    <t>02/09/1956</t>
  </si>
  <si>
    <t>Marcos José Nogueira</t>
  </si>
  <si>
    <t>26/08/1948</t>
  </si>
  <si>
    <t>São Bento do Sul</t>
  </si>
  <si>
    <t>Stella Aurora Barbosa</t>
  </si>
  <si>
    <t>12/07/1948</t>
  </si>
  <si>
    <t>Luiz Igor Santos</t>
  </si>
  <si>
    <t>10/05/1964</t>
  </si>
  <si>
    <t>Nicolas Felipe dos Santos</t>
  </si>
  <si>
    <t>08/09/1976</t>
  </si>
  <si>
    <t>Melissa Caroline Ribeiro</t>
  </si>
  <si>
    <t>14/01/2004</t>
  </si>
  <si>
    <t>Luan Emanuel Geraldo Martins</t>
  </si>
  <si>
    <t>02/03/1963</t>
  </si>
  <si>
    <t>Josefa Alícia Marlene Castro</t>
  </si>
  <si>
    <t>Japeri</t>
  </si>
  <si>
    <t>Stella Allana Barros</t>
  </si>
  <si>
    <t>27/06/1963</t>
  </si>
  <si>
    <t>Sara Rebeca Sophia Aragão</t>
  </si>
  <si>
    <t>05/06/1967</t>
  </si>
  <si>
    <t>Miguel Anderson Fernandes</t>
  </si>
  <si>
    <t>20/04/1990</t>
  </si>
  <si>
    <t>Colatina</t>
  </si>
  <si>
    <t>Kauê Yuri Enzo Barbosa</t>
  </si>
  <si>
    <t>27/05/2006</t>
  </si>
  <si>
    <t>Luís Diego da Mata</t>
  </si>
  <si>
    <t>13/11/1946</t>
  </si>
  <si>
    <t>Francisca Josefa Rosângela Rodrigues</t>
  </si>
  <si>
    <t>12/09/1987</t>
  </si>
  <si>
    <t>Milena Tânia Almada</t>
  </si>
  <si>
    <t>10/03/1958</t>
  </si>
  <si>
    <t>Heloise Luiza Dias</t>
  </si>
  <si>
    <t>15/08/1963</t>
  </si>
  <si>
    <t>Severino Breno Nunes</t>
  </si>
  <si>
    <t>24/03/2000</t>
  </si>
  <si>
    <t>Regina Agatha Pietra da Paz</t>
  </si>
  <si>
    <t>23/03/2002</t>
  </si>
  <si>
    <t>Osvaldo Murilo Cláudio da Silva</t>
  </si>
  <si>
    <t>23/04/2000</t>
  </si>
  <si>
    <t>Andreia Larissa Elisa Freitas</t>
  </si>
  <si>
    <t>16/07/1969</t>
  </si>
  <si>
    <t>Cláudio José Manoel Almeida</t>
  </si>
  <si>
    <t>11/09/1979</t>
  </si>
  <si>
    <t>Mateus Julio Assunção</t>
  </si>
  <si>
    <t>03/02/1971</t>
  </si>
  <si>
    <t>Geraldo Isaac Farias</t>
  </si>
  <si>
    <t>11/09/2003</t>
  </si>
  <si>
    <t>Stefany Mirella Vanessa dos Santos</t>
  </si>
  <si>
    <t>22/01/1987</t>
  </si>
  <si>
    <t>Aparecida Daniela Alice Porto</t>
  </si>
  <si>
    <t>02/09/1952</t>
  </si>
  <si>
    <t>Jennifer Luzia Ribeiro</t>
  </si>
  <si>
    <t>22/03/1979</t>
  </si>
  <si>
    <t>Antonio Raul Antonio Monteiro</t>
  </si>
  <si>
    <t>20/09/2006</t>
  </si>
  <si>
    <t>Antonella Eloá Louise Baptista</t>
  </si>
  <si>
    <t>02/07/1968</t>
  </si>
  <si>
    <t>Tânia Elisa Carolina Carvalho</t>
  </si>
  <si>
    <t>08/04/1996</t>
  </si>
  <si>
    <t>Natália Ester Rosa Melo</t>
  </si>
  <si>
    <t>08/05/1985</t>
  </si>
  <si>
    <t>Nair Benedita Novaes</t>
  </si>
  <si>
    <t>27/01/1946</t>
  </si>
  <si>
    <t>Thiago Cauê João da Cunha</t>
  </si>
  <si>
    <t>15/01/1999</t>
  </si>
  <si>
    <t>Antonella Silvana Nogueira</t>
  </si>
  <si>
    <t>23/03/1950</t>
  </si>
  <si>
    <t>Thiago Cauã Rafael Ramos</t>
  </si>
  <si>
    <t>26/05/1965</t>
  </si>
  <si>
    <t>Nathan Danilo Anderson da Rosa</t>
  </si>
  <si>
    <t>02/09/1950</t>
  </si>
  <si>
    <t>Martin Filipe Lucca Moraes</t>
  </si>
  <si>
    <t>01/10/1977</t>
  </si>
  <si>
    <t>Rosângela Caroline Stella Monteiro</t>
  </si>
  <si>
    <t>Rodrigo Leandro Matheus da Costa</t>
  </si>
  <si>
    <t>04/05/2000</t>
  </si>
  <si>
    <t>Jéssica Joana Vanessa Fogaça</t>
  </si>
  <si>
    <t>15/09/1992</t>
  </si>
  <si>
    <t>Manuela Maria Almada</t>
  </si>
  <si>
    <t>08/09/1995</t>
  </si>
  <si>
    <t>Julia Olivia Viana</t>
  </si>
  <si>
    <t>09/11/1973</t>
  </si>
  <si>
    <t>Samuel Felipe Almeida</t>
  </si>
  <si>
    <t>22/07/1971</t>
  </si>
  <si>
    <t>Matheus Geraldo Pietro dos Santos</t>
  </si>
  <si>
    <t>13/01/1991</t>
  </si>
  <si>
    <t>Rita Vanessa Mendes</t>
  </si>
  <si>
    <t>01/01/1944</t>
  </si>
  <si>
    <t>Carla Rosângela Assis</t>
  </si>
  <si>
    <t>05/04/1959</t>
  </si>
  <si>
    <t>Diogo Augusto Kaique Nogueira</t>
  </si>
  <si>
    <t>06/01/1970</t>
  </si>
  <si>
    <t>Augusto Benjamin Galvão</t>
  </si>
  <si>
    <t>21/04/1958</t>
  </si>
  <si>
    <t>Paulo Mateus José Corte Real</t>
  </si>
  <si>
    <t>14/05/1993</t>
  </si>
  <si>
    <t>Sueli Maria Brito</t>
  </si>
  <si>
    <t>23/08/1969</t>
  </si>
  <si>
    <t>Rebeca Ana Lívia Rocha</t>
  </si>
  <si>
    <t>03/03/2001</t>
  </si>
  <si>
    <t>Diogo João Vitor de Paula</t>
  </si>
  <si>
    <t>09/04/1954</t>
  </si>
  <si>
    <t>Cecília Camila Fernanda Castro</t>
  </si>
  <si>
    <t>20/06/1964</t>
  </si>
  <si>
    <t>Carla Eduarda Sophia Cavalcanti</t>
  </si>
  <si>
    <t>03/07/2001</t>
  </si>
  <si>
    <t>Manoel Erick Souza</t>
  </si>
  <si>
    <t>25/01/1973</t>
  </si>
  <si>
    <t>São José dos Pinhais</t>
  </si>
  <si>
    <t>Adriana Stefany Maitê Peixoto</t>
  </si>
  <si>
    <t>05/04/1963</t>
  </si>
  <si>
    <t>Bento Antonio Nunes</t>
  </si>
  <si>
    <t>13/07/1967</t>
  </si>
  <si>
    <t>Giovanna Isadora Isis Fernandes</t>
  </si>
  <si>
    <t>27/04/1990</t>
  </si>
  <si>
    <t>Marli Analu Assunção</t>
  </si>
  <si>
    <t>27/06/1944</t>
  </si>
  <si>
    <t>Bruno Kauê Caleb da Mota</t>
  </si>
  <si>
    <t>18/06/1991</t>
  </si>
  <si>
    <t>Liz Maitê Novaes</t>
  </si>
  <si>
    <t>09/01/1961</t>
  </si>
  <si>
    <t>Vicente César Cauã Moraes</t>
  </si>
  <si>
    <t>22/10/1987</t>
  </si>
  <si>
    <t>Lagarto</t>
  </si>
  <si>
    <t>Analu Ester Drumond</t>
  </si>
  <si>
    <t>18/04/1961</t>
  </si>
  <si>
    <t>Laura Esther Ramos</t>
  </si>
  <si>
    <t>22/01/2004</t>
  </si>
  <si>
    <t>Geraldo Geraldo Felipe Duarte</t>
  </si>
  <si>
    <t>01/09/2004</t>
  </si>
  <si>
    <t>Vitor Pedro Henrique Dias</t>
  </si>
  <si>
    <t>22/03/2003</t>
  </si>
  <si>
    <t>Raquel Ester da Silva</t>
  </si>
  <si>
    <t>17/03/1944</t>
  </si>
  <si>
    <t>Isadora Regina Oliveira</t>
  </si>
  <si>
    <t>20/06/1998</t>
  </si>
  <si>
    <t>Lorenzo Sérgio Gonçalves</t>
  </si>
  <si>
    <t>24/10/1974</t>
  </si>
  <si>
    <t>Isabel Tânia Bruna Nunes</t>
  </si>
  <si>
    <t>19/08/1968</t>
  </si>
  <si>
    <t>Isabela Aurora Fogaça</t>
  </si>
  <si>
    <t>06/03/1945</t>
  </si>
  <si>
    <t>Eloá Teresinha Brito</t>
  </si>
  <si>
    <t>06/09/1996</t>
  </si>
  <si>
    <t>Alice Analu Baptista</t>
  </si>
  <si>
    <t>02/05/1950</t>
  </si>
  <si>
    <t>Leandro Mateus Carvalho</t>
  </si>
  <si>
    <t>06/05/1959</t>
  </si>
  <si>
    <t>Ituiutaba</t>
  </si>
  <si>
    <t>Calebe Benício Cauê Rodrigues</t>
  </si>
  <si>
    <t>24/06/1994</t>
  </si>
  <si>
    <t>Rosângela Mirella Rocha</t>
  </si>
  <si>
    <t>27/09/1988</t>
  </si>
  <si>
    <t>Jéssica Aurora Eduarda Figueiredo</t>
  </si>
  <si>
    <t>07/10/1976</t>
  </si>
  <si>
    <t>Leonardo Heitor Sebastião Campos</t>
  </si>
  <si>
    <t>Raimunda Manuela Lima</t>
  </si>
  <si>
    <t>05/07/1963</t>
  </si>
  <si>
    <t>Osvaldo Davi Carlos Eduardo Aparício</t>
  </si>
  <si>
    <t>18/11/1957</t>
  </si>
  <si>
    <t>Camila Eliane Caldeira</t>
  </si>
  <si>
    <t>22/02/1982</t>
  </si>
  <si>
    <t>Josefa Luzia Jennifer Santos</t>
  </si>
  <si>
    <t>Abreu e Lima</t>
  </si>
  <si>
    <t>Ruan Diego Miguel Peixoto</t>
  </si>
  <si>
    <t>19/03/1996</t>
  </si>
  <si>
    <t>Isabela Betina Lavínia das Neves</t>
  </si>
  <si>
    <t>03/09/1950</t>
  </si>
  <si>
    <t>Eduardo Bryan Tomás Silveira</t>
  </si>
  <si>
    <t>15/02/1981</t>
  </si>
  <si>
    <t>Cachoeiro de Itapemirim</t>
  </si>
  <si>
    <t>José Severino Ramos</t>
  </si>
  <si>
    <t>16/11/2003</t>
  </si>
  <si>
    <t>Samuel Gustavo Samuel Gomes</t>
  </si>
  <si>
    <t>Eduarda Sophia Ana Moura</t>
  </si>
  <si>
    <t>02/11/1984</t>
  </si>
  <si>
    <t>Redenção</t>
  </si>
  <si>
    <t>Yago Pedro Henrique Oliver Bernardes</t>
  </si>
  <si>
    <t>23/08/1998</t>
  </si>
  <si>
    <t>Luna Fabiana Nogueira</t>
  </si>
  <si>
    <t>01/01/1952</t>
  </si>
  <si>
    <t>Pietro Edson Guilherme Castro</t>
  </si>
  <si>
    <t>04/01/1961</t>
  </si>
  <si>
    <t>Maringá</t>
  </si>
  <si>
    <t>Analu Andrea Priscila Melo</t>
  </si>
  <si>
    <t>13/06/1991</t>
  </si>
  <si>
    <t>Andreia Betina Laís Ferreira</t>
  </si>
  <si>
    <t>08/09/1954</t>
  </si>
  <si>
    <t>Uberaba</t>
  </si>
  <si>
    <t>Gael Calebe Tomás da Mata</t>
  </si>
  <si>
    <t>04/11/1979</t>
  </si>
  <si>
    <t>Letícia Ayla Fernandes</t>
  </si>
  <si>
    <t>13/05/1998</t>
  </si>
  <si>
    <t>André Yago Silva</t>
  </si>
  <si>
    <t>06/09/1957</t>
  </si>
  <si>
    <t>Noah Ruan Costa</t>
  </si>
  <si>
    <t>07/11/1945</t>
  </si>
  <si>
    <t>Thiago Yago Alves</t>
  </si>
  <si>
    <t>26/03/1970</t>
  </si>
  <si>
    <t>Lorena Ester Figueiredo</t>
  </si>
  <si>
    <t>19/02/2001</t>
  </si>
  <si>
    <t>Anderson Bernardo Oliveira</t>
  </si>
  <si>
    <t>22/06/2003</t>
  </si>
  <si>
    <t>Nicole Flávia Luiza Gomes</t>
  </si>
  <si>
    <t>09/02/1953</t>
  </si>
  <si>
    <t>Crato</t>
  </si>
  <si>
    <t>Ana Allana Ana da Luz</t>
  </si>
  <si>
    <t>19/10/1997</t>
  </si>
  <si>
    <t>Elza Liz Valentina Mendes</t>
  </si>
  <si>
    <t>16/08/1969</t>
  </si>
  <si>
    <t>Marcos Pedro dos Santos</t>
  </si>
  <si>
    <t>25/09/1987</t>
  </si>
  <si>
    <t>Mário Jorge Dias</t>
  </si>
  <si>
    <t>22/09/1976</t>
  </si>
  <si>
    <t>Ricardo Noah Leonardo da Conceição</t>
  </si>
  <si>
    <t>07/06/1986</t>
  </si>
  <si>
    <t>Sebastião Oliver Diogo Melo</t>
  </si>
  <si>
    <t>20/06/2004</t>
  </si>
  <si>
    <t>Alícia Fernanda Teixeira</t>
  </si>
  <si>
    <t>10/07/1959</t>
  </si>
  <si>
    <t>Betina Antônia Silva</t>
  </si>
  <si>
    <t>09/11/2001</t>
  </si>
  <si>
    <t>Valentina Maya Costa</t>
  </si>
  <si>
    <t>15/09/1964</t>
  </si>
  <si>
    <t>Bárbara Adriana Josefa Rodrigues</t>
  </si>
  <si>
    <t>08/09/1970</t>
  </si>
  <si>
    <t>Rafael Arthur Carvalho</t>
  </si>
  <si>
    <t>05/06/1964</t>
  </si>
  <si>
    <t>André Ruan Monteiro</t>
  </si>
  <si>
    <t>23/07/1994</t>
  </si>
  <si>
    <t>Mogi das Cruzes</t>
  </si>
  <si>
    <t>João Bernardo Almeida</t>
  </si>
  <si>
    <t>22/08/1956</t>
  </si>
  <si>
    <t>André Filipe Caleb da Mata</t>
  </si>
  <si>
    <t>20/11/1962</t>
  </si>
  <si>
    <t>Vitor Cauã Ribeiro</t>
  </si>
  <si>
    <t>09/10/1967</t>
  </si>
  <si>
    <t>Letícia Eduarda Mirella Moreira</t>
  </si>
  <si>
    <t>22/04/1958</t>
  </si>
  <si>
    <t>Vinicius Enzo Pires</t>
  </si>
  <si>
    <t>05/11/1949</t>
  </si>
  <si>
    <t>Giovana Renata Assis</t>
  </si>
  <si>
    <t>23/09/1962</t>
  </si>
  <si>
    <t>Noah Bryan da Cruz</t>
  </si>
  <si>
    <t>Cláudio Murilo Farias</t>
  </si>
  <si>
    <t>06/01/1981</t>
  </si>
  <si>
    <t>Caroline Betina Emily das Neves</t>
  </si>
  <si>
    <t>01/07/1969</t>
  </si>
  <si>
    <t>Betina Juliana Novaes</t>
  </si>
  <si>
    <t>17/11/1953</t>
  </si>
  <si>
    <t>Macaé</t>
  </si>
  <si>
    <t>Benedita Aparecida Nunes</t>
  </si>
  <si>
    <t>16/03/1987</t>
  </si>
  <si>
    <t>Tiago Kevin Cavalcanti</t>
  </si>
  <si>
    <t>16/04/1994</t>
  </si>
  <si>
    <t>Rafaela Rosa Rafaela Aragão</t>
  </si>
  <si>
    <t>17/06/1968</t>
  </si>
  <si>
    <t>Roberto Rafael Renato Castro</t>
  </si>
  <si>
    <t>24/01/1975</t>
  </si>
  <si>
    <t>Nelson Tiago Juan Gonçalves</t>
  </si>
  <si>
    <t>21/07/1964</t>
  </si>
  <si>
    <t>Enrico Kevin Breno Assis</t>
  </si>
  <si>
    <t>03/04/1957</t>
  </si>
  <si>
    <t>Lucca Danilo Matheus Barbosa</t>
  </si>
  <si>
    <t>12/04/1978</t>
  </si>
  <si>
    <t>Antonella Fernanda Aragão</t>
  </si>
  <si>
    <t>14/01/1959</t>
  </si>
  <si>
    <t>Mariane Francisca Cavalcanti</t>
  </si>
  <si>
    <t>22/02/2005</t>
  </si>
  <si>
    <t>São João de Meriti</t>
  </si>
  <si>
    <t>Bianca Rosângela Brito</t>
  </si>
  <si>
    <t>19/04/1997</t>
  </si>
  <si>
    <t>Sophie Lúcia Giovanna Ferreira</t>
  </si>
  <si>
    <t>08/06/1947</t>
  </si>
  <si>
    <t>Letícia Helena Porto</t>
  </si>
  <si>
    <t>08/02/2006</t>
  </si>
  <si>
    <t>Hugo Marcos Tomás Nunes</t>
  </si>
  <si>
    <t>04/02/1977</t>
  </si>
  <si>
    <t>Luzia Betina Gabriela das Neves</t>
  </si>
  <si>
    <t>07/06/1958</t>
  </si>
  <si>
    <t>Henry Kevin Santos</t>
  </si>
  <si>
    <t>02/03/1986</t>
  </si>
  <si>
    <t>Débora Cecília da Rocha</t>
  </si>
  <si>
    <t>03/04/1981</t>
  </si>
  <si>
    <t>Maya Cláudia Nascimento</t>
  </si>
  <si>
    <t>21/03/1995</t>
  </si>
  <si>
    <t>João Pedro Henrique Hugo Silva</t>
  </si>
  <si>
    <t>07/01/1968</t>
  </si>
  <si>
    <t>André Kauê Martins</t>
  </si>
  <si>
    <t>14/08/1975</t>
  </si>
  <si>
    <t>Alana Mariane Bárbara Rezende</t>
  </si>
  <si>
    <t>18/04/2004</t>
  </si>
  <si>
    <t>Petrolina</t>
  </si>
  <si>
    <t>Elza Mariah Lima</t>
  </si>
  <si>
    <t>24/06/1987</t>
  </si>
  <si>
    <t>Amanda Pietra Nair Viana</t>
  </si>
  <si>
    <t>17/08/1976</t>
  </si>
  <si>
    <t>Nelson Luiz Luiz da Cruz</t>
  </si>
  <si>
    <t>06/08/1988</t>
  </si>
  <si>
    <t>Alexandre Renato Enrico Moreira</t>
  </si>
  <si>
    <t>07/05/2006</t>
  </si>
  <si>
    <t>Guarapari</t>
  </si>
  <si>
    <t>Adriana Mariah Rita da Costa</t>
  </si>
  <si>
    <t>20/08/1976</t>
  </si>
  <si>
    <t>Márcio Lucas Luís Rocha</t>
  </si>
  <si>
    <t>19/09/1960</t>
  </si>
  <si>
    <t>Roberto Nelson Miguel da Rosa</t>
  </si>
  <si>
    <t>24/07/1958</t>
  </si>
  <si>
    <t>Raimunda Francisca Alana Figueiredo</t>
  </si>
  <si>
    <t>05/06/1992</t>
  </si>
  <si>
    <t>Lorena Mirella Olivia Dias</t>
  </si>
  <si>
    <t>08/06/1972</t>
  </si>
  <si>
    <t>Paulo Manuel Igor Aparício</t>
  </si>
  <si>
    <t>09/05/2005</t>
  </si>
  <si>
    <t>Joana Débora Luna Moraes</t>
  </si>
  <si>
    <t>05/07/1969</t>
  </si>
  <si>
    <t>Lins</t>
  </si>
  <si>
    <t>César Carlos Eduardo Raimundo Castro</t>
  </si>
  <si>
    <t>10/04/1976</t>
  </si>
  <si>
    <t>Assis</t>
  </si>
  <si>
    <t>Severino César Murilo Duarte</t>
  </si>
  <si>
    <t>12/08/1947</t>
  </si>
  <si>
    <t>Marina Alana Helena Moura</t>
  </si>
  <si>
    <t>11/11/1993</t>
  </si>
  <si>
    <t>Beatriz Gabriela Viana</t>
  </si>
  <si>
    <t>05/11/1944</t>
  </si>
  <si>
    <t>Bento Osvaldo Pinto</t>
  </si>
  <si>
    <t>03/08/1992</t>
  </si>
  <si>
    <t>Arthur Henry Raimundo Vieira</t>
  </si>
  <si>
    <t>18/04/1958</t>
  </si>
  <si>
    <t>Diego Fábio Marcos Drumond</t>
  </si>
  <si>
    <t>21/04/2005</t>
  </si>
  <si>
    <t>Bebedouro</t>
  </si>
  <si>
    <t>Luiza Rita Sônia Galvão</t>
  </si>
  <si>
    <t>03/02/1974</t>
  </si>
  <si>
    <t>Alice Cláudia Moraes</t>
  </si>
  <si>
    <t>23/01/1978</t>
  </si>
  <si>
    <t>São Mateus</t>
  </si>
  <si>
    <t>Alexandre Henrique Cavalcanti</t>
  </si>
  <si>
    <t>06/09/1972</t>
  </si>
  <si>
    <t>Sophia Mariane de Paula</t>
  </si>
  <si>
    <t>24/10/1948</t>
  </si>
  <si>
    <t>Biguaçu</t>
  </si>
  <si>
    <t>Valentina Rebeca Almada</t>
  </si>
  <si>
    <t>11/04/1981</t>
  </si>
  <si>
    <t>Simone Marlene Luna da Cruz</t>
  </si>
  <si>
    <t>15/03/2006</t>
  </si>
  <si>
    <t>Calebe Edson Iago Sales</t>
  </si>
  <si>
    <t>22/10/1981</t>
  </si>
  <si>
    <t>Mário Victor Barbosa</t>
  </si>
  <si>
    <t>Maria Isadora Elza Fernandes</t>
  </si>
  <si>
    <t>05/11/1989</t>
  </si>
  <si>
    <t>Manoel Sérgio Leandro Gomes</t>
  </si>
  <si>
    <t>12/03/1983</t>
  </si>
  <si>
    <t>Elias Tiago Peixoto</t>
  </si>
  <si>
    <t>25/01/1989</t>
  </si>
  <si>
    <t>Atibaia</t>
  </si>
  <si>
    <t>Ester Marina Eduarda Silveira</t>
  </si>
  <si>
    <t>04/03/1977</t>
  </si>
  <si>
    <t>Oliver Bruno Novaes</t>
  </si>
  <si>
    <t>25/07/1952</t>
  </si>
  <si>
    <t>Lorenzo Kaique Luiz Freitas</t>
  </si>
  <si>
    <t>04/03/1984</t>
  </si>
  <si>
    <t>Poá</t>
  </si>
  <si>
    <t>Severino Danilo Nunes</t>
  </si>
  <si>
    <t>20/08/1989</t>
  </si>
  <si>
    <t>Patrícia Antônia da Luz</t>
  </si>
  <si>
    <t>05/04/1978</t>
  </si>
  <si>
    <t>Igor Erick Baptista</t>
  </si>
  <si>
    <t>03/03/1983</t>
  </si>
  <si>
    <t>Patrícia Tatiane Aparício</t>
  </si>
  <si>
    <t>18/11/1982</t>
  </si>
  <si>
    <t>Maya Isadora Gabrielly Mendes</t>
  </si>
  <si>
    <t>25/06/2005</t>
  </si>
  <si>
    <t>Marcos Bryan Alves</t>
  </si>
  <si>
    <t>10/06/1999</t>
  </si>
  <si>
    <t>Nathan Osvaldo Ribeiro</t>
  </si>
  <si>
    <t>17/05/1950</t>
  </si>
  <si>
    <t>Poços de Caldas</t>
  </si>
  <si>
    <t>Yasmin Mariane Melo</t>
  </si>
  <si>
    <t>15/09/1960</t>
  </si>
  <si>
    <t>Rafael Márcio Pedro Pires</t>
  </si>
  <si>
    <t>15/06/2006</t>
  </si>
  <si>
    <t>Elza Cecília Almeida</t>
  </si>
  <si>
    <t>02/07/1952</t>
  </si>
  <si>
    <t>Alana Sabrina Ferreira</t>
  </si>
  <si>
    <t>21/03/1977</t>
  </si>
  <si>
    <t>Uberlândia</t>
  </si>
  <si>
    <t>Paulo Tomás Matheus Brito</t>
  </si>
  <si>
    <t>16/05/1956</t>
  </si>
  <si>
    <t>Rafael Miguel da Paz</t>
  </si>
  <si>
    <t>17/09/2000</t>
  </si>
  <si>
    <t>Jorge Rafael Pires</t>
  </si>
  <si>
    <t>03/09/1980</t>
  </si>
  <si>
    <t>Caleb Breno Mateus da Silva</t>
  </si>
  <si>
    <t>02/10/1990</t>
  </si>
  <si>
    <t>Olivia Regina Agatha da Rosa</t>
  </si>
  <si>
    <t>Paulo Márcio Igor de Paula</t>
  </si>
  <si>
    <t>Marlene Mariane Souza</t>
  </si>
  <si>
    <t>13/01/1986</t>
  </si>
  <si>
    <t>Matheus Enrico Daniel Corte Real</t>
  </si>
  <si>
    <t>11/11/1959</t>
  </si>
  <si>
    <t>Theo Filipe Almeida</t>
  </si>
  <si>
    <t>09/06/1995</t>
  </si>
  <si>
    <t>Pietra Hadassa Fogaça</t>
  </si>
  <si>
    <t>01/04/1989</t>
  </si>
  <si>
    <t>Diego Geraldo Raimundo Porto</t>
  </si>
  <si>
    <t>15/09/1961</t>
  </si>
  <si>
    <t>Sandra Elisa Gomes</t>
  </si>
  <si>
    <t>02/04/1971</t>
  </si>
  <si>
    <t>Tatiane Esther Peixoto</t>
  </si>
  <si>
    <t>15/10/1993</t>
  </si>
  <si>
    <t>São Lourenço da Mata</t>
  </si>
  <si>
    <t>Hugo Vinicius da Luz</t>
  </si>
  <si>
    <t>05/09/1954</t>
  </si>
  <si>
    <t>Rodrigo Isaac Oliver Monteiro</t>
  </si>
  <si>
    <t>07/11/1996</t>
  </si>
  <si>
    <t>Santo Antônio de Jesus</t>
  </si>
  <si>
    <t>Ian Marcos Noah Ribeiro</t>
  </si>
  <si>
    <t>16/02/1949</t>
  </si>
  <si>
    <t>Aline Luiza Sales</t>
  </si>
  <si>
    <t>21/01/1985</t>
  </si>
  <si>
    <t>Manoel Murilo Raimundo Novaes</t>
  </si>
  <si>
    <t>13/06/1992</t>
  </si>
  <si>
    <t>Carlos Eduardo Diego Benedito Mendes</t>
  </si>
  <si>
    <t>21/05/1984</t>
  </si>
  <si>
    <t>Ruan Francisco Duarte</t>
  </si>
  <si>
    <t>11/08/2001</t>
  </si>
  <si>
    <t>Maracanaú</t>
  </si>
  <si>
    <t>Isabella Ana Sueli Melo</t>
  </si>
  <si>
    <t>25/10/1946</t>
  </si>
  <si>
    <t>Santa Fé</t>
  </si>
  <si>
    <t>Raimunda Malu Rita Pereira</t>
  </si>
  <si>
    <t>20/10/1952</t>
  </si>
  <si>
    <t>Governador Valadares</t>
  </si>
  <si>
    <t>Flávia Marcela Santos</t>
  </si>
  <si>
    <t>07/09/1972</t>
  </si>
  <si>
    <t>Heitor Filipe Alexandre Silveira</t>
  </si>
  <si>
    <t>04/11/1964</t>
  </si>
  <si>
    <t>Emilly Lívia Assis</t>
  </si>
  <si>
    <t>02/02/1992</t>
  </si>
  <si>
    <t>Bárbara Rafaela Carvalho</t>
  </si>
  <si>
    <t>13/09/2004</t>
  </si>
  <si>
    <t>Nina Andreia Ferreira</t>
  </si>
  <si>
    <t>27/06/1979</t>
  </si>
  <si>
    <t>Yasmin Milena Lopes</t>
  </si>
  <si>
    <t>16/10/2005</t>
  </si>
  <si>
    <t>Yasmin Priscila Jéssica Almada</t>
  </si>
  <si>
    <t>16/07/1988</t>
  </si>
  <si>
    <t>Ryan João Erick Costa</t>
  </si>
  <si>
    <t>09/01/1953</t>
  </si>
  <si>
    <t>Alexandre Vitor Anderson Cavalcanti</t>
  </si>
  <si>
    <t>10/08/1993</t>
  </si>
  <si>
    <t>Osvaldo Kauê Pires</t>
  </si>
  <si>
    <t>23/07/1958</t>
  </si>
  <si>
    <t>Mateus Márcio Porto</t>
  </si>
  <si>
    <t>25/09/1984</t>
  </si>
  <si>
    <t>Nathan Márcio Barbosa</t>
  </si>
  <si>
    <t>16/10/1969</t>
  </si>
  <si>
    <t>Esther Cecília Aparício</t>
  </si>
  <si>
    <t>06/07/1947</t>
  </si>
  <si>
    <t>Elisa Ester Rayssa Lima</t>
  </si>
  <si>
    <t>11/11/1987</t>
  </si>
  <si>
    <t>Amanda Lara Gabrielly Figueiredo</t>
  </si>
  <si>
    <t>10/04/1966</t>
  </si>
  <si>
    <t>Bruna Hadassa Nunes</t>
  </si>
  <si>
    <t>Renata Isadora Juliana Dias</t>
  </si>
  <si>
    <t>18/10/1959</t>
  </si>
  <si>
    <t>Francisca Luana da Cruz</t>
  </si>
  <si>
    <t>10/09/1980</t>
  </si>
  <si>
    <t>Volta Redonda</t>
  </si>
  <si>
    <t>Vinicius Fábio Nelson Assunção</t>
  </si>
  <si>
    <t>12/03/1998</t>
  </si>
  <si>
    <t>Hadassa Sueli Sarah Oliveira</t>
  </si>
  <si>
    <t>08/10/1969</t>
  </si>
  <si>
    <t>Raimundo Manoel Mário da Mata</t>
  </si>
  <si>
    <t>06/09/1989</t>
  </si>
  <si>
    <t>Paulo Tiago Cauê Lopes</t>
  </si>
  <si>
    <t>19/03/1983</t>
  </si>
  <si>
    <t>São Francisco de Itabapoana</t>
  </si>
  <si>
    <t>Flávia Brenda Bernardes</t>
  </si>
  <si>
    <t>13/03/1957</t>
  </si>
  <si>
    <t>Luciana Bárbara Amanda Viana</t>
  </si>
  <si>
    <t>06/10/1951</t>
  </si>
  <si>
    <t>Filipe Davi de Paula</t>
  </si>
  <si>
    <t>15/02/1972</t>
  </si>
  <si>
    <t>Alice Vera Gonçalves</t>
  </si>
  <si>
    <t>08/08/1962</t>
  </si>
  <si>
    <t>Xinguara</t>
  </si>
  <si>
    <t>Caroline Pietra Monteiro</t>
  </si>
  <si>
    <t>15/04/1994</t>
  </si>
  <si>
    <t>Rosângela Sueli Castro</t>
  </si>
  <si>
    <t>Flávia Rafaela da Rocha</t>
  </si>
  <si>
    <t>19/01/1981</t>
  </si>
  <si>
    <t>Manuela Andrea da Silva</t>
  </si>
  <si>
    <t>18/10/1945</t>
  </si>
  <si>
    <t>Mesquita</t>
  </si>
  <si>
    <t>Alexandre Thiago Julio Fernandes</t>
  </si>
  <si>
    <t>17/04/1957</t>
  </si>
  <si>
    <t>Marcelo Emanuel Baptista</t>
  </si>
  <si>
    <t>15/09/1949</t>
  </si>
  <si>
    <t>Gabriela Rita das Neves</t>
  </si>
  <si>
    <t>02/03/1975</t>
  </si>
  <si>
    <t>Carlos Eduardo Manoel Teixeira</t>
  </si>
  <si>
    <t>20/08/1969</t>
  </si>
  <si>
    <t>Vitor Otávio Erick Jesus</t>
  </si>
  <si>
    <t>14/07/1979</t>
  </si>
  <si>
    <t>Renan Geraldo Kauê Galvão</t>
  </si>
  <si>
    <t>19/02/1950</t>
  </si>
  <si>
    <t>Luiza Tatiane Rezende</t>
  </si>
  <si>
    <t>20/09/1999</t>
  </si>
  <si>
    <t>Nicolas Samuel Rodrigues</t>
  </si>
  <si>
    <t>02/04/1995</t>
  </si>
  <si>
    <t>Vera Isabella Bianca da Conceição</t>
  </si>
  <si>
    <t>10/02/1964</t>
  </si>
  <si>
    <t>Raimundo Diego da Conceição</t>
  </si>
  <si>
    <t>20/05/1966</t>
  </si>
  <si>
    <t>Márcio Julio Bento Almada</t>
  </si>
  <si>
    <t>07/01/1951</t>
  </si>
  <si>
    <t>Cabo de Santo Agostinho</t>
  </si>
  <si>
    <t>Laís Regina Dias</t>
  </si>
  <si>
    <t>27/07/1998</t>
  </si>
  <si>
    <t>Rio Claro</t>
  </si>
  <si>
    <t>Lúcia Rebeca Pires</t>
  </si>
  <si>
    <t>22/10/1968</t>
  </si>
  <si>
    <t>Daniela Maya Lima</t>
  </si>
  <si>
    <t>05/01/1979</t>
  </si>
  <si>
    <t>Ruan Levi Ferreira</t>
  </si>
  <si>
    <t>14/07/1968</t>
  </si>
  <si>
    <t>Teófilo Otoni</t>
  </si>
  <si>
    <t>Nicole Regina Moreira</t>
  </si>
  <si>
    <t>04/08/1954</t>
  </si>
  <si>
    <t>Filipe Márcio Anderson Galvão</t>
  </si>
  <si>
    <t>11/09/1993</t>
  </si>
  <si>
    <t>Sebastiana Sandra da Mata</t>
  </si>
  <si>
    <t>16/10/1984</t>
  </si>
  <si>
    <t>Andreia Bruna Vieira</t>
  </si>
  <si>
    <t>19/10/1996</t>
  </si>
  <si>
    <t>Santa Luzia</t>
  </si>
  <si>
    <t>Jennifer Liz Silva</t>
  </si>
  <si>
    <t>07/10/1948</t>
  </si>
  <si>
    <t>Mário André Drumond</t>
  </si>
  <si>
    <t>21/08/1985</t>
  </si>
  <si>
    <t>Luana Yasmin Letícia Nascimento</t>
  </si>
  <si>
    <t>11/03/2003</t>
  </si>
  <si>
    <t>Gabriel Mateus Sales</t>
  </si>
  <si>
    <t>16/06/1963</t>
  </si>
  <si>
    <t>Natália Francisca Jesus</t>
  </si>
  <si>
    <t>01/01/1998</t>
  </si>
  <si>
    <t>Santana do Livramento</t>
  </si>
  <si>
    <t>Isabela Amanda Raimunda da Luz</t>
  </si>
  <si>
    <t>14/09/1990</t>
  </si>
  <si>
    <t>Calebe Ruan Noah Barros</t>
  </si>
  <si>
    <t>18/02/1994</t>
  </si>
  <si>
    <t>José Tiago Fernandes</t>
  </si>
  <si>
    <t>15/10/1969</t>
  </si>
  <si>
    <t>Helena Isabel Sophia Souza</t>
  </si>
  <si>
    <t>17/11/1997</t>
  </si>
  <si>
    <t>Matheus Leandro Porto</t>
  </si>
  <si>
    <t>20/02/1948</t>
  </si>
  <si>
    <t>Dourados</t>
  </si>
  <si>
    <t>Stella Laura da Rocha</t>
  </si>
  <si>
    <t>Ryan Miguel Santos</t>
  </si>
  <si>
    <t>01/11/1958</t>
  </si>
  <si>
    <t>Ian Marcos Vinicius Victor Moraes</t>
  </si>
  <si>
    <t>13/11/1988</t>
  </si>
  <si>
    <t>Louise Aparecida Raimunda da Paz</t>
  </si>
  <si>
    <t>16/11/1946</t>
  </si>
  <si>
    <t>Sophia Regina Sabrina Martins</t>
  </si>
  <si>
    <t>23/06/1962</t>
  </si>
  <si>
    <t>Ribeirão das Neves</t>
  </si>
  <si>
    <t>Sara Carolina das Neves</t>
  </si>
  <si>
    <t>21/06/1977</t>
  </si>
  <si>
    <t>Ryan Fernando Oliveira</t>
  </si>
  <si>
    <t>23/06/1957</t>
  </si>
  <si>
    <t>Filipe Samuel Brito</t>
  </si>
  <si>
    <t>09/05/1994</t>
  </si>
  <si>
    <t>Evelyn Analu Teresinha Moura</t>
  </si>
  <si>
    <t>24/10/1944</t>
  </si>
  <si>
    <t>Campo Mourão</t>
  </si>
  <si>
    <t>Tânia Isabelly Gabrielly Mendes</t>
  </si>
  <si>
    <t>Três Rios</t>
  </si>
  <si>
    <t>Jéssica Agatha Marli Souza</t>
  </si>
  <si>
    <t>10/07/1994</t>
  </si>
  <si>
    <t>Manoel Cláudio Danilo Castro</t>
  </si>
  <si>
    <t>25/08/2003</t>
  </si>
  <si>
    <t>Luiza Maitê Figueiredo</t>
  </si>
  <si>
    <t>16/03/2003</t>
  </si>
  <si>
    <t>Samuel Cauê Gomes</t>
  </si>
  <si>
    <t>06/08/1981</t>
  </si>
  <si>
    <t>Alessandra Milena Ayla Silva</t>
  </si>
  <si>
    <t>20/09/1993</t>
  </si>
  <si>
    <t>Esther Cláudia Aparecida da Rosa</t>
  </si>
  <si>
    <t>15/06/1957</t>
  </si>
  <si>
    <t>Patrícia Ayla Fernandes</t>
  </si>
  <si>
    <t>18/11/1951</t>
  </si>
  <si>
    <t>Juliana Isabela Rodrigues</t>
  </si>
  <si>
    <t>25/06/1987</t>
  </si>
  <si>
    <t>Lucca Nelson João da Luz</t>
  </si>
  <si>
    <t>20/03/1989</t>
  </si>
  <si>
    <t>Anderson Otávio Otávio Dias</t>
  </si>
  <si>
    <t>19/11/1995</t>
  </si>
  <si>
    <t>Danilo Edson da Costa</t>
  </si>
  <si>
    <t>02/08/2001</t>
  </si>
  <si>
    <t>Fernanda Natália Aparício</t>
  </si>
  <si>
    <t>01/05/1987</t>
  </si>
  <si>
    <t>Paulo Filipe Luiz Novaes</t>
  </si>
  <si>
    <t>05/05/1993</t>
  </si>
  <si>
    <t>Sérgio Luan Sérgio Oliveira</t>
  </si>
  <si>
    <t>10/05/1989</t>
  </si>
  <si>
    <t>Manuela Aline Eduarda Porto</t>
  </si>
  <si>
    <t>06/07/1976</t>
  </si>
  <si>
    <t>Laís Esther Fátima Teixeira</t>
  </si>
  <si>
    <t>05/01/1970</t>
  </si>
  <si>
    <t>Lucas Gabriel Thomas dos Santos</t>
  </si>
  <si>
    <t>17/09/1981</t>
  </si>
  <si>
    <t>Melissa Carolina Aline Moreira</t>
  </si>
  <si>
    <t>13/10/1972</t>
  </si>
  <si>
    <t>Felipe Davi Sérgio Rocha</t>
  </si>
  <si>
    <t>02/10/1956</t>
  </si>
  <si>
    <t>Malu Isadora Barbosa</t>
  </si>
  <si>
    <t>19/01/2001</t>
  </si>
  <si>
    <t>Marcelo Benjamin Ryan Nascimento</t>
  </si>
  <si>
    <t>12/06/1982</t>
  </si>
  <si>
    <t>Cláudio Marcos Gael Drumond</t>
  </si>
  <si>
    <t>Carlos Eduardo Bryan Moraes</t>
  </si>
  <si>
    <t>11/03/1985</t>
  </si>
  <si>
    <t>Jaqueline Antonella Joana Ribeiro</t>
  </si>
  <si>
    <t>08/07/1972</t>
  </si>
  <si>
    <t>Anthony Danilo Victor Silveira</t>
  </si>
  <si>
    <t>07/10/1953</t>
  </si>
  <si>
    <t>Elias Hugo Oliver Pinto</t>
  </si>
  <si>
    <t>24/05/1962</t>
  </si>
  <si>
    <t>Vitória do Jari</t>
  </si>
  <si>
    <t>Daiane Mariane Kamilly Cardoso</t>
  </si>
  <si>
    <t>12/07/1953</t>
  </si>
  <si>
    <t>César Luís Kevin Pereira</t>
  </si>
  <si>
    <t>12/11/1998</t>
  </si>
  <si>
    <t>Jaqueline Isabela Andreia Galvão</t>
  </si>
  <si>
    <t>10/07/1954</t>
  </si>
  <si>
    <t>Isabelle Sebastiana Vieira</t>
  </si>
  <si>
    <t>18/01/1992</t>
  </si>
  <si>
    <t>Melissa Letícia Cavalcanti</t>
  </si>
  <si>
    <t>Matheus Sebastião Castro</t>
  </si>
  <si>
    <t>18/01/1983</t>
  </si>
  <si>
    <t>Bianca Benedita Natália Carvalho</t>
  </si>
  <si>
    <t>02/04/1975</t>
  </si>
  <si>
    <t>Emily Beatriz Renata da Cruz</t>
  </si>
  <si>
    <t>07/03/1944</t>
  </si>
  <si>
    <t>Jorge Victor Enrico dos Santos</t>
  </si>
  <si>
    <t>16/05/1968</t>
  </si>
  <si>
    <t>Agatha Beatriz Aurora Brito</t>
  </si>
  <si>
    <t>26/07/1982</t>
  </si>
  <si>
    <t>Agatha Amanda Almeida</t>
  </si>
  <si>
    <t>18/05/1954</t>
  </si>
  <si>
    <t>Lorena</t>
  </si>
  <si>
    <t>Juan Bernardo Drumond</t>
  </si>
  <si>
    <t>16/08/1999</t>
  </si>
  <si>
    <t>Navegantes</t>
  </si>
  <si>
    <t>Olivia Silvana Araújo</t>
  </si>
  <si>
    <t>25/03/1988</t>
  </si>
  <si>
    <t>Jorge Raul Daniel Figueiredo</t>
  </si>
  <si>
    <t>05/10/1994</t>
  </si>
  <si>
    <t>Governador Dix-Sept Rosado</t>
  </si>
  <si>
    <t>Antônia Alícia Mendes</t>
  </si>
  <si>
    <t>03/06/1981</t>
  </si>
  <si>
    <t>Enrico Igor Barros</t>
  </si>
  <si>
    <t>Águas Lindas de Goiás</t>
  </si>
  <si>
    <t>Antonio Ricardo Moura</t>
  </si>
  <si>
    <t>02/05/1947</t>
  </si>
  <si>
    <t>Aline Lara Lavínia Rodrigues</t>
  </si>
  <si>
    <t>01/10/1956</t>
  </si>
  <si>
    <t>Luciana Ana Helena Porto</t>
  </si>
  <si>
    <t>15/06/1991</t>
  </si>
  <si>
    <t>Catarina Emilly Kamilly Barbosa</t>
  </si>
  <si>
    <t>12/02/1978</t>
  </si>
  <si>
    <t>Raimunda Isis Silveira</t>
  </si>
  <si>
    <t>24/06/1985</t>
  </si>
  <si>
    <t>Fernanda Isadora Larissa da Rocha</t>
  </si>
  <si>
    <t>23/01/1951</t>
  </si>
  <si>
    <t>Henry Cauã Sales</t>
  </si>
  <si>
    <t>16/05/1979</t>
  </si>
  <si>
    <t>Luana Elza Monteiro</t>
  </si>
  <si>
    <t>11/10/1961</t>
  </si>
  <si>
    <t>Daniel Cauã Rezende</t>
  </si>
  <si>
    <t>14/06/1956</t>
  </si>
  <si>
    <t>Cauê Otávio Marcelo Assis</t>
  </si>
  <si>
    <t>02/03/1989</t>
  </si>
  <si>
    <t>Sobral</t>
  </si>
  <si>
    <t>Andrea Débora Julia Nunes</t>
  </si>
  <si>
    <t>02/06/1968</t>
  </si>
  <si>
    <t>Marli Maria Alves</t>
  </si>
  <si>
    <t>04/03/1967</t>
  </si>
  <si>
    <t>Carla Kamilly Silva</t>
  </si>
  <si>
    <t>20/03/1994</t>
  </si>
  <si>
    <t>Patrícia Daniela da Costa</t>
  </si>
  <si>
    <t>14/05/1967</t>
  </si>
  <si>
    <t>Emilly Sueli Lorena das Neves</t>
  </si>
  <si>
    <t>08/02/1948</t>
  </si>
  <si>
    <t>Sabrina Liz Campos</t>
  </si>
  <si>
    <t>14/04/2000</t>
  </si>
  <si>
    <t>Tiago Francisco Freitas</t>
  </si>
  <si>
    <t>06/09/1967</t>
  </si>
  <si>
    <t>Renan Renato Henry Vieira</t>
  </si>
  <si>
    <t>06/09/2004</t>
  </si>
  <si>
    <t>Tubarão</t>
  </si>
  <si>
    <t>Benedito Elias Vieira</t>
  </si>
  <si>
    <t>13/10/1965</t>
  </si>
  <si>
    <t>Joana Flávia Galvão</t>
  </si>
  <si>
    <t>20/07/1995</t>
  </si>
  <si>
    <t>Luana Alessandra Lara Nunes</t>
  </si>
  <si>
    <t>14/11/2005</t>
  </si>
  <si>
    <t>Débora Catarina da Conceição</t>
  </si>
  <si>
    <t>20/10/1948</t>
  </si>
  <si>
    <t>Beatriz Simone Sophia da Costa</t>
  </si>
  <si>
    <t>03/05/1980</t>
  </si>
  <si>
    <t>Débora Evelyn Hadassa Santos</t>
  </si>
  <si>
    <t>03/11/1968</t>
  </si>
  <si>
    <t>Nathan Matheus Carvalho</t>
  </si>
  <si>
    <t>23/07/1946</t>
  </si>
  <si>
    <t>Paulo Emanuel Nathan Nascimento</t>
  </si>
  <si>
    <t>08/08/1952</t>
  </si>
  <si>
    <t>Valentina Isabelly Assis</t>
  </si>
  <si>
    <t>25/08/1963</t>
  </si>
  <si>
    <t>Vitor Benedito Jesus</t>
  </si>
  <si>
    <t>21/08/1977</t>
  </si>
  <si>
    <t>Antonio Thomas Novaes</t>
  </si>
  <si>
    <t>08/03/1952</t>
  </si>
  <si>
    <t>Diego Kauê Pinto</t>
  </si>
  <si>
    <t>03/07/1945</t>
  </si>
  <si>
    <t>Emanuel Marcos Vinicius Moreira</t>
  </si>
  <si>
    <t>Osvaldo Gustavo Melo</t>
  </si>
  <si>
    <t>21/08/2002</t>
  </si>
  <si>
    <t>Aline Giovanna da Luz</t>
  </si>
  <si>
    <t>02/09/2001</t>
  </si>
  <si>
    <t>Josefa Fernanda Maya da Silva</t>
  </si>
  <si>
    <t>03/07/1980</t>
  </si>
  <si>
    <t>Ruan Pietro Diogo Aparício</t>
  </si>
  <si>
    <t>03/11/1946</t>
  </si>
  <si>
    <t>Diogo Diogo Oliveira</t>
  </si>
  <si>
    <t>Thomas Enrico Julio da Paz</t>
  </si>
  <si>
    <t>07/01/1959</t>
  </si>
  <si>
    <t>Anthony Anderson Jorge Araújo</t>
  </si>
  <si>
    <t>18/10/1983</t>
  </si>
  <si>
    <t>Maya Tatiane Carolina Caldeira</t>
  </si>
  <si>
    <t>18/03/1962</t>
  </si>
  <si>
    <t>Murilo Igor Sérgio Castro</t>
  </si>
  <si>
    <t>15/03/1990</t>
  </si>
  <si>
    <t>Areia Branca</t>
  </si>
  <si>
    <t>Sophia Malu Nina Ribeiro</t>
  </si>
  <si>
    <t>09/09/1980</t>
  </si>
  <si>
    <t>Danilo Alexandre Silveira</t>
  </si>
  <si>
    <t>27/06/1946</t>
  </si>
  <si>
    <t>Andreia Rita Andreia Moraes</t>
  </si>
  <si>
    <t>04/03/1985</t>
  </si>
  <si>
    <t>Clara Ayla Rodrigues</t>
  </si>
  <si>
    <t>03/08/1953</t>
  </si>
  <si>
    <t>Nicolas Roberto Campos</t>
  </si>
  <si>
    <t>10/03/1999</t>
  </si>
  <si>
    <t>Mário Enrico Bernardes</t>
  </si>
  <si>
    <t>05/01/1974</t>
  </si>
  <si>
    <t>Nelson Francisco Baptista</t>
  </si>
  <si>
    <t>Rafael Manuel da Mota</t>
  </si>
  <si>
    <t>18/10/2002</t>
  </si>
  <si>
    <t>Isabel Hadassa Duarte</t>
  </si>
  <si>
    <t>21/10/1967</t>
  </si>
  <si>
    <t>Sophia Isabelle Maya Figueiredo</t>
  </si>
  <si>
    <t>16/02/1951</t>
  </si>
  <si>
    <t>Laura Olivia Elisa Drumond</t>
  </si>
  <si>
    <t>24/04/1950</t>
  </si>
  <si>
    <t>Jennifer Eliane Porto</t>
  </si>
  <si>
    <t>15/11/1946</t>
  </si>
  <si>
    <t>Emanuel Marcos Leonardo Corte Real</t>
  </si>
  <si>
    <t>14/04/1988</t>
  </si>
  <si>
    <t>Pietro Diogo da Mata</t>
  </si>
  <si>
    <t>08/05/1993</t>
  </si>
  <si>
    <t>Mateus Leonardo Mário Freitas</t>
  </si>
  <si>
    <t>11/10/1991</t>
  </si>
  <si>
    <t>Letícia Renata Cavalcanti</t>
  </si>
  <si>
    <t>25/07/1982</t>
  </si>
  <si>
    <t>Isis Rosa Nascimento</t>
  </si>
  <si>
    <t>15/05/1986</t>
  </si>
  <si>
    <t>Juan Sebastião Kevin Oliveira</t>
  </si>
  <si>
    <t>23/02/1946</t>
  </si>
  <si>
    <t>Manoel Mateus Anthony Barbosa</t>
  </si>
  <si>
    <t>11/02/1953</t>
  </si>
  <si>
    <t>Miguel Danilo Otávio dos Santos</t>
  </si>
  <si>
    <t>16/05/2004</t>
  </si>
  <si>
    <t>Tomás Sérgio Emanuel da Cunha</t>
  </si>
  <si>
    <t>20/05/1975</t>
  </si>
  <si>
    <t>Sabará</t>
  </si>
  <si>
    <t>Mariah Carolina Silveira</t>
  </si>
  <si>
    <t>17/05/1974</t>
  </si>
  <si>
    <t>Luana Kamilly da Silva</t>
  </si>
  <si>
    <t>10/11/1986</t>
  </si>
  <si>
    <t>Elias Kaique Rezende</t>
  </si>
  <si>
    <t>Sebastião Raimundo Vinicius Baptista</t>
  </si>
  <si>
    <t>Eliane Raimunda Pereira</t>
  </si>
  <si>
    <t>17/05/2005</t>
  </si>
  <si>
    <t>André Heitor Sales</t>
  </si>
  <si>
    <t>10/10/1967</t>
  </si>
  <si>
    <t>Kauê Kaique Costa</t>
  </si>
  <si>
    <t>10/05/1966</t>
  </si>
  <si>
    <t>Carla Sueli Evelyn Moura</t>
  </si>
  <si>
    <t>03/01/1960</t>
  </si>
  <si>
    <t>Davi Nelson Vinicius da Costa</t>
  </si>
  <si>
    <t>10/05/1959</t>
  </si>
  <si>
    <t>Mirella Stella de Paula</t>
  </si>
  <si>
    <t>22/05/1976</t>
  </si>
  <si>
    <t>Gabrielly Mariana Nogueira</t>
  </si>
  <si>
    <t>15/06/1949</t>
  </si>
  <si>
    <t>Divinópolis</t>
  </si>
  <si>
    <t>Renata Rebeca Santos</t>
  </si>
  <si>
    <t>06/10/1990</t>
  </si>
  <si>
    <t>Eunápolis</t>
  </si>
  <si>
    <t>Manoel Julio da Mota</t>
  </si>
  <si>
    <t>22/08/1983</t>
  </si>
  <si>
    <t>Naraniu</t>
  </si>
  <si>
    <t>Anthony Sebastião Joaquim Almeida</t>
  </si>
  <si>
    <t>04/07/1950</t>
  </si>
  <si>
    <t>Fábio Tiago Ian Gonçalves</t>
  </si>
  <si>
    <t>26/02/1947</t>
  </si>
  <si>
    <t>Carolina Beatriz Liz Cardoso</t>
  </si>
  <si>
    <t>14/08/1967</t>
  </si>
  <si>
    <t>Kamilly Brenda Alessandra Brito</t>
  </si>
  <si>
    <t>17/10/1957</t>
  </si>
  <si>
    <t>Passo Fundo</t>
  </si>
  <si>
    <t>Ayla Stella Silvana da Rocha</t>
  </si>
  <si>
    <t>14/02/2004</t>
  </si>
  <si>
    <t>Andrea Clarice Rodrigues</t>
  </si>
  <si>
    <t>04/07/1948</t>
  </si>
  <si>
    <t>Benedita Luciana de Paula</t>
  </si>
  <si>
    <t>25/09/1963</t>
  </si>
  <si>
    <t>Fátima Esther Agatha Fogaça</t>
  </si>
  <si>
    <t>03/11/1984</t>
  </si>
  <si>
    <t>Vinicius José Daniel Castro</t>
  </si>
  <si>
    <t>18/01/1981</t>
  </si>
  <si>
    <t>Isabel Aparecida da Rosa</t>
  </si>
  <si>
    <t>08/07/2003</t>
  </si>
  <si>
    <t>Sérgio Anderson Manoel Almeida</t>
  </si>
  <si>
    <t>08/10/1952</t>
  </si>
  <si>
    <t>Ana Eliane da Paz</t>
  </si>
  <si>
    <t>Ester Bianca Duarte</t>
  </si>
  <si>
    <t>20/10/1993</t>
  </si>
  <si>
    <t>Laura Aline da Luz</t>
  </si>
  <si>
    <t>19/08/1959</t>
  </si>
  <si>
    <t>Isis Marli Sônia Carvalho</t>
  </si>
  <si>
    <t>07/11/1968</t>
  </si>
  <si>
    <t>Geraldo Gabriel das Neves</t>
  </si>
  <si>
    <t>24/09/1996</t>
  </si>
  <si>
    <t>Camaçari</t>
  </si>
  <si>
    <t>Sérgio Daniel Severino Brito</t>
  </si>
  <si>
    <t>07/03/1970</t>
  </si>
  <si>
    <t>Augusto Henry Sebastião da Silva</t>
  </si>
  <si>
    <t>01/10/1975</t>
  </si>
  <si>
    <t>Elias Joaquim Bryan Melo</t>
  </si>
  <si>
    <t>26/07/1993</t>
  </si>
  <si>
    <t>Cláudio Theo Raul Souza</t>
  </si>
  <si>
    <t>01/11/1999</t>
  </si>
  <si>
    <t>Rosa Priscila Patrícia Moraes</t>
  </si>
  <si>
    <t>08/10/1985</t>
  </si>
  <si>
    <t>Hugo Caio Barros</t>
  </si>
  <si>
    <t>01/03/1999</t>
  </si>
  <si>
    <t>Emanuelly Antonella Alessandra Assis</t>
  </si>
  <si>
    <t>07/04/1946</t>
  </si>
  <si>
    <t>Gabriel Yuri Sales</t>
  </si>
  <si>
    <t>23/09/1972</t>
  </si>
  <si>
    <t>Luiz Elias Vieira</t>
  </si>
  <si>
    <t>21/02/2000</t>
  </si>
  <si>
    <t>Benício Fernando Alves</t>
  </si>
  <si>
    <t>07/09/2003</t>
  </si>
  <si>
    <t>Daiane Allana Teixeira</t>
  </si>
  <si>
    <t>13/01/1973</t>
  </si>
  <si>
    <t>Bianca Mirella Jesus</t>
  </si>
  <si>
    <t>03/11/1954</t>
  </si>
  <si>
    <t>Yago Nicolas Benício Aparício</t>
  </si>
  <si>
    <t>23/05/1999</t>
  </si>
  <si>
    <t>Arcoverde</t>
  </si>
  <si>
    <t>Hadassa Rosa da Conceição</t>
  </si>
  <si>
    <t>16/11/1957</t>
  </si>
  <si>
    <t>Tereza Jennifer Farias</t>
  </si>
  <si>
    <t>02/11/1981</t>
  </si>
  <si>
    <t>Cauê Diego Davi Nascimento</t>
  </si>
  <si>
    <t>25/10/1997</t>
  </si>
  <si>
    <t>Bryan Calebe Figueiredo</t>
  </si>
  <si>
    <t>04/02/2002</t>
  </si>
  <si>
    <t>Simone Ayla Lima</t>
  </si>
  <si>
    <t>01/04/1981</t>
  </si>
  <si>
    <t>Capanema</t>
  </si>
  <si>
    <t>Elaine Giovanna Louise Figueiredo</t>
  </si>
  <si>
    <t>12/09/1965</t>
  </si>
  <si>
    <t>Araxá</t>
  </si>
  <si>
    <t>Julio Benjamin Gabriel Gomes</t>
  </si>
  <si>
    <t>23/05/1945</t>
  </si>
  <si>
    <t>Giovanni Luís Vicente Brito</t>
  </si>
  <si>
    <t>11/11/1992</t>
  </si>
  <si>
    <t>Francisco Morato</t>
  </si>
  <si>
    <t>Giovanni Felipe Rodrigues</t>
  </si>
  <si>
    <t>15/03/1991</t>
  </si>
  <si>
    <t>Brenda Daniela Rosa Carvalho</t>
  </si>
  <si>
    <t>27/02/1972</t>
  </si>
  <si>
    <t>Gabriel Marcos Vinicius Yuri Almada</t>
  </si>
  <si>
    <t>20/02/1978</t>
  </si>
  <si>
    <t>Luiza Marina Louise Fernandes</t>
  </si>
  <si>
    <t>27/07/1972</t>
  </si>
  <si>
    <t>Severino Nathan Edson Jesus</t>
  </si>
  <si>
    <t>02/07/1994</t>
  </si>
  <si>
    <t>Clara Alana Josefa Silva</t>
  </si>
  <si>
    <t>18/07/1971</t>
  </si>
  <si>
    <t>Tatiane Raquel Pereira</t>
  </si>
  <si>
    <t>27/04/1950</t>
  </si>
  <si>
    <t>Ricardo Severino Augusto da Costa</t>
  </si>
  <si>
    <t>04/02/1985</t>
  </si>
  <si>
    <t>Emanuelly Brenda Luciana Souza</t>
  </si>
  <si>
    <t>22/04/1995</t>
  </si>
  <si>
    <t>Mirella Bruna Jennifer Oliveira</t>
  </si>
  <si>
    <t>09/04/1953</t>
  </si>
  <si>
    <t>Arthur Luiz Viana</t>
  </si>
  <si>
    <t>27/06/1995</t>
  </si>
  <si>
    <t>Clarice Vanessa Sônia de Paula</t>
  </si>
  <si>
    <t>21/06/1959</t>
  </si>
  <si>
    <t>João Kauê Cardoso</t>
  </si>
  <si>
    <t>21/07/2003</t>
  </si>
  <si>
    <t>Daniel Henrique Kauê da Paz</t>
  </si>
  <si>
    <t>06/09/1987</t>
  </si>
  <si>
    <t>Edson Julio das Neves</t>
  </si>
  <si>
    <t>19/07/1996</t>
  </si>
  <si>
    <t>Isabel Fátima Moraes</t>
  </si>
  <si>
    <t>16/05/1955</t>
  </si>
  <si>
    <t>Elaine Rita Emanuelly Gonçalves</t>
  </si>
  <si>
    <t>19/09/1971</t>
  </si>
  <si>
    <t>Heitor Breno Porto</t>
  </si>
  <si>
    <t>16/03/1972</t>
  </si>
  <si>
    <t>Sophie Louise Isabelly Campos</t>
  </si>
  <si>
    <t>07/08/1977</t>
  </si>
  <si>
    <t>Beatriz Maitê Marina Farias</t>
  </si>
  <si>
    <t>23/04/1982</t>
  </si>
  <si>
    <t>Flávia Marcela Nascimento</t>
  </si>
  <si>
    <t>04/08/1946</t>
  </si>
  <si>
    <t>Rodrigo Pietro Gabriel da Conceição</t>
  </si>
  <si>
    <t>18/03/1996</t>
  </si>
  <si>
    <t>Yago Elias Novaes</t>
  </si>
  <si>
    <t>18/03/2006</t>
  </si>
  <si>
    <t>Fernando Fernando Manoel Nunes</t>
  </si>
  <si>
    <t>08/11/1960</t>
  </si>
  <si>
    <t>Pietra Carolina Heloise Ferreira</t>
  </si>
  <si>
    <t>08/11/1955</t>
  </si>
  <si>
    <t>Giovana Isabelle da Silva</t>
  </si>
  <si>
    <t>24/01/1948</t>
  </si>
  <si>
    <t>Elisa Carolina Sara Galvão</t>
  </si>
  <si>
    <t>13/04/1992</t>
  </si>
  <si>
    <t>Martin Tiago Diego Campos</t>
  </si>
  <si>
    <t>06/06/2000</t>
  </si>
  <si>
    <t>Itabira</t>
  </si>
  <si>
    <t>Márcio Thomas Jesus</t>
  </si>
  <si>
    <t>23/04/1951</t>
  </si>
  <si>
    <t>Joaquim Pedro Henrique Souza</t>
  </si>
  <si>
    <t>12/11/1959</t>
  </si>
  <si>
    <t>Marabá</t>
  </si>
  <si>
    <t>Renata Maitê Porto</t>
  </si>
  <si>
    <t>13/05/1965</t>
  </si>
  <si>
    <t>Vitor Kaique Galvão</t>
  </si>
  <si>
    <t>10/11/1979</t>
  </si>
  <si>
    <t>Emily Raimunda Antônia Moraes</t>
  </si>
  <si>
    <t>15/01/2001</t>
  </si>
  <si>
    <t>Antonella Alice Brenda Rocha</t>
  </si>
  <si>
    <t>13/11/1964</t>
  </si>
  <si>
    <t>Vitor Vitor Araújo</t>
  </si>
  <si>
    <t>09/05/1955</t>
  </si>
  <si>
    <t>Isabelle Bárbara Assis</t>
  </si>
  <si>
    <t>22/05/1971</t>
  </si>
  <si>
    <t>Henrique Gustavo Vicente Almada</t>
  </si>
  <si>
    <t>25/08/1955</t>
  </si>
  <si>
    <t>Larissa Antonella Moreira</t>
  </si>
  <si>
    <t>02/10/1949</t>
  </si>
  <si>
    <t>Paulista</t>
  </si>
  <si>
    <t>Aline Mariana da Silva</t>
  </si>
  <si>
    <t>15/07/1960</t>
  </si>
  <si>
    <t>Vinicius Carlos Brito</t>
  </si>
  <si>
    <t>15/04/1944</t>
  </si>
  <si>
    <t>Eduarda Giovana Aragão</t>
  </si>
  <si>
    <t>23/08/1956</t>
  </si>
  <si>
    <t>Fernando Manuel Carvalho</t>
  </si>
  <si>
    <t>20/09/1991</t>
  </si>
  <si>
    <t>Isaac Ian Pereira</t>
  </si>
  <si>
    <t>Catarina Mirella Nunes</t>
  </si>
  <si>
    <t>01/01/2002</t>
  </si>
  <si>
    <t>Pietra Vanessa Cavalcanti</t>
  </si>
  <si>
    <t>15/11/1990</t>
  </si>
  <si>
    <t>Santa Rita</t>
  </si>
  <si>
    <t>Lúcia Jaqueline Teixeira</t>
  </si>
  <si>
    <t>27/10/1968</t>
  </si>
  <si>
    <t>Eloá Carla Rosa Bernardes</t>
  </si>
  <si>
    <t>02/07/1993</t>
  </si>
  <si>
    <t>César Luan Drumond</t>
  </si>
  <si>
    <t>16/10/1970</t>
  </si>
  <si>
    <t>Evelyn Alana Rezende</t>
  </si>
  <si>
    <t>19/04/1959</t>
  </si>
  <si>
    <t>Leandro José Rodrigues</t>
  </si>
  <si>
    <t>25/03/1955</t>
  </si>
  <si>
    <t>Isaac Davi Gomes</t>
  </si>
  <si>
    <t>19/10/1982</t>
  </si>
  <si>
    <t>Liz Luna Jéssica Moura</t>
  </si>
  <si>
    <t>18/05/1992</t>
  </si>
  <si>
    <t>Sônia Agatha Louise da Cunha</t>
  </si>
  <si>
    <t>15/08/1961</t>
  </si>
  <si>
    <t>Renato Fábio Aparício</t>
  </si>
  <si>
    <t>06/06/1959</t>
  </si>
  <si>
    <t>Sônia Emily Assunção</t>
  </si>
  <si>
    <t>10/10/1966</t>
  </si>
  <si>
    <t>Márcio Rafael Figueiredo</t>
  </si>
  <si>
    <t>27/09/1990</t>
  </si>
  <si>
    <t>Sandra Simone Luciana Farias</t>
  </si>
  <si>
    <t>15/09/1974</t>
  </si>
  <si>
    <t>Elza Antonella Araújo</t>
  </si>
  <si>
    <t>Benedita Bruna Brito</t>
  </si>
  <si>
    <t>22/03/1984</t>
  </si>
  <si>
    <t>André Benício Daniel Drumond</t>
  </si>
  <si>
    <t>02/02/1950</t>
  </si>
  <si>
    <t>Simone Aurora Liz Sales</t>
  </si>
  <si>
    <t>04/04/2003</t>
  </si>
  <si>
    <t>Allana Elisa Assis</t>
  </si>
  <si>
    <t>20/07/1950</t>
  </si>
  <si>
    <t>Juan Paulo Tomás da Rosa</t>
  </si>
  <si>
    <t>26/01/1983</t>
  </si>
  <si>
    <t>Theo Matheus Castro</t>
  </si>
  <si>
    <t>21/03/1980</t>
  </si>
  <si>
    <t>Danilo Guilherme da Mota</t>
  </si>
  <si>
    <t>09/04/1960</t>
  </si>
  <si>
    <t>Manoel Heitor Almada</t>
  </si>
  <si>
    <t>13/10/1994</t>
  </si>
  <si>
    <t>Tânia Teresinha da Rocha</t>
  </si>
  <si>
    <t>18/08/1982</t>
  </si>
  <si>
    <t>Marlene Mirella Helena Mendes</t>
  </si>
  <si>
    <t>12/01/1983</t>
  </si>
  <si>
    <t>Jennifer Maitê Barbosa</t>
  </si>
  <si>
    <t>02/02/1978</t>
  </si>
  <si>
    <t>Vitória Eliane Santos</t>
  </si>
  <si>
    <t>24/09/1949</t>
  </si>
  <si>
    <t>Ribeirão Preto</t>
  </si>
  <si>
    <t>Isabelly Beatriz Rodrigues</t>
  </si>
  <si>
    <t>13/08/1987</t>
  </si>
  <si>
    <t>Theo Emanuel Kauê Assunção</t>
  </si>
  <si>
    <t>15/10/1981</t>
  </si>
  <si>
    <t>Rafael Manoel Fogaça</t>
  </si>
  <si>
    <t>19/08/1966</t>
  </si>
  <si>
    <t>Isis Tatiane Viana</t>
  </si>
  <si>
    <t>09/04/2001</t>
  </si>
  <si>
    <t>Bryan Victor Caldeira</t>
  </si>
  <si>
    <t>15/09/1947</t>
  </si>
  <si>
    <t>Catarina Esther Nunes</t>
  </si>
  <si>
    <t>09/03/1970</t>
  </si>
  <si>
    <t>Caroline Débora Oliveira</t>
  </si>
  <si>
    <t>11/06/1981</t>
  </si>
  <si>
    <t>Fátima Andreia Figueiredo</t>
  </si>
  <si>
    <t>17/09/1967</t>
  </si>
  <si>
    <t>Marcela Catarina Larissa Galvão</t>
  </si>
  <si>
    <t>22/01/2005</t>
  </si>
  <si>
    <t>Isabelly Débora Moura</t>
  </si>
  <si>
    <t>Renan Jorge Vitor Rocha</t>
  </si>
  <si>
    <t>26/07/1945</t>
  </si>
  <si>
    <t>Hadassa Amanda Débora da Paz</t>
  </si>
  <si>
    <t>16/05/1977</t>
  </si>
  <si>
    <t>Rodrigo Martin Vinicius Monteiro</t>
  </si>
  <si>
    <t>07/01/2000</t>
  </si>
  <si>
    <t>Renato Davi Lopes</t>
  </si>
  <si>
    <t>25/08/1966</t>
  </si>
  <si>
    <t>Rosângela Sabrina Peixoto</t>
  </si>
  <si>
    <t>07/11/2006</t>
  </si>
  <si>
    <t>Alexandre Nelson Igor Barros</t>
  </si>
  <si>
    <t>17/06/1974</t>
  </si>
  <si>
    <t>Lorena Mariane Daniela Porto</t>
  </si>
  <si>
    <t>26/04/1958</t>
  </si>
  <si>
    <t>Filipe Paulo Renan Moura</t>
  </si>
  <si>
    <t>06/10/2001</t>
  </si>
  <si>
    <t>Rosa Nair Liz Galvão</t>
  </si>
  <si>
    <t>Filipe Iago Caldeira</t>
  </si>
  <si>
    <t>14/04/1980</t>
  </si>
  <si>
    <t>Gael Davi Raimundo Monteiro</t>
  </si>
  <si>
    <t>22/07/1980</t>
  </si>
  <si>
    <t>Luís Heitor Luiz Farias</t>
  </si>
  <si>
    <t>Filipe Mário Viana</t>
  </si>
  <si>
    <t>12/03/1965</t>
  </si>
  <si>
    <t>Arthur Osvaldo Luan Duarte</t>
  </si>
  <si>
    <t>02/07/1946</t>
  </si>
  <si>
    <t>Laura Emanuelly Cardoso</t>
  </si>
  <si>
    <t>11/04/1985</t>
  </si>
  <si>
    <t>Isabel Mariana Juliana da Mata</t>
  </si>
  <si>
    <t>04/11/1955</t>
  </si>
  <si>
    <t>Bruno Fernando Bernardes</t>
  </si>
  <si>
    <t>04/01/1946</t>
  </si>
  <si>
    <t>Presidente Prudente</t>
  </si>
  <si>
    <t>André Caleb Pires</t>
  </si>
  <si>
    <t>14/07/1991</t>
  </si>
  <si>
    <t>Anderson Leandro Tiago Aragão</t>
  </si>
  <si>
    <t>18/02/1978</t>
  </si>
  <si>
    <t>Osvaldo Ricardo Lucas Figueiredo</t>
  </si>
  <si>
    <t>25/03/1997</t>
  </si>
  <si>
    <t>Osvaldo Anderson Martins</t>
  </si>
  <si>
    <t>10/02/2004</t>
  </si>
  <si>
    <t>Sandra Maria Assis</t>
  </si>
  <si>
    <t>01/01/1978</t>
  </si>
  <si>
    <t>Fabiana Melissa Mariana Assunção</t>
  </si>
  <si>
    <t>12/11/1992</t>
  </si>
  <si>
    <t>Raimunda Tatiane Pietra Melo</t>
  </si>
  <si>
    <t>02/10/1981</t>
  </si>
  <si>
    <t>Carlos Eduardo Giovanni Gabriel Corte Real</t>
  </si>
  <si>
    <t>24/09/1959</t>
  </si>
  <si>
    <t>Vitória de Santo Antão</t>
  </si>
  <si>
    <t>Tereza Mariane Juliana Ramos</t>
  </si>
  <si>
    <t>23/03/1956</t>
  </si>
  <si>
    <t>Tatiane Brenda Antônia Barbosa</t>
  </si>
  <si>
    <t>19/02/1956</t>
  </si>
  <si>
    <t>Raimundo Marcos Ian Nascimento</t>
  </si>
  <si>
    <t>06/08/1972</t>
  </si>
  <si>
    <t>Sabrina Bárbara Nicole Vieira</t>
  </si>
  <si>
    <t>25/07/1945</t>
  </si>
  <si>
    <t>Patos de Minas</t>
  </si>
  <si>
    <t>Diego Rodrigo Fábio da Cruz</t>
  </si>
  <si>
    <t>11/02/1970</t>
  </si>
  <si>
    <t>Benedito Gael Cauã Baptista</t>
  </si>
  <si>
    <t>02/07/1990</t>
  </si>
  <si>
    <t>Bento Nathan Severino Castro</t>
  </si>
  <si>
    <t>12/04/1980</t>
  </si>
  <si>
    <t>Elias Marcelo Paulo Silva</t>
  </si>
  <si>
    <t>20/07/1979</t>
  </si>
  <si>
    <t>Marcelo Caio Nogueira</t>
  </si>
  <si>
    <t>16/06/1971</t>
  </si>
  <si>
    <t>Pietra Sophie Almada</t>
  </si>
  <si>
    <t>11/11/1965</t>
  </si>
  <si>
    <t>Heitor Rafael Silveira</t>
  </si>
  <si>
    <t>10/02/1961</t>
  </si>
  <si>
    <t>Tatuí</t>
  </si>
  <si>
    <t>Bento Matheus Thomas Sales</t>
  </si>
  <si>
    <t>21/02/1996</t>
  </si>
  <si>
    <t>Tiago Carlos Almeida</t>
  </si>
  <si>
    <t>15/11/2006</t>
  </si>
  <si>
    <t>Renan Tomás Diego da Rocha</t>
  </si>
  <si>
    <t>27/08/1944</t>
  </si>
  <si>
    <t>Carlos Raimundo Emanuel Araújo</t>
  </si>
  <si>
    <t>09/09/1950</t>
  </si>
  <si>
    <t>São Francisco do Brejão</t>
  </si>
  <si>
    <t>Vinicius Bryan Marcelo Farias</t>
  </si>
  <si>
    <t>01/02/1983</t>
  </si>
  <si>
    <t>Yago Cláudio Manuel Galvão</t>
  </si>
  <si>
    <t>26/07/1947</t>
  </si>
  <si>
    <t>Luís Mateus Fernandes</t>
  </si>
  <si>
    <t>04/03/1974</t>
  </si>
  <si>
    <t>Gabriel Iago Gomes</t>
  </si>
  <si>
    <t>Nelson Thales Arthur Pinto</t>
  </si>
  <si>
    <t>08/01/1991</t>
  </si>
  <si>
    <t>Osvaldo Mário Arthur da Mata</t>
  </si>
  <si>
    <t>03/02/2004</t>
  </si>
  <si>
    <t>Ryan Henry da Cunha</t>
  </si>
  <si>
    <t>05/09/1978</t>
  </si>
  <si>
    <t>Sérgio Vitor Monteiro</t>
  </si>
  <si>
    <t>24/02/1949</t>
  </si>
  <si>
    <t>Lara Isadora Nair Mendes</t>
  </si>
  <si>
    <t>15/11/2000</t>
  </si>
  <si>
    <t>Sara Sueli Ferreira</t>
  </si>
  <si>
    <t>18/08/1955</t>
  </si>
  <si>
    <t>Miguel Matheus Alves</t>
  </si>
  <si>
    <t>23/06/1997</t>
  </si>
  <si>
    <t>Renato Raul Luís Castro</t>
  </si>
  <si>
    <t>07/08/1949</t>
  </si>
  <si>
    <t>Silvana Luciana Sebastiana Campos</t>
  </si>
  <si>
    <t>05/11/2002</t>
  </si>
  <si>
    <t>Heloise Cláudia Peixoto</t>
  </si>
  <si>
    <t>09/03/1960</t>
  </si>
  <si>
    <t>Hugo Leandro de Paula</t>
  </si>
  <si>
    <t>04/04/1962</t>
  </si>
  <si>
    <t>Levi Fábio Kevin da Rosa</t>
  </si>
  <si>
    <t>23/01/1949</t>
  </si>
  <si>
    <t>Malu Julia Cavalcanti</t>
  </si>
  <si>
    <t>25/05/1993</t>
  </si>
  <si>
    <t>Ricardo Ricardo Manuel Silva</t>
  </si>
  <si>
    <t>19/01/1969</t>
  </si>
  <si>
    <t>Joana Letícia Mariah Santos</t>
  </si>
  <si>
    <t>24/03/1959</t>
  </si>
  <si>
    <t>Louise Julia Viana</t>
  </si>
  <si>
    <t>21/01/1993</t>
  </si>
  <si>
    <t>Severino Vitor Mário Carvalho</t>
  </si>
  <si>
    <t>02/08/1945</t>
  </si>
  <si>
    <t>Ayla Cecília Mirella Nascimento</t>
  </si>
  <si>
    <t>27/02/1993</t>
  </si>
  <si>
    <t>Henry Mateus Arthur Barbosa</t>
  </si>
  <si>
    <t>05/04/1976</t>
  </si>
  <si>
    <t>Adriana Melissa Cláudia Corte Real</t>
  </si>
  <si>
    <t>17/03/1977</t>
  </si>
  <si>
    <t>Luana Alana Cardoso</t>
  </si>
  <si>
    <t>26/02/1950</t>
  </si>
  <si>
    <t>Luzia Sebastiana Alice Porto</t>
  </si>
  <si>
    <t>Rita Valentina Duarte</t>
  </si>
  <si>
    <t>08/05/1980</t>
  </si>
  <si>
    <t>Thomas Henry Geraldo Silveira</t>
  </si>
  <si>
    <t>21/04/1945</t>
  </si>
  <si>
    <t>Liz Lara Fernanda Rodrigues</t>
  </si>
  <si>
    <t>01/11/1961</t>
  </si>
  <si>
    <t>Victor Thiago Nelson Alves</t>
  </si>
  <si>
    <t>03/09/1994</t>
  </si>
  <si>
    <t>Larissa Francisca Peixoto</t>
  </si>
  <si>
    <t>21/06/1944</t>
  </si>
  <si>
    <t>Nova Friburgo</t>
  </si>
  <si>
    <t>Gabriela Isabelly Isabelly Carvalho</t>
  </si>
  <si>
    <t>20/10/1978</t>
  </si>
  <si>
    <t>Juan Matheus Paulo das Neves</t>
  </si>
  <si>
    <t>10/01/1967</t>
  </si>
  <si>
    <t>Anthony Severino Ferreira</t>
  </si>
  <si>
    <t>06/07/1964</t>
  </si>
  <si>
    <t>Stefany Mirella Emily da Costa</t>
  </si>
  <si>
    <t>09/02/1955</t>
  </si>
  <si>
    <t>Liz Simone Lavínia Lima</t>
  </si>
  <si>
    <t>16/06/1961</t>
  </si>
  <si>
    <t>Levi Noah Yago Monteiro</t>
  </si>
  <si>
    <t>26/09/1998</t>
  </si>
  <si>
    <t>Igrapiúna</t>
  </si>
  <si>
    <t>Maya Isabelly Isabela Gonçalves</t>
  </si>
  <si>
    <t>26/02/1946</t>
  </si>
  <si>
    <t>Gustavo Anderson Benedito Fernandes</t>
  </si>
  <si>
    <t>27/06/1997</t>
  </si>
  <si>
    <t>Bruno Oliver Duarte</t>
  </si>
  <si>
    <t>01/02/1993</t>
  </si>
  <si>
    <t>Mirella Melissa Luana Santos</t>
  </si>
  <si>
    <t>07/11/1988</t>
  </si>
  <si>
    <t>Gabrielly Stefany Bianca Martins</t>
  </si>
  <si>
    <t>02/02/1999</t>
  </si>
  <si>
    <t>Renan Kaique Yago Moraes</t>
  </si>
  <si>
    <t>04/03/1999</t>
  </si>
  <si>
    <t>Aline Ester Rafaela Silva</t>
  </si>
  <si>
    <t>07/07/1990</t>
  </si>
  <si>
    <t>Marcelo Gael Marcos Vinicius Castro</t>
  </si>
  <si>
    <t>07/11/1946</t>
  </si>
  <si>
    <t>Enzo Luiz Farias</t>
  </si>
  <si>
    <t>06/06/1969</t>
  </si>
  <si>
    <t>Bárbara Fernanda Laura dos Santos</t>
  </si>
  <si>
    <t>10/06/1945</t>
  </si>
  <si>
    <t>Paulo Igor Samuel da Rosa</t>
  </si>
  <si>
    <t>02/02/1988</t>
  </si>
  <si>
    <t>Maitê Caroline Nair Drumond</t>
  </si>
  <si>
    <t>14/06/1983</t>
  </si>
  <si>
    <t>Três Lagoas</t>
  </si>
  <si>
    <t>Jéssica Adriana Souza</t>
  </si>
  <si>
    <t>01/01/1947</t>
  </si>
  <si>
    <t>Marli Sueli Brito</t>
  </si>
  <si>
    <t>22/08/1997</t>
  </si>
  <si>
    <t>Nelson Alexandre Paulo Nogueira</t>
  </si>
  <si>
    <t>02/06/1950</t>
  </si>
  <si>
    <t>Oliver Breno Samuel Araújo</t>
  </si>
  <si>
    <t>10/11/1988</t>
  </si>
  <si>
    <t>Calebe Juan Jesus</t>
  </si>
  <si>
    <t>25/02/1946</t>
  </si>
  <si>
    <t>Roberto Matheus Tomás Nunes</t>
  </si>
  <si>
    <t>25/07/1977</t>
  </si>
  <si>
    <t>Enzo Matheus Pires</t>
  </si>
  <si>
    <t>27/01/1990</t>
  </si>
  <si>
    <t>Liz Simone Lorena Barros</t>
  </si>
  <si>
    <t>25/01/1988</t>
  </si>
  <si>
    <t>Luzia Luzia Márcia da Luz</t>
  </si>
  <si>
    <t>11/02/1947</t>
  </si>
  <si>
    <t>Luan Elias Santos</t>
  </si>
  <si>
    <t>27/07/2005</t>
  </si>
  <si>
    <t>Enzo Hugo Leonardo Assunção</t>
  </si>
  <si>
    <t>11/06/2001</t>
  </si>
  <si>
    <t>Anderson Raimundo Thales Corte Real</t>
  </si>
  <si>
    <t>11/06/1970</t>
  </si>
  <si>
    <t>Bruno Marcos Vinicius Tiago Castro</t>
  </si>
  <si>
    <t>07/04/1975</t>
  </si>
  <si>
    <t>Osvaldo Benedito Murilo da Conceição</t>
  </si>
  <si>
    <t>18/05/1978</t>
  </si>
  <si>
    <t>Luiza Isabela Sales</t>
  </si>
  <si>
    <t>04/11/1993</t>
  </si>
  <si>
    <t>Aline Melissa Freitas</t>
  </si>
  <si>
    <t>27/09/1963</t>
  </si>
  <si>
    <t>Malu Elza Milena Caldeira</t>
  </si>
  <si>
    <t>04/11/1960</t>
  </si>
  <si>
    <t>Elza Antônia Silva</t>
  </si>
  <si>
    <t>15/05/1961</t>
  </si>
  <si>
    <t>Luiz Elias da Mota</t>
  </si>
  <si>
    <t>25/05/1995</t>
  </si>
  <si>
    <t>Malu Rayssa Nascimento</t>
  </si>
  <si>
    <t>03/02/1973</t>
  </si>
  <si>
    <t>Evelyn Bruna Alessandra Costa</t>
  </si>
  <si>
    <t>19/06/1980</t>
  </si>
  <si>
    <t>Joaquim José Matheus Oliveira</t>
  </si>
  <si>
    <t>13/08/1944</t>
  </si>
  <si>
    <t>Caroline Valentina Liz Jesus</t>
  </si>
  <si>
    <t>08/01/1951</t>
  </si>
  <si>
    <t>Anthony Ian Ian Almada</t>
  </si>
  <si>
    <t>22/09/1962</t>
  </si>
  <si>
    <t>Bárbara Vanessa Novaes</t>
  </si>
  <si>
    <t>27/01/1993</t>
  </si>
  <si>
    <t>Raquel Stella Vanessa Ferreira</t>
  </si>
  <si>
    <t>04/07/1949</t>
  </si>
  <si>
    <t>Paulo Danilo Duarte</t>
  </si>
  <si>
    <t>25/02/1974</t>
  </si>
  <si>
    <t>Gabriel Gabriel Caio Moura</t>
  </si>
  <si>
    <t>13/11/1948</t>
  </si>
  <si>
    <t>Evelyn Bárbara Aparecida Barros</t>
  </si>
  <si>
    <t>05/04/2002</t>
  </si>
  <si>
    <t>Alana Heloise Lívia da Silva</t>
  </si>
  <si>
    <t>04/03/1956</t>
  </si>
  <si>
    <t>Altamira</t>
  </si>
  <si>
    <t>Roberto Henrique Pinto</t>
  </si>
  <si>
    <t>Hugo André Assis</t>
  </si>
  <si>
    <t>24/08/1981</t>
  </si>
  <si>
    <t>Renan Vicente Aragão</t>
  </si>
  <si>
    <t>16/02/1973</t>
  </si>
  <si>
    <t>Anthony Henrique Nunes</t>
  </si>
  <si>
    <t>12/10/1991</t>
  </si>
  <si>
    <t>Bruno Samuel Cauã Baptista</t>
  </si>
  <si>
    <t>05/10/1954</t>
  </si>
  <si>
    <t>Marcelo Leandro Ricardo das Neves</t>
  </si>
  <si>
    <t>03/04/1973</t>
  </si>
  <si>
    <t>Lívia Vitória da Rosa</t>
  </si>
  <si>
    <t>14/02/1996</t>
  </si>
  <si>
    <t>Bento Mário Lima</t>
  </si>
  <si>
    <t>17/04/1965</t>
  </si>
  <si>
    <t>Tereza Raimunda Daniela Caldeira</t>
  </si>
  <si>
    <t>23/09/1956</t>
  </si>
  <si>
    <t>Lúcia Marlene da Costa</t>
  </si>
  <si>
    <t>03/09/1961</t>
  </si>
  <si>
    <t>Carlos Eduardo Marcelo Henrique Fogaça</t>
  </si>
  <si>
    <t>08/04/1971</t>
  </si>
  <si>
    <t>Vitória Sophia Galvão</t>
  </si>
  <si>
    <t>02/01/1996</t>
  </si>
  <si>
    <t>Sebastiana Marlene Teixeira</t>
  </si>
  <si>
    <t>04/08/1998</t>
  </si>
  <si>
    <t>Caio Davi Viana</t>
  </si>
  <si>
    <t>14/05/1994</t>
  </si>
  <si>
    <t>Allana Elisa Valentina Pinto</t>
  </si>
  <si>
    <t>Roberto Noah Mendes</t>
  </si>
  <si>
    <t>11/11/2004</t>
  </si>
  <si>
    <t>Oliver Benedito Samuel Pires</t>
  </si>
  <si>
    <t>02/10/1950</t>
  </si>
  <si>
    <t>Tânia Isabel Stella Monteiro</t>
  </si>
  <si>
    <t>22/08/2006</t>
  </si>
  <si>
    <t>Beatriz Luciana Ferreira</t>
  </si>
  <si>
    <t>08/03/1987</t>
  </si>
  <si>
    <t>Juan Vitor Luan Aragão</t>
  </si>
  <si>
    <t>17/02/2003</t>
  </si>
  <si>
    <t>Danilo Igor Gustavo Oliveira</t>
  </si>
  <si>
    <t>22/09/1990</t>
  </si>
  <si>
    <t>José Nicolas Arthur Alves</t>
  </si>
  <si>
    <t>10/07/2002</t>
  </si>
  <si>
    <t>Luís Martin Caleb Figueiredo</t>
  </si>
  <si>
    <t>24/10/1990</t>
  </si>
  <si>
    <t>Benedito Jorge Luís da Cunha</t>
  </si>
  <si>
    <t>17/04/1964</t>
  </si>
  <si>
    <t>Marcela Agatha Agatha Barros</t>
  </si>
  <si>
    <t>10/11/1990</t>
  </si>
  <si>
    <t>Sandra Fabiana Stefany da Rosa</t>
  </si>
  <si>
    <t>03/11/1972</t>
  </si>
  <si>
    <t>Gravatá</t>
  </si>
  <si>
    <t>Sarah Isabela Eduarda Bernardes</t>
  </si>
  <si>
    <t>10/02/1945</t>
  </si>
  <si>
    <t>Isaac Tiago Santos</t>
  </si>
  <si>
    <t>Guilherme Carlos Eduardo Almada</t>
  </si>
  <si>
    <t>19/08/1984</t>
  </si>
  <si>
    <t>Calebe Paulo Dias</t>
  </si>
  <si>
    <t>06/11/1973</t>
  </si>
  <si>
    <t>Theo Kaique Thomas Araújo</t>
  </si>
  <si>
    <t>21/02/1994</t>
  </si>
  <si>
    <t>Cláudio Pedro Henrique Lopes</t>
  </si>
  <si>
    <t>04/02/1950</t>
  </si>
  <si>
    <t>Heloise Bárbara Campos</t>
  </si>
  <si>
    <t>07/02/1948</t>
  </si>
  <si>
    <t>Bruna Andreia Elaine da Mota</t>
  </si>
  <si>
    <t>20/01/1998</t>
  </si>
  <si>
    <t>Fazenda Rio Grande</t>
  </si>
  <si>
    <t>Isabelle Jaqueline Melissa Silva</t>
  </si>
  <si>
    <t>22/07/1967</t>
  </si>
  <si>
    <t>Teresinha Tereza Carvalho</t>
  </si>
  <si>
    <t>06/08/1996</t>
  </si>
  <si>
    <t>Nicole Analu Sales</t>
  </si>
  <si>
    <t>15/05/2004</t>
  </si>
  <si>
    <t>Benjamin Vicente Martins</t>
  </si>
  <si>
    <t>02/11/1962</t>
  </si>
  <si>
    <t>Cauê Lucas Gustavo Barbosa</t>
  </si>
  <si>
    <t>14/02/1968</t>
  </si>
  <si>
    <t>Teresinha Márcia Galvão</t>
  </si>
  <si>
    <t>04/03/1970</t>
  </si>
  <si>
    <t>Miguel Yago Viana</t>
  </si>
  <si>
    <t>24/09/2000</t>
  </si>
  <si>
    <t>Arthur Manuel Moura</t>
  </si>
  <si>
    <t>04/09/1994</t>
  </si>
  <si>
    <t>Olivia Laura Laís da Costa</t>
  </si>
  <si>
    <t>06/04/1996</t>
  </si>
  <si>
    <t>Sabrina Ana Vanessa Novaes</t>
  </si>
  <si>
    <t>07/05/1965</t>
  </si>
  <si>
    <t>Isaac Thiago Assis</t>
  </si>
  <si>
    <t>19/01/1945</t>
  </si>
  <si>
    <t>Rita Gabrielly Simone da Rocha</t>
  </si>
  <si>
    <t>27/04/2003</t>
  </si>
  <si>
    <t>Fátima Beatriz Cristiane Dias</t>
  </si>
  <si>
    <t>25/05/1945</t>
  </si>
  <si>
    <t>Carlos Raul Fogaça</t>
  </si>
  <si>
    <t>09/04/2006</t>
  </si>
  <si>
    <t>Isis Benedita Aparício</t>
  </si>
  <si>
    <t>19/02/1976</t>
  </si>
  <si>
    <t>Nathan Noah Araújo</t>
  </si>
  <si>
    <t>01/05/1953</t>
  </si>
  <si>
    <t>Nair Lúcia da Silva</t>
  </si>
  <si>
    <t>15/06/1954</t>
  </si>
  <si>
    <t>Cecília Natália Vieira</t>
  </si>
  <si>
    <t>23/05/1968</t>
  </si>
  <si>
    <t>Guilherme Luiz Henry Corte Real</t>
  </si>
  <si>
    <t>06/09/1984</t>
  </si>
  <si>
    <t>Osvaldo Anthony da Mota</t>
  </si>
  <si>
    <t>11/06/1945</t>
  </si>
  <si>
    <t>Mirella Rebeca Giovanna Silva</t>
  </si>
  <si>
    <t>Carlos Eduardo Victor Cardoso</t>
  </si>
  <si>
    <t>20/01/1949</t>
  </si>
  <si>
    <t>Giovanni Ruan Caldeira</t>
  </si>
  <si>
    <t>06/03/1981</t>
  </si>
  <si>
    <t>Levi Lorenzo da Cunha</t>
  </si>
  <si>
    <t>22/03/2002</t>
  </si>
  <si>
    <t>Julio Bento Santos</t>
  </si>
  <si>
    <t>Natália Gabrielly Luzia Mendes</t>
  </si>
  <si>
    <t>12/10/1980</t>
  </si>
  <si>
    <t>Beatriz Maya Pietra Oliveira</t>
  </si>
  <si>
    <t>07/02/2005</t>
  </si>
  <si>
    <t>Victor Francisco Baptista</t>
  </si>
  <si>
    <t>25/10/1996</t>
  </si>
  <si>
    <t>Thales Iago Nogueira</t>
  </si>
  <si>
    <t>Mateus Pedro Henrique Mário Bernardes</t>
  </si>
  <si>
    <t>01/07/1982</t>
  </si>
  <si>
    <t>Renato Thales Pinto</t>
  </si>
  <si>
    <t>16/11/1978</t>
  </si>
  <si>
    <t>Olivia Elaine Débora Castro</t>
  </si>
  <si>
    <t>08/11/1981</t>
  </si>
  <si>
    <t>Larissa Malu Farias</t>
  </si>
  <si>
    <t>27/10/1984</t>
  </si>
  <si>
    <t>Regina Ayla Clarice Teixeira</t>
  </si>
  <si>
    <t>05/11/1947</t>
  </si>
  <si>
    <t>Manuela Antônia de Paula</t>
  </si>
  <si>
    <t>08/11/1996</t>
  </si>
  <si>
    <t>Jorge Matheus Ruan Barbosa</t>
  </si>
  <si>
    <t>06/01/1944</t>
  </si>
  <si>
    <t>Eloá Cristiane Clara Pinto</t>
  </si>
  <si>
    <t>22/07/1964</t>
  </si>
  <si>
    <t>Arapongas</t>
  </si>
  <si>
    <t>Tomás Cláudio Pereira</t>
  </si>
  <si>
    <t>14/08/1982</t>
  </si>
  <si>
    <t>Antonio Márcio Alves</t>
  </si>
  <si>
    <t>16/06/1997</t>
  </si>
  <si>
    <t>Melissa Luzia Ribeiro</t>
  </si>
  <si>
    <t>06/11/2002</t>
  </si>
  <si>
    <t>Carlos Eduardo Oliver Pedro Henrique Lima</t>
  </si>
  <si>
    <t>23/09/1980</t>
  </si>
  <si>
    <t>Ester Fátima Aline Moura</t>
  </si>
  <si>
    <t>17/07/2006</t>
  </si>
  <si>
    <t>Rodrigo Thomas Bento Gonçalves</t>
  </si>
  <si>
    <t>08/09/1966</t>
  </si>
  <si>
    <t>Lavínia Bárbara Evelyn Araújo</t>
  </si>
  <si>
    <t>05/08/1973</t>
  </si>
  <si>
    <t>Kevin Manuel Rocha</t>
  </si>
  <si>
    <t>25/05/1961</t>
  </si>
  <si>
    <t>Osvaldo Diego Fábio da Mota</t>
  </si>
  <si>
    <t>04/01/1956</t>
  </si>
  <si>
    <t>Sônia Julia Eliane Galvão</t>
  </si>
  <si>
    <t>24/01/1955</t>
  </si>
  <si>
    <t>Enzo Noah Monteiro</t>
  </si>
  <si>
    <t>18/01/1984</t>
  </si>
  <si>
    <t>Embu das Artes</t>
  </si>
  <si>
    <t>Sônia Tatiane Sebastiana Silveira</t>
  </si>
  <si>
    <t>20/09/1953</t>
  </si>
  <si>
    <t>Antonio Diego Fogaça</t>
  </si>
  <si>
    <t>13/11/1992</t>
  </si>
  <si>
    <t>João Rodrigo Pedro Moreira</t>
  </si>
  <si>
    <t>15/07/1970</t>
  </si>
  <si>
    <t>Rita Nair Marina Assis</t>
  </si>
  <si>
    <t>02/11/2005</t>
  </si>
  <si>
    <t>Erick Osvaldo Igor Nunes</t>
  </si>
  <si>
    <t>12/05/1994</t>
  </si>
  <si>
    <t>Camila Carla Ester Campos</t>
  </si>
  <si>
    <t>03/03/1991</t>
  </si>
  <si>
    <t>Rita Sandra Antonella da Silva</t>
  </si>
  <si>
    <t>20/01/1992</t>
  </si>
  <si>
    <t>Castro</t>
  </si>
  <si>
    <t>Henrique José Alexandre das Neves</t>
  </si>
  <si>
    <t>19/01/1967</t>
  </si>
  <si>
    <t>Pedro Henrique Lorenzo Carvalho</t>
  </si>
  <si>
    <t>12/09/1984</t>
  </si>
  <si>
    <t>Pedro Henrique Victor Almada</t>
  </si>
  <si>
    <t>25/02/1958</t>
  </si>
  <si>
    <t>Paranavaí</t>
  </si>
  <si>
    <t>Raul Bruno Geraldo Oliveira</t>
  </si>
  <si>
    <t>15/09/1976</t>
  </si>
  <si>
    <t>Regina Clara Fernanda Fernandes</t>
  </si>
  <si>
    <t>03/05/2006</t>
  </si>
  <si>
    <t>Elisa Lívia Sales</t>
  </si>
  <si>
    <t>03/11/1955</t>
  </si>
  <si>
    <t>Beatriz Sophia Assunção</t>
  </si>
  <si>
    <t>18/03/1974</t>
  </si>
  <si>
    <t>Manuela Lívia Nair da Cruz</t>
  </si>
  <si>
    <t>14/09/1970</t>
  </si>
  <si>
    <t>Arthur Marcos Cardoso</t>
  </si>
  <si>
    <t>02/10/1947</t>
  </si>
  <si>
    <t>Sophie Flávia Carla Freitas</t>
  </si>
  <si>
    <t>03/01/1980</t>
  </si>
  <si>
    <t>Kauê Lorenzo Cláudio Castro</t>
  </si>
  <si>
    <t>13/01/1967</t>
  </si>
  <si>
    <t>César Rafael Nicolas Moreira</t>
  </si>
  <si>
    <t>15/01/1981</t>
  </si>
  <si>
    <t>Lavínia Tânia Giovana Nascimento</t>
  </si>
  <si>
    <t>11/01/1978</t>
  </si>
  <si>
    <t>Liz Mariah Aragão</t>
  </si>
  <si>
    <t>11/01/1989</t>
  </si>
  <si>
    <t>Tânia Milena Louise Assunção</t>
  </si>
  <si>
    <t>05/01/1949</t>
  </si>
  <si>
    <t>Stefany Márcia Martins</t>
  </si>
  <si>
    <t>07/01/1986</t>
  </si>
  <si>
    <t>Victor Rafael Gomes</t>
  </si>
  <si>
    <t>12/01/1985</t>
  </si>
  <si>
    <t>Hugo Manoel Otávio Rocha</t>
  </si>
  <si>
    <t>06/01/1954</t>
  </si>
  <si>
    <t>Pietro Davi André Almeida</t>
  </si>
  <si>
    <t>09/01/1982</t>
  </si>
  <si>
    <t>Emanuel Leonardo Samuel Brito</t>
  </si>
  <si>
    <t>12/01/1988</t>
  </si>
  <si>
    <t>Henry Francisco Costa</t>
  </si>
  <si>
    <t>16/01/1988</t>
  </si>
  <si>
    <t>Henrique Vitor Elias Figueiredo</t>
  </si>
  <si>
    <t>08/01/1969</t>
  </si>
  <si>
    <t>Silvana Renata Sales</t>
  </si>
  <si>
    <t>11/01/1970</t>
  </si>
  <si>
    <t>Heloise Emanuelly Drumond</t>
  </si>
  <si>
    <t>Uruguaiana</t>
  </si>
  <si>
    <t>Milena Sophie da Conceição</t>
  </si>
  <si>
    <t>02/01/1968</t>
  </si>
  <si>
    <t>Bruna Julia Sueli Rodrigues</t>
  </si>
  <si>
    <t>01/01/2005</t>
  </si>
  <si>
    <t>Marcela Maitê Bianca Almada</t>
  </si>
  <si>
    <t>17/01/2006</t>
  </si>
  <si>
    <t>Amanda Natália Ribeiro</t>
  </si>
  <si>
    <t>15/01/1957</t>
  </si>
  <si>
    <t>Sarah Eduarda Pereira</t>
  </si>
  <si>
    <t>11/01/2000</t>
  </si>
  <si>
    <t>Vinicius Paulo Luan Galvão</t>
  </si>
  <si>
    <t>04/01/2004</t>
  </si>
  <si>
    <t>Emilly Rosa da Luz</t>
  </si>
  <si>
    <t>15/01/1951</t>
  </si>
  <si>
    <t>Gabriela Alana Barbosa</t>
  </si>
  <si>
    <t>02/01/1947</t>
  </si>
  <si>
    <t>Nair Daiane Sebastiana da Mata</t>
  </si>
  <si>
    <t>07/01/1977</t>
  </si>
  <si>
    <t>Davi Nelson Aparício</t>
  </si>
  <si>
    <t>16/01/2000</t>
  </si>
  <si>
    <t>Gabrielly Tatiane Gonçalves</t>
  </si>
  <si>
    <t>02/01/1961</t>
  </si>
  <si>
    <t>Vicente Roberto Carlos Eduardo Ferreira</t>
  </si>
  <si>
    <t>11/01/1973</t>
  </si>
  <si>
    <t>Otávio Diego Caldeira</t>
  </si>
  <si>
    <t>14/01/1993</t>
  </si>
  <si>
    <t>Eloá Fernanda Teresinha Moura</t>
  </si>
  <si>
    <t>15/01/2004</t>
  </si>
  <si>
    <t>Cauê Kevin Sérgio Souza</t>
  </si>
  <si>
    <t>08/01/1958</t>
  </si>
  <si>
    <t>Raul Victor Ryan Araújo</t>
  </si>
  <si>
    <t>03/01/1968</t>
  </si>
  <si>
    <t>João Pedro Henrique Rafael Oliveira</t>
  </si>
  <si>
    <t>15/01/1971</t>
  </si>
  <si>
    <t>Isaac Lorenzo Yago Fogaça</t>
  </si>
  <si>
    <t>17/01/1954</t>
  </si>
  <si>
    <t>Lorena Sabrina Rezende</t>
  </si>
  <si>
    <t>09/01/2003</t>
  </si>
  <si>
    <t>Jennifer Carla das Neves</t>
  </si>
  <si>
    <t>16/01/1993</t>
  </si>
  <si>
    <t>Cláudio Manoel Augusto Novaes</t>
  </si>
  <si>
    <t>17/01/1952</t>
  </si>
  <si>
    <t>Daniela Julia Clarice Nunes</t>
  </si>
  <si>
    <t>16/01/1982</t>
  </si>
  <si>
    <t>Ryan André Danilo Jesus</t>
  </si>
  <si>
    <t>15/01/1945</t>
  </si>
  <si>
    <t>Jandira</t>
  </si>
  <si>
    <t>Bárbara Isabelly Giovana Barbosa</t>
  </si>
  <si>
    <t>06/01/1946</t>
  </si>
  <si>
    <t>Sérgio Augusto Tiago Fernandes</t>
  </si>
  <si>
    <t>01/01/1969</t>
  </si>
  <si>
    <t>César Juan Peixoto</t>
  </si>
  <si>
    <t>15/01/1952</t>
  </si>
  <si>
    <t>Adriana Agatha Laís Almeida</t>
  </si>
  <si>
    <t>09/01/1954</t>
  </si>
  <si>
    <t>Raul Fábio Vicente Barros</t>
  </si>
  <si>
    <t>Flávia Elza da Mata</t>
  </si>
  <si>
    <t>03/01/1982</t>
  </si>
  <si>
    <t>Nathan Jorge Renan Santos</t>
  </si>
  <si>
    <t>09/01/1991</t>
  </si>
  <si>
    <t>Emily Marina Assunção</t>
  </si>
  <si>
    <t>03/01/1983</t>
  </si>
  <si>
    <t>Natália Helena Rocha</t>
  </si>
  <si>
    <t>13/01/1981</t>
  </si>
  <si>
    <t>Thiago Osvaldo Bernardes</t>
  </si>
  <si>
    <t>Jorge Osvaldo Calebe Castro</t>
  </si>
  <si>
    <t>04/01/1997</t>
  </si>
  <si>
    <t>Graccho Cardoso</t>
  </si>
  <si>
    <t>Vera Milena Rita Lopes</t>
  </si>
  <si>
    <t>17/01/1959</t>
  </si>
  <si>
    <t>Luiza Larissa da Cruz</t>
  </si>
  <si>
    <t>10/01/1971</t>
  </si>
  <si>
    <t>Isabelle Aparecida Laura Aragão</t>
  </si>
  <si>
    <t>14/01/1988</t>
  </si>
  <si>
    <t>Betim</t>
  </si>
  <si>
    <t>Miguel Henrique Caleb Martins</t>
  </si>
  <si>
    <t>12/01/1952</t>
  </si>
  <si>
    <t>Elza Alice Lara Souza</t>
  </si>
  <si>
    <t>01/01/1953</t>
  </si>
  <si>
    <t>Milena Alice Mariana Pereira</t>
  </si>
  <si>
    <t>Lorenzo Manuel Almada</t>
  </si>
  <si>
    <t>Felipe Victor Silveira</t>
  </si>
  <si>
    <t>13/01/1982</t>
  </si>
  <si>
    <t>Maitê Nair Beatriz Moraes</t>
  </si>
  <si>
    <t>Jorge Diogo da Mota</t>
  </si>
  <si>
    <t>02/01/1979</t>
  </si>
  <si>
    <t>Luís Leonardo Gomes</t>
  </si>
  <si>
    <t>02/01/1999</t>
  </si>
  <si>
    <t>Lorena Marcela Jennifer Moreira</t>
  </si>
  <si>
    <t>Regina Luciana Stella Lima</t>
  </si>
  <si>
    <t>06/01/1955</t>
  </si>
  <si>
    <t>Fernando Cauê Costa</t>
  </si>
  <si>
    <t>10/01/2005</t>
  </si>
  <si>
    <t>Henry Gael Marcos Rezende</t>
  </si>
  <si>
    <t>13/01/1995</t>
  </si>
  <si>
    <t>Benedito Nathan Monteiro</t>
  </si>
  <si>
    <t>10/01/1957</t>
  </si>
  <si>
    <t>Louise Eduarda Maya Lopes</t>
  </si>
  <si>
    <t>03/01/1981</t>
  </si>
  <si>
    <t>Heloisa Maitê Pires</t>
  </si>
  <si>
    <t>17/01/1955</t>
  </si>
  <si>
    <t>Stefany Lorena Antonella Santos</t>
  </si>
  <si>
    <t>11/01/1981</t>
  </si>
  <si>
    <t>Bianca Evelyn Isabelle da Paz</t>
  </si>
  <si>
    <t>12/01/1964</t>
  </si>
  <si>
    <t>Santo André</t>
  </si>
  <si>
    <t>Iago Raimundo Souza</t>
  </si>
  <si>
    <t>14/01/1996</t>
  </si>
  <si>
    <t>Sebastião Marcelo da Conceição</t>
  </si>
  <si>
    <t>17/01/1950</t>
  </si>
  <si>
    <t>Leonardo Fábio da Rosa</t>
  </si>
  <si>
    <t>03/01/1977</t>
  </si>
  <si>
    <t>Giovana Luiza Assis</t>
  </si>
  <si>
    <t>14/01/2002</t>
  </si>
  <si>
    <t>Aurora Emanuelly Isabel Silveira</t>
  </si>
  <si>
    <t>02/01/1957</t>
  </si>
  <si>
    <t>Mariane Emilly Laura Aragão</t>
  </si>
  <si>
    <t>06/01/1952</t>
  </si>
  <si>
    <t>Sara Rita das Neves</t>
  </si>
  <si>
    <t>18/01/1952</t>
  </si>
  <si>
    <t>Mateus Ryan Pedro Henrique Fogaça</t>
  </si>
  <si>
    <t>02/01/1972</t>
  </si>
  <si>
    <t>Alfredo Chaves</t>
  </si>
  <si>
    <t>Joaquim Kaique Melo</t>
  </si>
  <si>
    <t>16/01/1994</t>
  </si>
  <si>
    <t>Sarah Sebastiana Alves</t>
  </si>
  <si>
    <t>03/01/1991</t>
  </si>
  <si>
    <t>Igor Leonardo Antonio Farias</t>
  </si>
  <si>
    <t>14/01/1991</t>
  </si>
  <si>
    <t>Caleb Leandro Emanuel Brito</t>
  </si>
  <si>
    <t>05/01/1957</t>
  </si>
  <si>
    <t>Isabela Betina Esther Aparício</t>
  </si>
  <si>
    <t>16/01/1973</t>
  </si>
  <si>
    <t>Marília</t>
  </si>
  <si>
    <t>Regina Carolina Duarte</t>
  </si>
  <si>
    <t>11/01/1961</t>
  </si>
  <si>
    <t>Manuel Danilo Nelson Teixeira</t>
  </si>
  <si>
    <t>05/01/1980</t>
  </si>
  <si>
    <t>Filipe Lucas Gabriel da Mata</t>
  </si>
  <si>
    <t>Victor Marcos Vinicius Luís Barbosa</t>
  </si>
  <si>
    <t>05/01/1975</t>
  </si>
  <si>
    <t>Josefa Silvana Moraes</t>
  </si>
  <si>
    <t>14/01/1977</t>
  </si>
  <si>
    <t>Jéssica Larissa Rodrigues</t>
  </si>
  <si>
    <t>03/01/1966</t>
  </si>
  <si>
    <t>César Anthony Pietro Ferreira</t>
  </si>
  <si>
    <t>Danilo Danilo Barros</t>
  </si>
  <si>
    <t>03/01/1953</t>
  </si>
  <si>
    <t>Ana Fabiana Rosângela da Silva</t>
  </si>
  <si>
    <t>12/01/1980</t>
  </si>
  <si>
    <t>Calebe Giovanni Vinicius Duarte</t>
  </si>
  <si>
    <t>Bacabeira</t>
  </si>
  <si>
    <t>Edson José da Luz</t>
  </si>
  <si>
    <t>01/01/2004</t>
  </si>
  <si>
    <t>Geraldo Bruno Rodrigues</t>
  </si>
  <si>
    <t>16/01/1966</t>
  </si>
  <si>
    <t>Isis Elza Baptista</t>
  </si>
  <si>
    <t>17/01/1965</t>
  </si>
  <si>
    <t>Mariana Rafaela Camila Assunção</t>
  </si>
  <si>
    <t>07/01/1976</t>
  </si>
  <si>
    <t>Manoel André Fernandes</t>
  </si>
  <si>
    <t>Aline Ana Nascimento</t>
  </si>
  <si>
    <t>08/01/2004</t>
  </si>
  <si>
    <t>Kevin Roberto Santos</t>
  </si>
  <si>
    <t>03/01/1986</t>
  </si>
  <si>
    <t>Gael Cauã Gael da Rosa</t>
  </si>
  <si>
    <t>17/01/1971</t>
  </si>
  <si>
    <t>Geraldo Pedro da Mata</t>
  </si>
  <si>
    <t>05/01/1956</t>
  </si>
  <si>
    <t>Gustavo Yuri Jesus</t>
  </si>
  <si>
    <t>07/01/1954</t>
  </si>
  <si>
    <t>Ana Elza Stella Bernardes</t>
  </si>
  <si>
    <t>18/01/1954</t>
  </si>
  <si>
    <t>Benedito Caleb Araújo</t>
  </si>
  <si>
    <t>10/01/1969</t>
  </si>
  <si>
    <t>Stefany Giovanna Farias</t>
  </si>
  <si>
    <t>05/01/1952</t>
  </si>
  <si>
    <t>Thomas Guilherme Erick da Cunha</t>
  </si>
  <si>
    <t>06/01/1951</t>
  </si>
  <si>
    <t>Anthony Diego da Mota</t>
  </si>
  <si>
    <t>Ester Cristiane Porto</t>
  </si>
  <si>
    <t>14/01/1989</t>
  </si>
  <si>
    <t>Eduardo Thiago Samuel Silva</t>
  </si>
  <si>
    <t>09/01/2004</t>
  </si>
  <si>
    <t>Breno Caleb Edson Vieira</t>
  </si>
  <si>
    <t>17/01/1951</t>
  </si>
  <si>
    <t>Tatiane Cecília Rosângela Barbosa</t>
  </si>
  <si>
    <t>06/01/1990</t>
  </si>
  <si>
    <t>Adriana Stella Giovana Cavalcanti</t>
  </si>
  <si>
    <t>05/01/1996</t>
  </si>
  <si>
    <t>Valentina Daiane Barros</t>
  </si>
  <si>
    <t>09/01/1947</t>
  </si>
  <si>
    <t>Renata Josefa Souza</t>
  </si>
  <si>
    <t>05/01/2005</t>
  </si>
  <si>
    <t>Ruan Davi Geraldo Dias</t>
  </si>
  <si>
    <t>Benedito Manoel Osvaldo Campos</t>
  </si>
  <si>
    <t>08/01/1955</t>
  </si>
  <si>
    <t>Otávio Ryan Monteiro</t>
  </si>
  <si>
    <t>Isabelle Laura Rafaela Novaes</t>
  </si>
  <si>
    <t>18/01/1968</t>
  </si>
  <si>
    <t>Samuel Miguel Almada</t>
  </si>
  <si>
    <t>13/01/2004</t>
  </si>
  <si>
    <t>Thiago Filipe Martins</t>
  </si>
  <si>
    <t>11/01/1963</t>
  </si>
  <si>
    <t>Marlene Raimunda Sueli Fernandes</t>
  </si>
  <si>
    <t>10/01/1954</t>
  </si>
  <si>
    <t>Kauê Guilherme Nathan Moraes</t>
  </si>
  <si>
    <t>04/01/1990</t>
  </si>
  <si>
    <t>Maria Bárbara Isabelle Monteiro</t>
  </si>
  <si>
    <t>04/01/1993</t>
  </si>
  <si>
    <t>Nelson Henrique da Paz</t>
  </si>
  <si>
    <t>10/01/1948</t>
  </si>
  <si>
    <t>Regina Giovana da Mata</t>
  </si>
  <si>
    <t>10/01/1985</t>
  </si>
  <si>
    <t>Bernardo Otávio Gonçalves</t>
  </si>
  <si>
    <t>Augusto Anthony Marcos Vinicius Ribeiro</t>
  </si>
  <si>
    <t>05/01/1976</t>
  </si>
  <si>
    <t>Eduarda Fabiana dos Santos</t>
  </si>
  <si>
    <t>01/01/1982</t>
  </si>
  <si>
    <t>Tiago Hugo da Costa</t>
  </si>
  <si>
    <t>12/01/1999</t>
  </si>
  <si>
    <t>Diego Filipe Julio Souza</t>
  </si>
  <si>
    <t>01/01/1996</t>
  </si>
  <si>
    <t>Pequi</t>
  </si>
  <si>
    <t>Evelyn Simone Cardoso</t>
  </si>
  <si>
    <t>08/01/1949</t>
  </si>
  <si>
    <t>Caroline Eduarda Heloisa Martins</t>
  </si>
  <si>
    <t>Igor Francisco Gustavo Freitas</t>
  </si>
  <si>
    <t>11/01/1987</t>
  </si>
  <si>
    <t>Luiza Patrícia da Cunha</t>
  </si>
  <si>
    <t>09/01/2005</t>
  </si>
  <si>
    <t>Lorenzo Martin Kevin Figueiredo</t>
  </si>
  <si>
    <t>15/01/1995</t>
  </si>
  <si>
    <t>Eliane Alana Rosa Silva</t>
  </si>
  <si>
    <t>01/01/1970</t>
  </si>
  <si>
    <t>Benedito Nicolas da Luz</t>
  </si>
  <si>
    <t>12/01/1993</t>
  </si>
  <si>
    <t>Bruno Vitor Otávio Araújo</t>
  </si>
  <si>
    <t>18/01/1951</t>
  </si>
  <si>
    <t>Sandra Isabela Mendes</t>
  </si>
  <si>
    <t>18/01/1982</t>
  </si>
  <si>
    <t>Nathan Davi Castro</t>
  </si>
  <si>
    <t>08/01/1954</t>
  </si>
  <si>
    <t>Márcia Sophie Fogaça</t>
  </si>
  <si>
    <t>Ayla Beatriz Marina das Neves</t>
  </si>
  <si>
    <t>03/01/1984</t>
  </si>
  <si>
    <t>Kaique Noah Diego da Silva</t>
  </si>
  <si>
    <t>09/01/1960</t>
  </si>
  <si>
    <t>Lúcia Rosângela Débora Almada</t>
  </si>
  <si>
    <t>13/01/1990</t>
  </si>
  <si>
    <t>Igor Otávio Eduardo Nogueira</t>
  </si>
  <si>
    <t>04/01/1969</t>
  </si>
  <si>
    <t>Larissa Maria Isis Lima</t>
  </si>
  <si>
    <t>05/01/2004</t>
  </si>
  <si>
    <t>Manuel Thomas Ryan Ramos</t>
  </si>
  <si>
    <t>06/01/1983</t>
  </si>
  <si>
    <t>Nina Flávia Aragão</t>
  </si>
  <si>
    <t>Umuarama</t>
  </si>
  <si>
    <t>Alessandra Gabrielly de Paula</t>
  </si>
  <si>
    <t>13/01/1969</t>
  </si>
  <si>
    <t>São João Del Rei</t>
  </si>
  <si>
    <t>Fernanda Vitória Antônia Drumond</t>
  </si>
  <si>
    <t>10/01/1994</t>
  </si>
  <si>
    <t>Cecília Vanessa Souza</t>
  </si>
  <si>
    <t>Sara Mirella Emily das Neves</t>
  </si>
  <si>
    <t>06/01/1987</t>
  </si>
  <si>
    <t>Jennifer Márcia Rafaela da Rosa</t>
  </si>
  <si>
    <t>Camila Brenda Corte Real</t>
  </si>
  <si>
    <t>01/01/1983</t>
  </si>
  <si>
    <t>Victor Lorenzo Raimundo Oliveira</t>
  </si>
  <si>
    <t>08/01/1953</t>
  </si>
  <si>
    <t>Isabelle Daiane Isabel Figueiredo</t>
  </si>
  <si>
    <t>17/01/2001</t>
  </si>
  <si>
    <t>Davi Augusto Aparício</t>
  </si>
  <si>
    <t>Ryan Juan Bryan Ferreira</t>
  </si>
  <si>
    <t>03/01/1956</t>
  </si>
  <si>
    <t>Isadora Marcela Novaes</t>
  </si>
  <si>
    <t>04/01/2003</t>
  </si>
  <si>
    <t>Milena Hadassa Assis</t>
  </si>
  <si>
    <t>Betina Fátima Almada</t>
  </si>
  <si>
    <t>03/01/1974</t>
  </si>
  <si>
    <t>Santa Cruz do Capibaribe</t>
  </si>
  <si>
    <t>Sara Nair Assunção</t>
  </si>
  <si>
    <t>10/01/1946</t>
  </si>
  <si>
    <t>Larissa Amanda Nogueira</t>
  </si>
  <si>
    <t>12/01/1946</t>
  </si>
  <si>
    <t>Danilo Davi Gael da Cruz</t>
  </si>
  <si>
    <t>13/01/1957</t>
  </si>
  <si>
    <t>Davi Luís da Paz</t>
  </si>
  <si>
    <t>11/01/1979</t>
  </si>
  <si>
    <t>Julio Geraldo Heitor Pires</t>
  </si>
  <si>
    <t>17/01/1984</t>
  </si>
  <si>
    <t>Aline Isabelly Lorena Nunes</t>
  </si>
  <si>
    <t>07/01/1946</t>
  </si>
  <si>
    <t>Yasmin Emily Luiza Teixeira</t>
  </si>
  <si>
    <t>08/01/1986</t>
  </si>
  <si>
    <t>Isabelle Gabrielly Drumond</t>
  </si>
  <si>
    <t>01/01/1997</t>
  </si>
  <si>
    <t>Alana Sophie Moreira</t>
  </si>
  <si>
    <t>Kevin Ryan Benedito Cardoso</t>
  </si>
  <si>
    <t>12/01/1956</t>
  </si>
  <si>
    <t>Levi Bernardo Lima</t>
  </si>
  <si>
    <t>06/01/1963</t>
  </si>
  <si>
    <t>Cláudio Luís Aragão</t>
  </si>
  <si>
    <t>12/01/2007</t>
  </si>
  <si>
    <t>Bianca Silvana dos Santos</t>
  </si>
  <si>
    <t>06/01/1998</t>
  </si>
  <si>
    <t>Otávio Oliver Filipe Nascimento</t>
  </si>
  <si>
    <t>06/01/2006</t>
  </si>
  <si>
    <t>Rebeca Alícia Campos</t>
  </si>
  <si>
    <t>02/01/1980</t>
  </si>
  <si>
    <t>Yuri Thomas Sebastião Monteiro</t>
  </si>
  <si>
    <t>08/01/2006</t>
  </si>
  <si>
    <t>Julio José Bento de Paula</t>
  </si>
  <si>
    <t>12/01/1971</t>
  </si>
  <si>
    <t>Martin Theo Osvaldo Brito</t>
  </si>
  <si>
    <t>14/01/1983</t>
  </si>
  <si>
    <t>Lara Malu Sara Sales</t>
  </si>
  <si>
    <t>Manoel Hugo Jesus</t>
  </si>
  <si>
    <t>Enzo Sebastião Nunes</t>
  </si>
  <si>
    <t>04/01/1987</t>
  </si>
  <si>
    <t>Marcos Vinicius Márcio Caleb Moraes</t>
  </si>
  <si>
    <t>01/01/2006</t>
  </si>
  <si>
    <t>Raimundo Thiago Lucas da Cunha</t>
  </si>
  <si>
    <t>18/01/2000</t>
  </si>
  <si>
    <t>Santa Cruz do Sul</t>
  </si>
  <si>
    <t>Valentina Sônia Amanda dos Santos</t>
  </si>
  <si>
    <t>06/01/1975</t>
  </si>
  <si>
    <t>Ester Sophie Gonçalves</t>
  </si>
  <si>
    <t>15/01/1963</t>
  </si>
  <si>
    <t>Ribeirão Pires</t>
  </si>
  <si>
    <t>Maya Sophia Dias</t>
  </si>
  <si>
    <t>Henry Samuel da Paz</t>
  </si>
  <si>
    <t>08/01/1968</t>
  </si>
  <si>
    <t>Fernando Caleb da Mata</t>
  </si>
  <si>
    <t>02/01/1994</t>
  </si>
  <si>
    <t>Matheus Raimundo Benjamin Farias</t>
  </si>
  <si>
    <t>Fernando Kevin Cláudio Figueiredo</t>
  </si>
  <si>
    <t>18/01/2003</t>
  </si>
  <si>
    <t>Bruno Gabriel Yago das Neves</t>
  </si>
  <si>
    <t>03/01/1959</t>
  </si>
  <si>
    <t>Iago Elias Lima</t>
  </si>
  <si>
    <t>17/01/1983</t>
  </si>
  <si>
    <t>Cauê Benício João Moreira</t>
  </si>
  <si>
    <t>08/01/1952</t>
  </si>
  <si>
    <t>Mariane Carolina Gabrielly Vieira</t>
  </si>
  <si>
    <t>10/01/1950</t>
  </si>
  <si>
    <t>Brenda Mirella Lara Caldeira</t>
  </si>
  <si>
    <t>16/01/1991</t>
  </si>
  <si>
    <t>Lívia Evelyn Monteiro</t>
  </si>
  <si>
    <t>14/01/1971</t>
  </si>
  <si>
    <t>Bárbara Emilly Peixoto</t>
  </si>
  <si>
    <t>13/01/1947</t>
  </si>
  <si>
    <t>Carolina Mariah Hadassa Assis</t>
  </si>
  <si>
    <t>Sabrina Gabriela Rocha</t>
  </si>
  <si>
    <t>01/01/1956</t>
  </si>
  <si>
    <t>Osvaldo Raul Breno Martins</t>
  </si>
  <si>
    <t>16/01/1969</t>
  </si>
  <si>
    <t>Beatriz Jennifer Pietra Fogaça</t>
  </si>
  <si>
    <t>Juan Bruno Alexandre Cardoso</t>
  </si>
  <si>
    <t>11/01/1960</t>
  </si>
  <si>
    <t>Alice Eloá Sara da Mota</t>
  </si>
  <si>
    <t>13/01/1993</t>
  </si>
  <si>
    <t>Liz Laís Carolina Freitas</t>
  </si>
  <si>
    <t>10/01/2006</t>
  </si>
  <si>
    <t>Antonella Daniela Pires</t>
  </si>
  <si>
    <t>08/01/1957</t>
  </si>
  <si>
    <t>Sarandi</t>
  </si>
  <si>
    <t>Felipe Emanuel Gomes</t>
  </si>
  <si>
    <t>01/01/1980</t>
  </si>
  <si>
    <t>Antônia Luiza Luna Oliveira</t>
  </si>
  <si>
    <t>06/01/1964</t>
  </si>
  <si>
    <t>Maitê Isabelly Duarte</t>
  </si>
  <si>
    <t>16/01/1970</t>
  </si>
  <si>
    <t>Marcos Nicolas Drumond</t>
  </si>
  <si>
    <t>05/01/2002</t>
  </si>
  <si>
    <t>Caleb Joaquim Iago Baptista</t>
  </si>
  <si>
    <t>Eduardo Lorenzo Pietro Fernandes</t>
  </si>
  <si>
    <t>01/01/1981</t>
  </si>
  <si>
    <t>Taubaté</t>
  </si>
  <si>
    <t>Hadassa Lara Jennifer Campos</t>
  </si>
  <si>
    <t>10/01/1970</t>
  </si>
  <si>
    <t>Leonardo Felipe Kauê Barbosa</t>
  </si>
  <si>
    <t>Sérgio Cauã Nicolas de Paula</t>
  </si>
  <si>
    <t>09/01/1993</t>
  </si>
  <si>
    <t>Alana Brenda Almada</t>
  </si>
  <si>
    <t>15/01/2000</t>
  </si>
  <si>
    <t>Maya Sophie da Luz</t>
  </si>
  <si>
    <t>Kaique Bruno Nelson Novaes</t>
  </si>
  <si>
    <t>03/01/1963</t>
  </si>
  <si>
    <t>Ricardo Lucca José Souza</t>
  </si>
  <si>
    <t>18/01/1988</t>
  </si>
  <si>
    <t>Carlos Mário Hugo Caldeira</t>
  </si>
  <si>
    <t>07/01/1983</t>
  </si>
  <si>
    <t>Lavínia Esther Isabella Rocha</t>
  </si>
  <si>
    <t>10/01/2004</t>
  </si>
  <si>
    <t>Helena Beatriz Jesus</t>
  </si>
  <si>
    <t>13/01/1950</t>
  </si>
  <si>
    <t>Larissa Daiane da Cunha</t>
  </si>
  <si>
    <t>07/01/1973</t>
  </si>
  <si>
    <t>Lorenzo Roberto Augusto Corte Real</t>
  </si>
  <si>
    <t>07/01/1999</t>
  </si>
  <si>
    <t>Márcio Mário Nelson Costa</t>
  </si>
  <si>
    <t>Mário Vitor Vinicius Farias</t>
  </si>
  <si>
    <t>08/01/1992</t>
  </si>
  <si>
    <t>Luiza Andreia Sônia Moreira</t>
  </si>
  <si>
    <t>Roberto Manoel José das Neves</t>
  </si>
  <si>
    <t>02/01/1967</t>
  </si>
  <si>
    <t>André Lorenzo Santos</t>
  </si>
  <si>
    <t>Antonio Mateus Cavalcanti</t>
  </si>
  <si>
    <t>Marcos José Moura</t>
  </si>
  <si>
    <t>10/01/1995</t>
  </si>
  <si>
    <t>Rebeca Mariana Alícia Pires</t>
  </si>
  <si>
    <t>17/01/1978</t>
  </si>
  <si>
    <t>Raimundo Jorge Luiz da Conceição</t>
  </si>
  <si>
    <t>05/01/1954</t>
  </si>
  <si>
    <t>Kevin Rafael Raul Pereira</t>
  </si>
  <si>
    <t>Raimunda Liz Silva</t>
  </si>
  <si>
    <t>17/01/1953</t>
  </si>
  <si>
    <t>Thiago Eduardo Rezende</t>
  </si>
  <si>
    <t>Elias Iago Gonçalves</t>
  </si>
  <si>
    <t>16/01/2001</t>
  </si>
  <si>
    <t>Malu Maitê Vera Figueiredo</t>
  </si>
  <si>
    <t>16/01/1955</t>
  </si>
  <si>
    <t>Alessandra Jaqueline Mendes</t>
  </si>
  <si>
    <t>16/01/1971</t>
  </si>
  <si>
    <t>Ricardo Renan Francisco Oliveira</t>
  </si>
  <si>
    <t>04/01/1985</t>
  </si>
  <si>
    <t>Manuela Antonella Camila Aparício</t>
  </si>
  <si>
    <t>07/01/1985</t>
  </si>
  <si>
    <t>Helena Nair Marina da Silva</t>
  </si>
  <si>
    <t>Gabriel Anthony Davi Fogaça</t>
  </si>
  <si>
    <t>18/01/2002</t>
  </si>
  <si>
    <t>Manacapuru</t>
  </si>
  <si>
    <t>Cauê Marcos Vinicius Caio Rezende</t>
  </si>
  <si>
    <t>Aparecida Lavínia Josefa Lima</t>
  </si>
  <si>
    <t>10/01/1981</t>
  </si>
  <si>
    <t>Nelson Mateus Geraldo Carvalho</t>
  </si>
  <si>
    <t>01/01/1974</t>
  </si>
  <si>
    <t>Brenda Caroline Francisca Rocha</t>
  </si>
  <si>
    <t>Sophia Caroline Andreia Ferreira</t>
  </si>
  <si>
    <t>09/01/1980</t>
  </si>
  <si>
    <t>Jéssica Evelyn Sophia Ramos</t>
  </si>
  <si>
    <t>18/01/1979</t>
  </si>
  <si>
    <t>Victor Luís Caldeira</t>
  </si>
  <si>
    <t>08/01/1982</t>
  </si>
  <si>
    <t>Felipe Rafael Peixoto</t>
  </si>
  <si>
    <t>Vitor José Ian Silveira</t>
  </si>
  <si>
    <t>Julio Bruno Tiago Fernandes</t>
  </si>
  <si>
    <t>10/01/1982</t>
  </si>
  <si>
    <t>Rodrigo Daniel Castro</t>
  </si>
  <si>
    <t>16/01/1946</t>
  </si>
  <si>
    <t>Rafael Carlos Eduardo da Mata</t>
  </si>
  <si>
    <t>Carolina Pietra Maria Sales</t>
  </si>
  <si>
    <t>05/01/1990</t>
  </si>
  <si>
    <t>Juiz de Fora</t>
  </si>
  <si>
    <t>Eduardo Benjamin Campos</t>
  </si>
  <si>
    <t>Luís Alexandre Araújo</t>
  </si>
  <si>
    <t>05/01/1969</t>
  </si>
  <si>
    <t>Lavínia Lívia Santos</t>
  </si>
  <si>
    <t>03/01/1997</t>
  </si>
  <si>
    <t>Anthony Benedito Juan Pires</t>
  </si>
  <si>
    <t>14/01/1997</t>
  </si>
  <si>
    <t>Isadora Valentina Aline Assunção</t>
  </si>
  <si>
    <t>08/01/1990</t>
  </si>
  <si>
    <t>Fernando Alexandre Mendes</t>
  </si>
  <si>
    <t>14/01/2001</t>
  </si>
  <si>
    <t>Marlene Francisca Corte Real</t>
  </si>
  <si>
    <t>04/01/1964</t>
  </si>
  <si>
    <t>José Juan Teixeira</t>
  </si>
  <si>
    <t>01/01/1965</t>
  </si>
  <si>
    <t>Maria Joana Martins</t>
  </si>
  <si>
    <t>10/01/1953</t>
  </si>
  <si>
    <t>Betina Regina Duarte</t>
  </si>
  <si>
    <t>Mateus Murilo Thiago Galvão</t>
  </si>
  <si>
    <t>04/01/1971</t>
  </si>
  <si>
    <t>Nathan Calebe da Costa</t>
  </si>
  <si>
    <t>04/01/2007</t>
  </si>
  <si>
    <t>Patrícia Raimunda Esther Nogueira</t>
  </si>
  <si>
    <t>06/01/2005</t>
  </si>
  <si>
    <t>Sophia Marlene Ribeiro</t>
  </si>
  <si>
    <t>Bruna Emanuelly da Mata</t>
  </si>
  <si>
    <t>Matheus Anthony Cavalcanti</t>
  </si>
  <si>
    <t>Emilly Julia Pinto</t>
  </si>
  <si>
    <t>Henry Roberto Pereira</t>
  </si>
  <si>
    <t>07/01/2003</t>
  </si>
  <si>
    <t>Jennifer Malu Débora da Mota</t>
  </si>
  <si>
    <t>13/01/1962</t>
  </si>
  <si>
    <t>Kamilly Malu Analu Castro</t>
  </si>
  <si>
    <t>02/01/1997</t>
  </si>
  <si>
    <t>Lavínia Cláudia Vieira</t>
  </si>
  <si>
    <t>Sophia Luciana Sophie Gonçalves</t>
  </si>
  <si>
    <t>14/01/1979</t>
  </si>
  <si>
    <t>Sertãozinho</t>
  </si>
  <si>
    <t>Josefa Gabrielly Aragão</t>
  </si>
  <si>
    <t>07/01/1950</t>
  </si>
  <si>
    <t>Daniela Rafaela Elaine Brito</t>
  </si>
  <si>
    <t>11/01/1953</t>
  </si>
  <si>
    <t>Heloise Simone Costa</t>
  </si>
  <si>
    <t>13/01/1998</t>
  </si>
  <si>
    <t>César Fernando Benjamin dos Santos</t>
  </si>
  <si>
    <t>13/01/2003</t>
  </si>
  <si>
    <t>Analu Maitê Nunes</t>
  </si>
  <si>
    <t>16/01/1958</t>
  </si>
  <si>
    <t>Mariana Adriana Rocha</t>
  </si>
  <si>
    <t>08/01/1998</t>
  </si>
  <si>
    <t>Vicente Cauê Novaes</t>
  </si>
  <si>
    <t>16/01/1952</t>
  </si>
  <si>
    <t>Fábio Kevin Ferreira</t>
  </si>
  <si>
    <t>14/01/1986</t>
  </si>
  <si>
    <t>Débora Bruna Souza</t>
  </si>
  <si>
    <t>10/01/1963</t>
  </si>
  <si>
    <t>Bodoquena</t>
  </si>
  <si>
    <t>Fábio Jorge Lucca Baptista</t>
  </si>
  <si>
    <t>Elias Manuel Rezende</t>
  </si>
  <si>
    <t>10/01/1990</t>
  </si>
  <si>
    <t>Lorenzo Matheus Caldeira</t>
  </si>
  <si>
    <t>16/01/1964</t>
  </si>
  <si>
    <t>Sophie Nina Sophia Ribeiro</t>
  </si>
  <si>
    <t>Eliane Esther da Cruz</t>
  </si>
  <si>
    <t>Elisa Louise Luna Silveira</t>
  </si>
  <si>
    <t>João Breno Paulo Sales</t>
  </si>
  <si>
    <t>04/01/1965</t>
  </si>
  <si>
    <t>Luiza Flávia das Neves</t>
  </si>
  <si>
    <t>06/01/1966</t>
  </si>
  <si>
    <t>Elisa Flávia Oliveira</t>
  </si>
  <si>
    <t>09/01/1983</t>
  </si>
  <si>
    <t>Joana Antônia Sara Araújo</t>
  </si>
  <si>
    <t>Bernardo César Fábio Duarte</t>
  </si>
  <si>
    <t>Sumaré</t>
  </si>
  <si>
    <t>Esther Vanessa Eloá Mendes</t>
  </si>
  <si>
    <t>10/01/1984</t>
  </si>
  <si>
    <t>Ayla Sara Gomes</t>
  </si>
  <si>
    <t>03/01/2004</t>
  </si>
  <si>
    <t>Nicolas Matheus Gonçalves</t>
  </si>
  <si>
    <t>09/01/2002</t>
  </si>
  <si>
    <t>Marcelo Cláudio Marcelo Rocha</t>
  </si>
  <si>
    <t>Marcos Manuel Santos</t>
  </si>
  <si>
    <t>13/01/1975</t>
  </si>
  <si>
    <t>Ester Sophia Antônia da Cunha</t>
  </si>
  <si>
    <t>07/01/1957</t>
  </si>
  <si>
    <t>Luna Silvana Rezende</t>
  </si>
  <si>
    <t>Mogi Mirim</t>
  </si>
  <si>
    <t>Sophia Josefa Cláudia Figueiredo</t>
  </si>
  <si>
    <t>09/01/1978</t>
  </si>
  <si>
    <t>Luan Gustavo Porto</t>
  </si>
  <si>
    <t>Luís Arthur Kevin Aparício</t>
  </si>
  <si>
    <t>Viamão</t>
  </si>
  <si>
    <t>Benício Iago Vicente Costa</t>
  </si>
  <si>
    <t>14/01/1962</t>
  </si>
  <si>
    <t>Thales Marcos Vinicius Danilo Corte Real</t>
  </si>
  <si>
    <t>06/01/1978</t>
  </si>
  <si>
    <t>Andrea Sophia da Rocha</t>
  </si>
  <si>
    <t>02/01/1964</t>
  </si>
  <si>
    <t>Geraldo Felipe Assis</t>
  </si>
  <si>
    <t>08/01/1972</t>
  </si>
  <si>
    <t>Bagé</t>
  </si>
  <si>
    <t>Alana Aparecida Sales</t>
  </si>
  <si>
    <t>13/01/1959</t>
  </si>
  <si>
    <t>Vera Fabiana Castro</t>
  </si>
  <si>
    <t>08/01/1979</t>
  </si>
  <si>
    <t>Thomas Sebastião da Silva</t>
  </si>
  <si>
    <t>Guilherme Luís Guilherme Brito</t>
  </si>
  <si>
    <t>12/01/1966</t>
  </si>
  <si>
    <t>Elza Fabiana Aragão</t>
  </si>
  <si>
    <t>Osvaldo Cauê Fernando Silveira</t>
  </si>
  <si>
    <t>14/01/1974</t>
  </si>
  <si>
    <t>Ruan Guilherme da Mata</t>
  </si>
  <si>
    <t>05/01/1950</t>
  </si>
  <si>
    <t>Débora Daniela Viana</t>
  </si>
  <si>
    <t>12/01/1979</t>
  </si>
  <si>
    <t>Lívia Jennifer Nunes</t>
  </si>
  <si>
    <t>Renato Emanuel Cauê Jesus</t>
  </si>
  <si>
    <t>08/01/1973</t>
  </si>
  <si>
    <t>Marcos Cauê Fernando Lopes</t>
  </si>
  <si>
    <t>13/01/1961</t>
  </si>
  <si>
    <t>Bayeux</t>
  </si>
  <si>
    <t>Manuela Isabelly Nicole Alves</t>
  </si>
  <si>
    <t>17/01/1968</t>
  </si>
  <si>
    <t>Rio Grande</t>
  </si>
  <si>
    <t>Mário Bryan Bernardes</t>
  </si>
  <si>
    <t>15/01/1962</t>
  </si>
  <si>
    <t>Pietra Teresinha Malu da Conceição</t>
  </si>
  <si>
    <t>18/01/1994</t>
  </si>
  <si>
    <t>Luiz Victor Lima</t>
  </si>
  <si>
    <t>Felipe Bento Danilo Araújo</t>
  </si>
  <si>
    <t>06/01/1948</t>
  </si>
  <si>
    <t>Gabrielly Eloá Brenda da Luz</t>
  </si>
  <si>
    <t>18/01/1974</t>
  </si>
  <si>
    <t>Alícia Carolina Sara Almada</t>
  </si>
  <si>
    <t>13/01/1963</t>
  </si>
  <si>
    <t>Davi Bento Gomes</t>
  </si>
  <si>
    <t>17/01/1957</t>
  </si>
  <si>
    <t>Beatriz Emilly Mariana Lopes</t>
  </si>
  <si>
    <t>11/01/1971</t>
  </si>
  <si>
    <t>Mateus César Anthony Nunes</t>
  </si>
  <si>
    <t>15/01/1977</t>
  </si>
  <si>
    <t>Renata Caroline Barbosa</t>
  </si>
  <si>
    <t>Resende</t>
  </si>
  <si>
    <t>Raimunda Carolina Pietra Fernandes</t>
  </si>
  <si>
    <t>11/01/1959</t>
  </si>
  <si>
    <t>Joaquim Miguel Pedro Melo</t>
  </si>
  <si>
    <t>17/01/1970</t>
  </si>
  <si>
    <t>Cláudio Isaac Rezende</t>
  </si>
  <si>
    <t>Laís Rebeca Vieira</t>
  </si>
  <si>
    <t>02/01/1982</t>
  </si>
  <si>
    <t>Itapetininga</t>
  </si>
  <si>
    <t>Esther Luna Alves</t>
  </si>
  <si>
    <t>01/01/1976</t>
  </si>
  <si>
    <t>Giovanna Jéssica Lima</t>
  </si>
  <si>
    <t>Enrico Matheus Galvão</t>
  </si>
  <si>
    <t>07/01/1980</t>
  </si>
  <si>
    <t>Nelson Davi Viana</t>
  </si>
  <si>
    <t>Cecília Sarah da Mata</t>
  </si>
  <si>
    <t>10/01/1978</t>
  </si>
  <si>
    <t>Murilo Paulo Martin Freitas</t>
  </si>
  <si>
    <t>03/01/1961</t>
  </si>
  <si>
    <t>Joana Cecília Daniela Caldeira</t>
  </si>
  <si>
    <t>13/01/1994</t>
  </si>
  <si>
    <t>Carlos Matheus Victor Almada</t>
  </si>
  <si>
    <t>18/01/1964</t>
  </si>
  <si>
    <t>Itaquaquecetuba</t>
  </si>
  <si>
    <t>Eliane Sandra Novaes</t>
  </si>
  <si>
    <t>13/01/1954</t>
  </si>
  <si>
    <t>Bruno Augusto Bernardo Peixoto</t>
  </si>
  <si>
    <t>05/01/1983</t>
  </si>
  <si>
    <t>Mariana Melissa Teixeira</t>
  </si>
  <si>
    <t>01/01/1948</t>
  </si>
  <si>
    <t>Benedito Heitor Carvalho</t>
  </si>
  <si>
    <t>João Miguel da Conceição</t>
  </si>
  <si>
    <t>Francisca Agatha Carolina Moraes</t>
  </si>
  <si>
    <t>06/01/1995</t>
  </si>
  <si>
    <t>Manuel Lucas Nascimento</t>
  </si>
  <si>
    <t>14/01/2006</t>
  </si>
  <si>
    <t>Igor Henry Ryan da Rosa</t>
  </si>
  <si>
    <t>03/01/1970</t>
  </si>
  <si>
    <t>Nair Camila Laura Santos</t>
  </si>
  <si>
    <t>10/01/1972</t>
  </si>
  <si>
    <t>Yasmin Melissa Lúcia da Costa</t>
  </si>
  <si>
    <t>09/01/1984</t>
  </si>
  <si>
    <t>Analu Raquel Aparício</t>
  </si>
  <si>
    <t>13/01/1945</t>
  </si>
  <si>
    <t>Marcos Edson Figueiredo</t>
  </si>
  <si>
    <t>07/01/2002</t>
  </si>
  <si>
    <t>Vitor Kaique Benício Souza</t>
  </si>
  <si>
    <t>16/01/1960</t>
  </si>
  <si>
    <t>Brenda Rosângela Porto</t>
  </si>
  <si>
    <t>07/01/1978</t>
  </si>
  <si>
    <t>Igor Fábio Benedito Silva</t>
  </si>
  <si>
    <t>09/01/1956</t>
  </si>
  <si>
    <t>Márcio Cláudio Lima</t>
  </si>
  <si>
    <t>09/01/1972</t>
  </si>
  <si>
    <t>Jéssica Regina Stefany Almada</t>
  </si>
  <si>
    <t>08/01/1975</t>
  </si>
  <si>
    <t>Thales Gael Pinto</t>
  </si>
  <si>
    <t>Vitória Regina Lopes</t>
  </si>
  <si>
    <t>09/01/1962</t>
  </si>
  <si>
    <t>Carolina Aparecida Sabrina da Rosa</t>
  </si>
  <si>
    <t>11/01/1990</t>
  </si>
  <si>
    <t>Maya Rafaela Teresinha Caldeira</t>
  </si>
  <si>
    <t>08/01/1997</t>
  </si>
  <si>
    <t>Samuel Rafael Fábio da Mata</t>
  </si>
  <si>
    <t>03/01/1975</t>
  </si>
  <si>
    <t>Lucas Breno Matheus Almeida</t>
  </si>
  <si>
    <t>14/01/1951</t>
  </si>
  <si>
    <t>Bento Paulo Vinicius Teixeira</t>
  </si>
  <si>
    <t>05/01/1998</t>
  </si>
  <si>
    <t>Rosa Isabelly Yasmin Vieira</t>
  </si>
  <si>
    <t>05/01/1972</t>
  </si>
  <si>
    <t>Osvaldo Juan Jesus</t>
  </si>
  <si>
    <t>02/01/1971</t>
  </si>
  <si>
    <t>Fernanda Caroline da Mota</t>
  </si>
  <si>
    <t>16/01/1979</t>
  </si>
  <si>
    <t>Vitor Isaac Cardoso</t>
  </si>
  <si>
    <t>02/01/1952</t>
  </si>
  <si>
    <t>Enrico Martin Antonio Moura</t>
  </si>
  <si>
    <t>07/01/1945</t>
  </si>
  <si>
    <t>Analu Liz Adriana Freitas</t>
  </si>
  <si>
    <t>02/01/1978</t>
  </si>
  <si>
    <t>Caraguatatuba</t>
  </si>
  <si>
    <t>Teresinha Rosa Alves</t>
  </si>
  <si>
    <t>18/01/1955</t>
  </si>
  <si>
    <t>Varginha</t>
  </si>
  <si>
    <t>Mateus Osvaldo Marcos Vinicius Brito</t>
  </si>
  <si>
    <t>Rita Silvana Oliveira</t>
  </si>
  <si>
    <t>06/01/2002</t>
  </si>
  <si>
    <t>Betina Natália Rocha</t>
  </si>
  <si>
    <t>Hugo Augusto Emanuel Mendes</t>
  </si>
  <si>
    <t>04/01/1998</t>
  </si>
  <si>
    <t>Andreia Raimunda Kamilly Ferreira</t>
  </si>
  <si>
    <t>17/01/1956</t>
  </si>
  <si>
    <t>Bryan Bruno Jorge Rezende</t>
  </si>
  <si>
    <t>03/01/1987</t>
  </si>
  <si>
    <t>Caleb Bruno da Conceição</t>
  </si>
  <si>
    <t>08/01/1971</t>
  </si>
  <si>
    <t>Erick Vinicius Santos</t>
  </si>
  <si>
    <t>Eduardo Juan Rafael da Costa</t>
  </si>
  <si>
    <t>Isaac Kevin Gonçalves</t>
  </si>
  <si>
    <t>05/01/1967</t>
  </si>
  <si>
    <t>Panambi</t>
  </si>
  <si>
    <t>Lorenzo Thomas Sales</t>
  </si>
  <si>
    <t>03/01/1973</t>
  </si>
  <si>
    <t>Fernando José Sebastião Fernandes</t>
  </si>
  <si>
    <t>10/01/1958</t>
  </si>
  <si>
    <t>Tatiane Evelyn Regina Nogueira</t>
  </si>
  <si>
    <t>05/01/1947</t>
  </si>
  <si>
    <t>Lorenzo Heitor Márcio Fogaça</t>
  </si>
  <si>
    <t>03/01/1969</t>
  </si>
  <si>
    <t>Joaquim Eduardo Raul Almeida</t>
  </si>
  <si>
    <t>13/01/1965</t>
  </si>
  <si>
    <t>Manuela Bianca Santos</t>
  </si>
  <si>
    <t>15/01/1982</t>
  </si>
  <si>
    <t>Isabela Priscila Freitas</t>
  </si>
  <si>
    <t>06/01/1996</t>
  </si>
  <si>
    <t>Rafael Renan Juan da Mota</t>
  </si>
  <si>
    <t>15/01/1976</t>
  </si>
  <si>
    <t>Benjamin Carlos Eduardo Yuri Lima</t>
  </si>
  <si>
    <t>12/01/1972</t>
  </si>
  <si>
    <t>Lara Alessandra Olivia Rodrigues</t>
  </si>
  <si>
    <t>07/01/2001</t>
  </si>
  <si>
    <t>Lucca Vinicius Moura</t>
  </si>
  <si>
    <t>Débora Hadassa Vieira</t>
  </si>
  <si>
    <t>Juan Caleb Barros</t>
  </si>
  <si>
    <t>15/01/1980</t>
  </si>
  <si>
    <t>Raimunda Natália Elisa Souza</t>
  </si>
  <si>
    <t>10/01/1999</t>
  </si>
  <si>
    <t>Analu Mariah Camila Peixoto</t>
  </si>
  <si>
    <t>04/01/1986</t>
  </si>
  <si>
    <t>Nelson Ian Pereira</t>
  </si>
  <si>
    <t>Santana de Parnaíba</t>
  </si>
  <si>
    <t>Miguel Marcos Victor Mendes</t>
  </si>
  <si>
    <t>05/01/1963</t>
  </si>
  <si>
    <t>Mirella Betina Clara Brito</t>
  </si>
  <si>
    <t>10/01/1961</t>
  </si>
  <si>
    <t>Vitor Cauê Ribeiro</t>
  </si>
  <si>
    <t>Nicole Agatha Valentina Drumond</t>
  </si>
  <si>
    <t>10/01/1998</t>
  </si>
  <si>
    <t>Vicente Mário da Luz</t>
  </si>
  <si>
    <t>18/01/1972</t>
  </si>
  <si>
    <t>Oliver Anthony Bryan Carvalho</t>
  </si>
  <si>
    <t>Lavínia Carla Sales</t>
  </si>
  <si>
    <t>02/01/1986</t>
  </si>
  <si>
    <t>Anthony Lucca Viana</t>
  </si>
  <si>
    <t>01/01/1989</t>
  </si>
  <si>
    <t>Julio Enzo Julio Pires</t>
  </si>
  <si>
    <t>07/01/1972</t>
  </si>
  <si>
    <t>Cauã Tiago Monteiro</t>
  </si>
  <si>
    <t>07/01/1993</t>
  </si>
  <si>
    <t>Ruan Oliver Eduardo Galvão</t>
  </si>
  <si>
    <t>03/01/1962</t>
  </si>
  <si>
    <t>Murilo Fábio Silveira</t>
  </si>
  <si>
    <t>Caratinga</t>
  </si>
  <si>
    <t>Brenda Hadassa Jesus</t>
  </si>
  <si>
    <t>Augusto Rafael das Neves</t>
  </si>
  <si>
    <t>06/01/1958</t>
  </si>
  <si>
    <t>Porto Grande</t>
  </si>
  <si>
    <t>Priscila Eliane Analu Duarte</t>
  </si>
  <si>
    <t>São José dos Campos</t>
  </si>
  <si>
    <t>Bárbara Alice Antonella Campos</t>
  </si>
  <si>
    <t>03/01/2005</t>
  </si>
  <si>
    <t>Heloise Fernanda Rita Corte Real</t>
  </si>
  <si>
    <t>18/01/1989</t>
  </si>
  <si>
    <t>Aparecida Sophia Luciana das Neves</t>
  </si>
  <si>
    <t>02/01/1956</t>
  </si>
  <si>
    <t>Diogo Fábio Ian Carvalho</t>
  </si>
  <si>
    <t>05/01/1959</t>
  </si>
  <si>
    <t>Marina Aurora Sônia da Costa</t>
  </si>
  <si>
    <t>17/01/2003</t>
  </si>
  <si>
    <t>Caleb Pietro Vitor Fogaça</t>
  </si>
  <si>
    <t>07/01/1966</t>
  </si>
  <si>
    <t>Giovana Yasmin Jesus</t>
  </si>
  <si>
    <t>Vitória Letícia Rita dos Santos</t>
  </si>
  <si>
    <t>Nina Aline Luna Figueiredo</t>
  </si>
  <si>
    <t>Bonito</t>
  </si>
  <si>
    <t>Bruno Caleb Márcio Castro</t>
  </si>
  <si>
    <t>Sara Simone Oliveira</t>
  </si>
  <si>
    <t>Ryan Isaac Almeida</t>
  </si>
  <si>
    <t>03/01/1965</t>
  </si>
  <si>
    <t>Nelson Iago Pires</t>
  </si>
  <si>
    <t>12/01/1945</t>
  </si>
  <si>
    <t>Carlos Leonardo Davi Santos</t>
  </si>
  <si>
    <t>17/01/1973</t>
  </si>
  <si>
    <t>Isaac Caio Alexandre da Silva</t>
  </si>
  <si>
    <t>Isabelle Heloise Cristiane da Rosa</t>
  </si>
  <si>
    <t>04/01/1955</t>
  </si>
  <si>
    <t>Marcos Renato da Cruz</t>
  </si>
  <si>
    <t>10/01/1952</t>
  </si>
  <si>
    <t>Santana do Riacho</t>
  </si>
  <si>
    <t>Filipe Francisco da Mota</t>
  </si>
  <si>
    <t>10/01/2001</t>
  </si>
  <si>
    <t>Emanuel Arthur Victor da Conceição</t>
  </si>
  <si>
    <t>Pietro Carlos Eduardo Moreira</t>
  </si>
  <si>
    <t>Adriana Alana Ester Almada</t>
  </si>
  <si>
    <t>09/01/1996</t>
  </si>
  <si>
    <t>Açu</t>
  </si>
  <si>
    <t>Benício Nathan Silveira</t>
  </si>
  <si>
    <t>03/01/1971</t>
  </si>
  <si>
    <t>Giovanni Lucca Gonçalves</t>
  </si>
  <si>
    <t>Emily Julia Corte Real</t>
  </si>
  <si>
    <t>04/01/1957</t>
  </si>
  <si>
    <t>Agrestina</t>
  </si>
  <si>
    <t>Marcelo César Filipe Brito</t>
  </si>
  <si>
    <t>18/01/1971</t>
  </si>
  <si>
    <t>Osvaldo Igor Thales Monteiro</t>
  </si>
  <si>
    <t>Larissa Ana Sales</t>
  </si>
  <si>
    <t>11/01/1950</t>
  </si>
  <si>
    <t>Laura Rosa Dias</t>
  </si>
  <si>
    <t>Rodrigo Marcos Ferreira</t>
  </si>
  <si>
    <t>Benedito Rafael Rezende</t>
  </si>
  <si>
    <t>Antônia Bárbara Lavínia Gomes</t>
  </si>
  <si>
    <t>Theo César Edson Melo</t>
  </si>
  <si>
    <t>Helena Luzia Moreira</t>
  </si>
  <si>
    <t>01/01/1990</t>
  </si>
  <si>
    <t>Diogo Marcos Vinicius Theo Costa</t>
  </si>
  <si>
    <t>Alice Benedita Alícia Souza</t>
  </si>
  <si>
    <t>12/01/1959</t>
  </si>
  <si>
    <t>Esther Larissa Silveira</t>
  </si>
  <si>
    <t>09/01/1977</t>
  </si>
  <si>
    <t>Bauru</t>
  </si>
  <si>
    <t>Rosângela Amanda Carvalho</t>
  </si>
  <si>
    <t>Alexandre Matheus Baptista</t>
  </si>
  <si>
    <t>Pedro Henrique Iago Benício de Paula</t>
  </si>
  <si>
    <t>Iago André Viana</t>
  </si>
  <si>
    <t>07/01/1963</t>
  </si>
  <si>
    <t>Eduardo Bryan Rocha</t>
  </si>
  <si>
    <t>12/01/1990</t>
  </si>
  <si>
    <t>Tatiane Vera dos Santos</t>
  </si>
  <si>
    <t>11/01/1992</t>
  </si>
  <si>
    <t>Pedro Julio Ribeiro</t>
  </si>
  <si>
    <t>Araranguá</t>
  </si>
  <si>
    <t>Elaine Mirella Rezende</t>
  </si>
  <si>
    <t>09/01/1949</t>
  </si>
  <si>
    <t>Arthur Thomas Nunes</t>
  </si>
  <si>
    <t>14/01/1970</t>
  </si>
  <si>
    <t>Roberto Vinicius Melo</t>
  </si>
  <si>
    <t>Emilly Rebeca Assunção</t>
  </si>
  <si>
    <t>Andreia Heloisa Araújo</t>
  </si>
  <si>
    <t>15/01/1967</t>
  </si>
  <si>
    <t>Isabela Emanuelly das Neves</t>
  </si>
  <si>
    <t>Sarah Louise Bianca Mendes</t>
  </si>
  <si>
    <t>Carolina Luiza Joana Barbosa</t>
  </si>
  <si>
    <t>08/01/1983</t>
  </si>
  <si>
    <t>Matheus Mateus Corte Real</t>
  </si>
  <si>
    <t>Isis Isis Cardoso</t>
  </si>
  <si>
    <t>06/01/1956</t>
  </si>
  <si>
    <t>Nova Serrana</t>
  </si>
  <si>
    <t>Gabriel Enzo Mário Drumond</t>
  </si>
  <si>
    <t>13/01/1968</t>
  </si>
  <si>
    <t>Melissa Luana Alessandra Cavalcanti</t>
  </si>
  <si>
    <t>Piraquara</t>
  </si>
  <si>
    <t>Rosa Betina Vanessa Barros</t>
  </si>
  <si>
    <t>14/01/1953</t>
  </si>
  <si>
    <t>Sandra Mirella Valentina Assis</t>
  </si>
  <si>
    <t>Ricardo Thales Santos</t>
  </si>
  <si>
    <t>14/01/1973</t>
  </si>
  <si>
    <t>Juan Ian Heitor da Mata</t>
  </si>
  <si>
    <t>12/01/1987</t>
  </si>
  <si>
    <t>Gael César Paulo Vieira</t>
  </si>
  <si>
    <t>08/01/1978</t>
  </si>
  <si>
    <t>Julia Raimunda Alves</t>
  </si>
  <si>
    <t>08/01/1964</t>
  </si>
  <si>
    <t>Raimundo Enzo Novaes</t>
  </si>
  <si>
    <t>02/01/1945</t>
  </si>
  <si>
    <t>Kaique Felipe Silveira</t>
  </si>
  <si>
    <t>15/01/1953</t>
  </si>
  <si>
    <t>Henry Mateus Barbosa</t>
  </si>
  <si>
    <t>08/01/2003</t>
  </si>
  <si>
    <t>Alessandra Caroline Mariane Novaes</t>
  </si>
  <si>
    <t>Martin Felipe Nunes</t>
  </si>
  <si>
    <t>André Joaquim Peixoto</t>
  </si>
  <si>
    <t>02/01/1950</t>
  </si>
  <si>
    <t>Nair Giovana Almada</t>
  </si>
  <si>
    <t>09/01/1998</t>
  </si>
  <si>
    <t>Mariane Pietra Mendes</t>
  </si>
  <si>
    <t>Victor Diogo Giovanni Lopes</t>
  </si>
  <si>
    <t>18/01/1998</t>
  </si>
  <si>
    <t>Pietra Heloise Cardoso</t>
  </si>
  <si>
    <t>04/01/1978</t>
  </si>
  <si>
    <t>Tatiane Isadora dos Santos</t>
  </si>
  <si>
    <t>Sabrina Emanuelly Raimunda Ramos</t>
  </si>
  <si>
    <t>Mariah Cláudia Fogaça</t>
  </si>
  <si>
    <t>Nina Alícia Galvão</t>
  </si>
  <si>
    <t>09/01/1986</t>
  </si>
  <si>
    <t>Sebastiana Natália Valentina Figueiredo</t>
  </si>
  <si>
    <t>Bruna Adriana Sabrina da Rosa</t>
  </si>
  <si>
    <t>08/01/1970</t>
  </si>
  <si>
    <t>Amanda Mariana Valentina Jesus</t>
  </si>
  <si>
    <t>Renan Ruan de Paula</t>
  </si>
  <si>
    <t>08/01/1959</t>
  </si>
  <si>
    <t>Vicente Diego Luiz da Conceição</t>
  </si>
  <si>
    <t>09/01/1968</t>
  </si>
  <si>
    <t>Nelson Henry Lima</t>
  </si>
  <si>
    <t>11/01/1965</t>
  </si>
  <si>
    <t>Carlos Eduardo Yuri Silva</t>
  </si>
  <si>
    <t>17/01/1988</t>
  </si>
  <si>
    <t>Clarice Fabiana das Neves</t>
  </si>
  <si>
    <t>12/01/1955</t>
  </si>
  <si>
    <t>Kamilly Helena Sales</t>
  </si>
  <si>
    <t>Francisca Jennifer Bárbara Freitas</t>
  </si>
  <si>
    <t>Isadora Stefany Ana Vieira</t>
  </si>
  <si>
    <t>15/01/1956</t>
  </si>
  <si>
    <t>Alice Hadassa Sophia Brito</t>
  </si>
  <si>
    <t>06/01/1974</t>
  </si>
  <si>
    <t>Sebastiana Márcia da Paz</t>
  </si>
  <si>
    <t>08/01/1974</t>
  </si>
  <si>
    <t>Marcos Anderson Moreira</t>
  </si>
  <si>
    <t>01/01/1975</t>
  </si>
  <si>
    <t>Lucca Vitor Matheus da Mota</t>
  </si>
  <si>
    <t>13/01/1984</t>
  </si>
  <si>
    <t>Maitê Marcela Campos</t>
  </si>
  <si>
    <t>12/01/1978</t>
  </si>
  <si>
    <t>Lavínia Carla Marina Almeida</t>
  </si>
  <si>
    <t>13/01/1976</t>
  </si>
  <si>
    <t>Pedro Mateus Rocha</t>
  </si>
  <si>
    <t>13/01/1970</t>
  </si>
  <si>
    <t>Aparecida Nair Esther Aparício</t>
  </si>
  <si>
    <t>Sophia Natália Sabrina da Luz</t>
  </si>
  <si>
    <t>Mariah Silvana Melo</t>
  </si>
  <si>
    <t>11/01/1954</t>
  </si>
  <si>
    <t>Igor Bruno Anderson Peixoto</t>
  </si>
  <si>
    <t>Gael Leandro Victor Duarte</t>
  </si>
  <si>
    <t>Bento Diogo Costa</t>
  </si>
  <si>
    <t>03/01/1952</t>
  </si>
  <si>
    <t>Tatiane Fátima Ferreira</t>
  </si>
  <si>
    <t>Caroline Sara Gomes</t>
  </si>
  <si>
    <t>09/01/1975</t>
  </si>
  <si>
    <t>Adriana Cecília Moraes</t>
  </si>
  <si>
    <t>Melissa Nicole Josefa da Silva</t>
  </si>
  <si>
    <t>Marcelo Paulo Julio Bernardes</t>
  </si>
  <si>
    <t>Tiago Mateus Ricardo Rodrigues</t>
  </si>
  <si>
    <t>18/01/2006</t>
  </si>
  <si>
    <t>Fábio Bento de Paula</t>
  </si>
  <si>
    <t>Alessandra Sophia Jesus</t>
  </si>
  <si>
    <t>04/01/1991</t>
  </si>
  <si>
    <t>Beatriz Isabel Sales</t>
  </si>
  <si>
    <t>Lavínia Gabriela Marli Moura</t>
  </si>
  <si>
    <t>Nair Sarah Isadora Ramos</t>
  </si>
  <si>
    <t>12/01/1977</t>
  </si>
  <si>
    <t>Jennifer Nair Josefa Alves</t>
  </si>
  <si>
    <t>Regina Catarina Assis</t>
  </si>
  <si>
    <t>Elias Noah Thiago Caldeira</t>
  </si>
  <si>
    <t>01/01/1962</t>
  </si>
  <si>
    <t>Ayla Lavínia Emanuelly Lima</t>
  </si>
  <si>
    <t>07/01/1952</t>
  </si>
  <si>
    <t>Helena Isis da Cunha</t>
  </si>
  <si>
    <t>12/01/1986</t>
  </si>
  <si>
    <t>Amanda Luzia Eloá da Mota</t>
  </si>
  <si>
    <t>04/01/1973</t>
  </si>
  <si>
    <t>Bernardo Yuri Assunção</t>
  </si>
  <si>
    <t>Simone Benedita Ayla Teixeira</t>
  </si>
  <si>
    <t>Kauê Ian Cauã Nogueira</t>
  </si>
  <si>
    <t>15/01/1948</t>
  </si>
  <si>
    <t>Lúcia Helena Antonella Viana</t>
  </si>
  <si>
    <t>Emanuelly Eduarda Renata dos Santos</t>
  </si>
  <si>
    <t>13/01/1960</t>
  </si>
  <si>
    <t>Samuel Anthony Freitas</t>
  </si>
  <si>
    <t>13/01/1953</t>
  </si>
  <si>
    <t>César Filipe Nogueira</t>
  </si>
  <si>
    <t>04/01/2006</t>
  </si>
  <si>
    <t>Lorena Catarina Rafaela da Cruz</t>
  </si>
  <si>
    <t>Ian Sérgio Santos</t>
  </si>
  <si>
    <t>18/01/1965</t>
  </si>
  <si>
    <t>Enzo Raimundo Fábio Novaes</t>
  </si>
  <si>
    <t>04/01/1977</t>
  </si>
  <si>
    <t>Giovana Benedita Araújo</t>
  </si>
  <si>
    <t>17/01/1989</t>
  </si>
  <si>
    <t>Santo Ângelo</t>
  </si>
  <si>
    <t>Sérgio Diogo Drumond</t>
  </si>
  <si>
    <t>03/01/1947</t>
  </si>
  <si>
    <t>Theo Henrique da Costa</t>
  </si>
  <si>
    <t>Isabelly Gabrielly Martins</t>
  </si>
  <si>
    <t>01/01/1986</t>
  </si>
  <si>
    <t>Sophie Mariah da Rosa</t>
  </si>
  <si>
    <t>14/01/1945</t>
  </si>
  <si>
    <t>Henrique Matheus Martin dos Santos</t>
  </si>
  <si>
    <t>11/01/1964</t>
  </si>
  <si>
    <t>Ryan Davi Levi Fernandes</t>
  </si>
  <si>
    <t>Cláudio Oliver Teixeira</t>
  </si>
  <si>
    <t>14/01/1995</t>
  </si>
  <si>
    <t>Analu Mariah Pietra Sales</t>
  </si>
  <si>
    <t>Simone Sophia Oliveira</t>
  </si>
  <si>
    <t>Paulo Otávio Assunção</t>
  </si>
  <si>
    <t>04/01/1952</t>
  </si>
  <si>
    <t>Mariana Kamilly Rosa Alves</t>
  </si>
  <si>
    <t>Nina Mirella Jennifer Ribeiro</t>
  </si>
  <si>
    <t>01/01/1968</t>
  </si>
  <si>
    <t>Sérgio Anderson Silva</t>
  </si>
  <si>
    <t>14/01/1994</t>
  </si>
  <si>
    <t>Laís Carolina Fátima da Rocha</t>
  </si>
  <si>
    <t>18/01/1996</t>
  </si>
  <si>
    <t>Joana Lúcia Betina Brito</t>
  </si>
  <si>
    <t>11/01/1956</t>
  </si>
  <si>
    <t>Nair Cecília Vera Baptista</t>
  </si>
  <si>
    <t>Caleb João Roberto Rocha</t>
  </si>
  <si>
    <t>Sebastião Tomás Oliver Campos</t>
  </si>
  <si>
    <t>Bento Luan Mendes</t>
  </si>
  <si>
    <t>06/01/1988</t>
  </si>
  <si>
    <t>Lúcia Alana Vieira</t>
  </si>
  <si>
    <t>Analu Beatriz Alessandra Lima</t>
  </si>
  <si>
    <t>Isadora Emily Gomes</t>
  </si>
  <si>
    <t>Murilo Tiago Almeida</t>
  </si>
  <si>
    <t>14/01/1968</t>
  </si>
  <si>
    <t>Yago Roberto Almada</t>
  </si>
  <si>
    <t>02/01/1953</t>
  </si>
  <si>
    <t>Carlos Nelson Martin Moreira</t>
  </si>
  <si>
    <t>Benedito Lorenzo de Paula</t>
  </si>
  <si>
    <t>17/01/2007</t>
  </si>
  <si>
    <t>Clarice Esther Juliana Gomes</t>
  </si>
  <si>
    <t>06/01/1949</t>
  </si>
  <si>
    <t>Carlos Hugo Yuri Baptista</t>
  </si>
  <si>
    <t>Jaqueline Vanessa Alana Carvalho</t>
  </si>
  <si>
    <t>Letícia Betina Bianca da Conceição</t>
  </si>
  <si>
    <t>06/01/1972</t>
  </si>
  <si>
    <t>Clara Melissa Hadassa Silveira</t>
  </si>
  <si>
    <t>Isabela Hadassa Marcela Figueiredo</t>
  </si>
  <si>
    <t>17/01/1982</t>
  </si>
  <si>
    <t>Giovanni Yago Juan Ramos</t>
  </si>
  <si>
    <t>04/01/1962</t>
  </si>
  <si>
    <t>Ana Lorena Allana dos Santos</t>
  </si>
  <si>
    <t>Gabrielly Maitê Isabel Fernandes</t>
  </si>
  <si>
    <t>Luna Valentina Louise Teixeira</t>
  </si>
  <si>
    <t>04/01/1995</t>
  </si>
  <si>
    <t>Liz Fátima Bernardes</t>
  </si>
  <si>
    <t>17/01/1990</t>
  </si>
  <si>
    <t>Três Pontas</t>
  </si>
  <si>
    <t>Isabel Catarina Souza</t>
  </si>
  <si>
    <t>16/01/1945</t>
  </si>
  <si>
    <t>Nicole Flávia Bianca Cavalcanti</t>
  </si>
  <si>
    <t>02/01/1975</t>
  </si>
  <si>
    <t>Osvaldo Davi Araújo</t>
  </si>
  <si>
    <t>02/01/2000</t>
  </si>
  <si>
    <t>Augusto Manoel Silva</t>
  </si>
  <si>
    <t>11/01/1982</t>
  </si>
  <si>
    <t>Fábio Cauã Anderson Rocha</t>
  </si>
  <si>
    <t>16/01/1975</t>
  </si>
  <si>
    <t>Agatha Laura Nicole Almada</t>
  </si>
  <si>
    <t>Sueli Isadora Letícia Caldeira</t>
  </si>
  <si>
    <t>12/01/1947</t>
  </si>
  <si>
    <t>Teresinha Bárbara Elaine Pereira</t>
  </si>
  <si>
    <t>11/01/1999</t>
  </si>
  <si>
    <t>Carolina Luzia Alves</t>
  </si>
  <si>
    <t>Caroline Catarina Beatriz Sales</t>
  </si>
  <si>
    <t>Marcela Luna Lopes</t>
  </si>
  <si>
    <t>14/01/2003</t>
  </si>
  <si>
    <t>Gabriel Kauê Viana</t>
  </si>
  <si>
    <t>15/01/1972</t>
  </si>
  <si>
    <t>Jennifer Rafaela Nunes</t>
  </si>
  <si>
    <t>14/01/1948</t>
  </si>
  <si>
    <t>Caieiras</t>
  </si>
  <si>
    <t>Thales Daniel Moraes</t>
  </si>
  <si>
    <t>Nair Carolina Sônia Nascimento</t>
  </si>
  <si>
    <t>Carla Jaqueline Pietra Pires</t>
  </si>
  <si>
    <t>10/01/1959</t>
  </si>
  <si>
    <t>Vitor Cauã da Silva</t>
  </si>
  <si>
    <t>13/01/1964</t>
  </si>
  <si>
    <t>Iago Yuri Barbosa</t>
  </si>
  <si>
    <t>16/01/1967</t>
  </si>
  <si>
    <t>Ian Joaquim Nascimento</t>
  </si>
  <si>
    <t>Tiago Pedro Bernardes</t>
  </si>
  <si>
    <t>15/01/1964</t>
  </si>
  <si>
    <t>Gabriel Fernando Marcos Vinicius Farias</t>
  </si>
  <si>
    <t>Sophia Louise Duarte</t>
  </si>
  <si>
    <t>Valentina Bruna Bruna Aragão</t>
  </si>
  <si>
    <t>15/01/1985</t>
  </si>
  <si>
    <t>Matheus Francisco Gomes</t>
  </si>
  <si>
    <t>13/01/1978</t>
  </si>
  <si>
    <t>Elisa Mirella Natália da Mata</t>
  </si>
  <si>
    <t>Cláudio Ricardo Nathan Almada</t>
  </si>
  <si>
    <t>Luís Antonio Felipe Moraes</t>
  </si>
  <si>
    <t>08/01/1999</t>
  </si>
  <si>
    <t>Luiz Caleb dos Santos</t>
  </si>
  <si>
    <t>18/01/1958</t>
  </si>
  <si>
    <t>Beatriz Isabelle Carvalho</t>
  </si>
  <si>
    <t>Cachoeira do Sul</t>
  </si>
  <si>
    <t>Ana Stella Ribeiro</t>
  </si>
  <si>
    <t>Juazeiro</t>
  </si>
  <si>
    <t>Noah Fábio Nunes</t>
  </si>
  <si>
    <t>12/01/1961</t>
  </si>
  <si>
    <t>Manoel Raimundo Jorge Drumond</t>
  </si>
  <si>
    <t>05/01/1991</t>
  </si>
  <si>
    <t>Otávio Luan Rezende</t>
  </si>
  <si>
    <t>Morrinhos</t>
  </si>
  <si>
    <t>Samuel Geraldo Felipe Assunção</t>
  </si>
  <si>
    <t>Rafaela Emilly Beatriz Fernandes</t>
  </si>
  <si>
    <t>07/01/1947</t>
  </si>
  <si>
    <t>Barra do Piraí</t>
  </si>
  <si>
    <t>Rebeca Gabriela Moreira</t>
  </si>
  <si>
    <t>05/01/2007</t>
  </si>
  <si>
    <t>Luzia Sarah Novaes</t>
  </si>
  <si>
    <t>Parintins</t>
  </si>
  <si>
    <t>Levi Joaquim Davi Oliveira</t>
  </si>
  <si>
    <t>04/01/1953</t>
  </si>
  <si>
    <t>Mariana Rayssa Vanessa Brito</t>
  </si>
  <si>
    <t>10/01/1993</t>
  </si>
  <si>
    <t>Renan Joaquim Galvão</t>
  </si>
  <si>
    <t>12/01/1976</t>
  </si>
  <si>
    <t>Gael Gustavo Vitor da Rocha</t>
  </si>
  <si>
    <t>02/01/1951</t>
  </si>
  <si>
    <t>Cauã Lorenzo Calebe Lopes</t>
  </si>
  <si>
    <t>Cláudio Nathan Cauê Barros</t>
  </si>
  <si>
    <t>01/01/2000</t>
  </si>
  <si>
    <t>Cianorte</t>
  </si>
  <si>
    <t>Andreia Cláudia Aparício</t>
  </si>
  <si>
    <t>13/01/2007</t>
  </si>
  <si>
    <t>Nelson Juan Moura</t>
  </si>
  <si>
    <t>13/01/1979</t>
  </si>
  <si>
    <t>Paulo Nelson Corte Real</t>
  </si>
  <si>
    <t>10/01/1976</t>
  </si>
  <si>
    <t>Igor Marcos Viana</t>
  </si>
  <si>
    <t>10/01/2003</t>
  </si>
  <si>
    <t>Raimunda Rosa da Mota</t>
  </si>
  <si>
    <t>Daiane Emilly Josefa Peixoto</t>
  </si>
  <si>
    <t>14/01/1975</t>
  </si>
  <si>
    <t>Noah Diego Alves</t>
  </si>
  <si>
    <t>Manuel Fernando Eduardo Freitas</t>
  </si>
  <si>
    <t>João Manuel Mendes</t>
  </si>
  <si>
    <t>Rita Heloisa Galvão</t>
  </si>
  <si>
    <t>08/01/1987</t>
  </si>
  <si>
    <t>Pietra Mirella da Paz</t>
  </si>
  <si>
    <t>03/01/2000</t>
  </si>
  <si>
    <t>Tatiane Rosângela Rosângela Pires</t>
  </si>
  <si>
    <t>11/01/1991</t>
  </si>
  <si>
    <t>Lucca Sebastião Tiago Souza</t>
  </si>
  <si>
    <t>15/01/1973</t>
  </si>
  <si>
    <t>Yago Thales Moraes</t>
  </si>
  <si>
    <t>02/01/1948</t>
  </si>
  <si>
    <t>Carolina Eduarda Luiza Drumond</t>
  </si>
  <si>
    <t>01/01/1973</t>
  </si>
  <si>
    <t>Sorocaba</t>
  </si>
  <si>
    <t>Murilo Geraldo Geraldo Duarte</t>
  </si>
  <si>
    <t>Antonio João Santos</t>
  </si>
  <si>
    <t>Isabelly Sophia da Mota</t>
  </si>
  <si>
    <t>02/01/1981</t>
  </si>
  <si>
    <t>Rafael Leandro Sales</t>
  </si>
  <si>
    <t>01/01/1955</t>
  </si>
  <si>
    <t>Henry Ruan Yuri Ramos</t>
  </si>
  <si>
    <t>Kauê Fernando Rodrigues</t>
  </si>
  <si>
    <t>Tereza Renata Betina Almada</t>
  </si>
  <si>
    <t>18/01/2001</t>
  </si>
  <si>
    <t>Yago Geraldo Igor Bernardes</t>
  </si>
  <si>
    <t>16/01/1959</t>
  </si>
  <si>
    <t>Cauê Paulo de Paula</t>
  </si>
  <si>
    <t>17/01/1976</t>
  </si>
  <si>
    <t>Emilly Cecília Moura</t>
  </si>
  <si>
    <t>Gabrielly Pietra Alice Aparício</t>
  </si>
  <si>
    <t>05/01/1993</t>
  </si>
  <si>
    <t>Vanessa Rebeca Eloá da Silva</t>
  </si>
  <si>
    <t>18/01/1976</t>
  </si>
  <si>
    <t>Kamilly Patrícia Isis Castro</t>
  </si>
  <si>
    <t>09/01/1988</t>
  </si>
  <si>
    <t>Daiane Isis Rita Moreira</t>
  </si>
  <si>
    <t>14/01/1955</t>
  </si>
  <si>
    <t>Isis Renata Viana</t>
  </si>
  <si>
    <t>14/01/1972</t>
  </si>
  <si>
    <t>Tatiane Catarina Francisca das Neves</t>
  </si>
  <si>
    <t>Cauê César Melo</t>
  </si>
  <si>
    <t>Thiago Sebastião Edson Rezende</t>
  </si>
  <si>
    <t>11/01/2007</t>
  </si>
  <si>
    <t>Marlene Patrícia Farias</t>
  </si>
  <si>
    <t>02/01/1965</t>
  </si>
  <si>
    <t>Manoel Filipe Fogaça</t>
  </si>
  <si>
    <t>09/01/1967</t>
  </si>
  <si>
    <t>Samuel Arthur Edson Porto</t>
  </si>
  <si>
    <t>Pedro Henrique Anthony Souza</t>
  </si>
  <si>
    <t>Raul Heitor Bernardes</t>
  </si>
  <si>
    <t>02/01/1995</t>
  </si>
  <si>
    <t>Alice Mirella Amanda Figueiredo</t>
  </si>
  <si>
    <t>Calebe Giovanni Araújo</t>
  </si>
  <si>
    <t>18/01/1975</t>
  </si>
  <si>
    <t>Severino Juan Victor Monteiro</t>
  </si>
  <si>
    <t>Bento Rodrigo Lucas Gonçalves</t>
  </si>
  <si>
    <t>13/01/2005</t>
  </si>
  <si>
    <t>Vanessa Emanuelly Pietra Viana</t>
  </si>
  <si>
    <t>04/01/1968</t>
  </si>
  <si>
    <t>Carlos Cauê da Mata</t>
  </si>
  <si>
    <t>Enrico Francisco Pedro Barbosa</t>
  </si>
  <si>
    <t>04/01/1951</t>
  </si>
  <si>
    <t>Lorena Tereza Ribeiro</t>
  </si>
  <si>
    <t>10/01/1979</t>
  </si>
  <si>
    <t>Felipe Elias Baptista</t>
  </si>
  <si>
    <t>09/01/1951</t>
  </si>
  <si>
    <t>Valentina Tatiane da Paz</t>
  </si>
  <si>
    <t>Raimundo Osvaldo Pinto</t>
  </si>
  <si>
    <t>Leonardo Isaac Carlos Assunção</t>
  </si>
  <si>
    <t>07/01/1994</t>
  </si>
  <si>
    <t>Manuela Bárbara Rodrigues</t>
  </si>
  <si>
    <t>Felipe Filipe Silveira</t>
  </si>
  <si>
    <t>Daiane Sarah Oliveira</t>
  </si>
  <si>
    <t>02/01/1998</t>
  </si>
  <si>
    <t>Isis Antônia da Rocha</t>
  </si>
  <si>
    <t>18/01/1950</t>
  </si>
  <si>
    <t>Igor Calebe Renato Nascimento</t>
  </si>
  <si>
    <t>Luiza Liz Luana Assis</t>
  </si>
  <si>
    <t>10/01/1945</t>
  </si>
  <si>
    <t>Clarice Carolina Cardoso</t>
  </si>
  <si>
    <t>Stefany Joana Silva</t>
  </si>
  <si>
    <t>Calebe Anderson Enrico Martins</t>
  </si>
  <si>
    <t>Vanessa Emanuelly Amanda Cavalcanti</t>
  </si>
  <si>
    <t>Stefany Luzia Lopes</t>
  </si>
  <si>
    <t>02/01/2004</t>
  </si>
  <si>
    <t>Agatha Clarice Freitas</t>
  </si>
  <si>
    <t>07/01/1962</t>
  </si>
  <si>
    <t>Yuri Lucas Manuel Carvalho</t>
  </si>
  <si>
    <t>06/01/2001</t>
  </si>
  <si>
    <t>Hugo Bernardo Ferreira</t>
  </si>
  <si>
    <t>Sônia Cecília Isadora Drumond</t>
  </si>
  <si>
    <t>Julio Kevin Geraldo Duarte</t>
  </si>
  <si>
    <t>14/01/1963</t>
  </si>
  <si>
    <t>Patrícia Aurora Eliane Melo</t>
  </si>
  <si>
    <t>Martin Lucas da Rocha</t>
  </si>
  <si>
    <t>Liz Tatiane Caroline Drumond</t>
  </si>
  <si>
    <t>Manoel Francisco das Neves</t>
  </si>
  <si>
    <t>Silvana Alícia Carvalho</t>
  </si>
  <si>
    <t>02/01/2001</t>
  </si>
  <si>
    <t>Benício Caio João Viana</t>
  </si>
  <si>
    <t>Caio Sebastião da Mata</t>
  </si>
  <si>
    <t>10/01/1947</t>
  </si>
  <si>
    <t>Yago Noah Carlos Eduardo Aparício</t>
  </si>
  <si>
    <t>07/01/2004</t>
  </si>
  <si>
    <t>Vinicius Carlos Eduardo Tomás Jesus</t>
  </si>
  <si>
    <t>16/01/1996</t>
  </si>
  <si>
    <t>Carlos Luan da Costa</t>
  </si>
  <si>
    <t>Bruna Sandra de Paula</t>
  </si>
  <si>
    <t>08/01/1967</t>
  </si>
  <si>
    <t>Enzo Renan Diogo Teixeira</t>
  </si>
  <si>
    <t>05/01/1982</t>
  </si>
  <si>
    <t>Clarice Rebeca Emilly Moura</t>
  </si>
  <si>
    <t>06/01/1976</t>
  </si>
  <si>
    <t>Matheus Vicente Nicolas Galvão</t>
  </si>
  <si>
    <t>Joana Heloisa Regina Peixoto</t>
  </si>
  <si>
    <t>08/01/1966</t>
  </si>
  <si>
    <t>Samuel Emanuel Luís Sales</t>
  </si>
  <si>
    <t>09/01/1948</t>
  </si>
  <si>
    <t>Carla Luna Juliana Silva</t>
  </si>
  <si>
    <t>04/01/1954</t>
  </si>
  <si>
    <t>Vitor Thales Noah da Paz</t>
  </si>
  <si>
    <t>01/01/1995</t>
  </si>
  <si>
    <t>Benjamin Anderson Vieira</t>
  </si>
  <si>
    <t>Enrico Yago Assunção</t>
  </si>
  <si>
    <t>Benedita Márcia Figueiredo</t>
  </si>
  <si>
    <t>07/01/1961</t>
  </si>
  <si>
    <t>Breno Ruan Roberto Martins</t>
  </si>
  <si>
    <t>18/01/1999</t>
  </si>
  <si>
    <t>Levi Anthony Aragão</t>
  </si>
  <si>
    <t>Alice Giovana Gomes</t>
  </si>
  <si>
    <t>Clarice Márcia Costa</t>
  </si>
  <si>
    <t>02/01/1958</t>
  </si>
  <si>
    <t>Simone Isabel Cecília Ramos</t>
  </si>
  <si>
    <t>Vitória Ana Beatriz Fogaça</t>
  </si>
  <si>
    <t>17/01/1962</t>
  </si>
  <si>
    <t>Ester Alessandra Betina Cavalcanti</t>
  </si>
  <si>
    <t>Thales Daniel Mendes</t>
  </si>
  <si>
    <t>Iago Arthur Cláudio Almada</t>
  </si>
  <si>
    <t>14/01/2005</t>
  </si>
  <si>
    <t>Isabella Olivia Moraes</t>
  </si>
  <si>
    <t>Letícia Luana Tatiane Jesus</t>
  </si>
  <si>
    <t>11/01/1951</t>
  </si>
  <si>
    <t>Tânia Rayssa Clara Fernandes</t>
  </si>
  <si>
    <t>17/01/1946</t>
  </si>
  <si>
    <t>Elisa Heloisa Yasmin Lopes</t>
  </si>
  <si>
    <t>17/01/1999</t>
  </si>
  <si>
    <t>Eliane Beatriz Betina Costa</t>
  </si>
  <si>
    <t>12/01/1967</t>
  </si>
  <si>
    <t>Mariane Analu Aparício</t>
  </si>
  <si>
    <t>Benedito Marcos Miguel Souza</t>
  </si>
  <si>
    <t>Tereza Bárbara dos Santos</t>
  </si>
  <si>
    <t>Julio Ricardo Kauê da Silva</t>
  </si>
  <si>
    <t>15/01/1975</t>
  </si>
  <si>
    <t>André Benjamin Campos</t>
  </si>
  <si>
    <t>Enrico Emanuel Caldeira</t>
  </si>
  <si>
    <t>01/01/1985</t>
  </si>
  <si>
    <t>Elaine Alícia Patrícia da Luz</t>
  </si>
  <si>
    <t>Nicolas Augusto Moura</t>
  </si>
  <si>
    <t>Marcos Heitor Barros</t>
  </si>
  <si>
    <t>02/01/1990</t>
  </si>
  <si>
    <t>Augusto Enrico Gustavo Pereira</t>
  </si>
  <si>
    <t>06/01/1982</t>
  </si>
  <si>
    <t>Paulo Gael Kauê da Paz</t>
  </si>
  <si>
    <t>Fátima Patrícia Heloisa Silveira</t>
  </si>
  <si>
    <t>07/01/1995</t>
  </si>
  <si>
    <t>Tereza Rita Fogaça</t>
  </si>
  <si>
    <t>18/01/2005</t>
  </si>
  <si>
    <t>Gabriela Renata Vitória da Conceição</t>
  </si>
  <si>
    <t>05/01/1966</t>
  </si>
  <si>
    <t>Raimunda Eliane Ferreira</t>
  </si>
  <si>
    <t>Regina Alice Isabelly da Cunha</t>
  </si>
  <si>
    <t>02/01/2007</t>
  </si>
  <si>
    <t>Erick Diogo Bryan Nascimento</t>
  </si>
  <si>
    <t>Leonardo Heitor Lucca Gomes</t>
  </si>
  <si>
    <t>03/01/1996</t>
  </si>
  <si>
    <t>Carla Simone Sueli Brito</t>
  </si>
  <si>
    <t>Raul Caio Moreira</t>
  </si>
  <si>
    <t>Vitória Juliana Patrícia Cavalcanti</t>
  </si>
  <si>
    <t>15/01/1950</t>
  </si>
  <si>
    <t>Enzo Kevin Oliver Carvalho</t>
  </si>
  <si>
    <t>Presidente Dutra</t>
  </si>
  <si>
    <t>Catarina Cristiane Heloisa Oliveira</t>
  </si>
  <si>
    <t>Guilherme Filipe da Rocha</t>
  </si>
  <si>
    <t>09/01/1987</t>
  </si>
  <si>
    <t>Josefa Laura Sales</t>
  </si>
  <si>
    <t>João Francisco Moreira</t>
  </si>
  <si>
    <t>Renato Oliver Martin Fogaça</t>
  </si>
  <si>
    <t>Julio Iago Isaac Fernandes</t>
  </si>
  <si>
    <t>Vera Liz Teixeira</t>
  </si>
  <si>
    <t>Nicole Andreia Mariah Cavalcanti</t>
  </si>
  <si>
    <t>Débora Pietra Souza</t>
  </si>
  <si>
    <t>Itá</t>
  </si>
  <si>
    <t>Daiane Sophia Barros</t>
  </si>
  <si>
    <t>02/01/1983</t>
  </si>
  <si>
    <t>Simone Rebeca Francisca Silva</t>
  </si>
  <si>
    <t>Igor Leandro Danilo Assunção</t>
  </si>
  <si>
    <t>10/01/1987</t>
  </si>
  <si>
    <t>Raul Vicente Vicente Almada</t>
  </si>
  <si>
    <t>Sarah Sandra Martins</t>
  </si>
  <si>
    <t>Marlene Luzia Carvalho</t>
  </si>
  <si>
    <t>Luiz Calebe Tomás da Cruz</t>
  </si>
  <si>
    <t>09/01/1952</t>
  </si>
  <si>
    <t>Erick César Nicolas Caldeira</t>
  </si>
  <si>
    <t>Patrícia Nicole Helena Farias</t>
  </si>
  <si>
    <t>13/01/1999</t>
  </si>
  <si>
    <t>João Kaique Jorge Melo</t>
  </si>
  <si>
    <t>18/01/1949</t>
  </si>
  <si>
    <t>Feira da Mata</t>
  </si>
  <si>
    <t>Benjamin Caio Figueiredo</t>
  </si>
  <si>
    <t>15/01/1979</t>
  </si>
  <si>
    <t>Thales Francisco Pereira</t>
  </si>
  <si>
    <t>16/01/1976</t>
  </si>
  <si>
    <t>Daniel Leonardo Nogueira</t>
  </si>
  <si>
    <t>02/01/1960</t>
  </si>
  <si>
    <t>Rebeca Laura Rebeca Jesus</t>
  </si>
  <si>
    <t>02/01/2002</t>
  </si>
  <si>
    <t>Malu Juliana Stefany da Mota</t>
  </si>
  <si>
    <t>Cláudia Silvana Stella Novaes</t>
  </si>
  <si>
    <t>Cláudia Emanuelly Nunes</t>
  </si>
  <si>
    <t>16/01/1961</t>
  </si>
  <si>
    <t>Elisa Elisa Tereza da Mata</t>
  </si>
  <si>
    <t>06/01/1979</t>
  </si>
  <si>
    <t>Calebe Murilo Araújo</t>
  </si>
  <si>
    <t>Eloá Amanda Ana Costa</t>
  </si>
  <si>
    <t>Daiane Benedita Elza Nascimento</t>
  </si>
  <si>
    <t>08/01/2007</t>
  </si>
  <si>
    <t>Benedito Giovanni Peixoto</t>
  </si>
  <si>
    <t>Carlos Eduardo Noah Baptista</t>
  </si>
  <si>
    <t>código</t>
  </si>
  <si>
    <t>idade</t>
  </si>
  <si>
    <t>município</t>
  </si>
  <si>
    <t>imc</t>
  </si>
  <si>
    <t>classificação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</si>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</sst>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0" fontId="0" fillId="0" borderId="0" xfId="1" applyNumberFormat="1" applyFont="1"/>
    <xf numFmtId="10" fontId="0" fillId="0" borderId="0" xfId="0" applyNumberFormat="1"/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5"/>
  <sheetViews>
    <sheetView tabSelected="1" zoomScale="70" zoomScaleNormal="70" workbookViewId="0">
      <selection activeCell="O2" activeCellId="1" sqref="O1:Q1 O1:Q1048576"/>
    </sheetView>
  </sheetViews>
  <sheetFormatPr defaultRowHeight="15" x14ac:dyDescent="0.25"/>
  <cols>
    <col min="2" max="2" width="44" bestFit="1" customWidth="1"/>
    <col min="3" max="4" width="13" style="2" customWidth="1"/>
    <col min="5" max="5" width="11.5703125" customWidth="1"/>
    <col min="6" max="6" width="27.28515625" bestFit="1" customWidth="1"/>
    <col min="7" max="7" width="8.140625" bestFit="1" customWidth="1"/>
    <col min="8" max="8" width="31.42578125" bestFit="1" customWidth="1"/>
    <col min="9" max="10" width="9.140625" style="1"/>
    <col min="11" max="11" width="11" style="1" bestFit="1" customWidth="1"/>
    <col min="12" max="12" width="24" style="1" bestFit="1" customWidth="1"/>
    <col min="13" max="13" width="14.7109375" bestFit="1" customWidth="1"/>
    <col min="14" max="14" width="2.7109375" customWidth="1"/>
    <col min="15" max="17" width="9.140625" style="2"/>
  </cols>
  <sheetData>
    <row r="1" spans="1:17" x14ac:dyDescent="0.25">
      <c r="A1" t="s">
        <v>4191</v>
      </c>
      <c r="B1" t="s">
        <v>0</v>
      </c>
      <c r="C1" s="2" t="s">
        <v>1</v>
      </c>
      <c r="D1" s="2" t="s">
        <v>4192</v>
      </c>
      <c r="E1" t="s">
        <v>2</v>
      </c>
      <c r="F1" t="s">
        <v>3</v>
      </c>
      <c r="G1" t="s">
        <v>4</v>
      </c>
      <c r="H1" t="s">
        <v>4193</v>
      </c>
      <c r="I1" s="1" t="s">
        <v>5</v>
      </c>
      <c r="J1" s="1" t="s">
        <v>6</v>
      </c>
      <c r="K1" s="1" t="s">
        <v>4194</v>
      </c>
      <c r="L1" s="1" t="s">
        <v>4195</v>
      </c>
      <c r="M1" t="s">
        <v>7</v>
      </c>
      <c r="O1" s="12"/>
      <c r="P1" s="12"/>
      <c r="Q1" s="12"/>
    </row>
    <row r="2" spans="1:17" x14ac:dyDescent="0.25">
      <c r="A2">
        <v>1</v>
      </c>
      <c r="B2" t="s">
        <v>2901</v>
      </c>
      <c r="C2" s="2" t="s">
        <v>2902</v>
      </c>
      <c r="D2" s="2">
        <f ca="1">YEAR(TODAY())-YEAR(C2)</f>
        <v>72</v>
      </c>
      <c r="E2" t="s">
        <v>23</v>
      </c>
      <c r="F2" t="s">
        <v>1707</v>
      </c>
      <c r="G2" t="s">
        <v>186</v>
      </c>
      <c r="H2" t="str">
        <f>CONCATENATE(F2," - ",G2)</f>
        <v>Uberlândia - MG</v>
      </c>
      <c r="I2" s="1">
        <v>1.72</v>
      </c>
      <c r="J2" s="3">
        <v>99</v>
      </c>
      <c r="K2" s="4">
        <f t="shared" ref="K2:K66" si="0">J2/(I2*I2)</f>
        <v>33.464034613304491</v>
      </c>
      <c r="L2" s="1" t="str">
        <f>IF(K2&gt;=40,"Obesidade grau III - mórbida",
IF(K2&gt;=35,"Obesidade grau II - severa",
IF(K2&gt;=30,"Obesidade grau I",
IF(K2&gt;=25,"Levemente acima do peso",
IF(K2&gt;=18.6,"Peso ideal - parabéns",
IF(K2&gt;=17,"Abaixo do peso",
"Muito abaixo do peso"))))))</f>
        <v>Obesidade grau I</v>
      </c>
      <c r="M2" t="s">
        <v>14</v>
      </c>
      <c r="Q2" s="10"/>
    </row>
    <row r="3" spans="1:17" x14ac:dyDescent="0.25">
      <c r="A3">
        <v>2</v>
      </c>
      <c r="B3" t="s">
        <v>3640</v>
      </c>
      <c r="C3" s="2" t="s">
        <v>3641</v>
      </c>
      <c r="D3" s="2">
        <f t="shared" ref="D3:D66" ca="1" si="1">YEAR(TODAY())-YEAR(C3)</f>
        <v>30</v>
      </c>
      <c r="E3" t="s">
        <v>23</v>
      </c>
      <c r="F3" t="s">
        <v>3642</v>
      </c>
      <c r="G3" t="s">
        <v>25</v>
      </c>
      <c r="H3" t="str">
        <f t="shared" ref="H3:H66" si="2">CONCATENATE(F3," - ",G3)</f>
        <v>Açu - RN</v>
      </c>
      <c r="I3" s="1" t="s">
        <v>302</v>
      </c>
      <c r="J3" s="3">
        <v>65</v>
      </c>
      <c r="K3" s="4">
        <f t="shared" si="0"/>
        <v>28.507521599929827</v>
      </c>
      <c r="L3" s="1" t="str">
        <f t="shared" ref="L3:L66" si="3">IF(K3&gt;=40,"Obesidade grau III - mórbida",
IF(K3&gt;=35,"Obesidade grau II - severa",
IF(K3&gt;=30,"Obesidade grau I",
IF(K3&gt;=25,"Levemente acima do peso",
IF(K3&gt;=18.6,"Peso ideal - parabéns",
IF(K3&gt;=17,"Abaixo do peso",
"Muito abaixo do peso"))))))</f>
        <v>Levemente acima do peso</v>
      </c>
      <c r="M3" t="s">
        <v>26</v>
      </c>
      <c r="Q3" s="10"/>
    </row>
    <row r="4" spans="1:17" x14ac:dyDescent="0.25">
      <c r="A4">
        <v>3</v>
      </c>
      <c r="B4" t="s">
        <v>3774</v>
      </c>
      <c r="C4" s="2" t="s">
        <v>3123</v>
      </c>
      <c r="D4" s="2">
        <f t="shared" ca="1" si="1"/>
        <v>70</v>
      </c>
      <c r="E4" t="s">
        <v>23</v>
      </c>
      <c r="F4" t="s">
        <v>236</v>
      </c>
      <c r="G4" t="s">
        <v>237</v>
      </c>
      <c r="H4" t="str">
        <f t="shared" si="2"/>
        <v>Teresina - PI</v>
      </c>
      <c r="I4" s="1" t="s">
        <v>104</v>
      </c>
      <c r="J4" s="3">
        <v>75</v>
      </c>
      <c r="K4" s="4">
        <f t="shared" si="0"/>
        <v>25.95155709342561</v>
      </c>
      <c r="L4" s="1" t="str">
        <f t="shared" si="3"/>
        <v>Levemente acima do peso</v>
      </c>
      <c r="M4" t="s">
        <v>47</v>
      </c>
      <c r="Q4" s="10"/>
    </row>
    <row r="5" spans="1:17" x14ac:dyDescent="0.25">
      <c r="A5">
        <v>4</v>
      </c>
      <c r="B5" t="s">
        <v>3774</v>
      </c>
      <c r="C5" s="2" t="s">
        <v>3123</v>
      </c>
      <c r="D5" s="2">
        <f t="shared" ca="1" si="1"/>
        <v>70</v>
      </c>
      <c r="E5" t="s">
        <v>23</v>
      </c>
      <c r="F5" t="s">
        <v>236</v>
      </c>
      <c r="G5" t="s">
        <v>237</v>
      </c>
      <c r="H5" t="str">
        <f t="shared" si="2"/>
        <v>Teresina - PI</v>
      </c>
      <c r="I5" s="1" t="s">
        <v>104</v>
      </c>
      <c r="J5" s="3">
        <v>75</v>
      </c>
      <c r="K5" s="4">
        <f t="shared" si="0"/>
        <v>25.95155709342561</v>
      </c>
      <c r="L5" s="1" t="str">
        <f t="shared" si="3"/>
        <v>Levemente acima do peso</v>
      </c>
      <c r="M5" t="s">
        <v>47</v>
      </c>
      <c r="Q5" s="10"/>
    </row>
    <row r="6" spans="1:17" x14ac:dyDescent="0.25">
      <c r="A6">
        <v>5</v>
      </c>
      <c r="B6" t="s">
        <v>806</v>
      </c>
      <c r="C6" s="2" t="s">
        <v>807</v>
      </c>
      <c r="D6" s="2">
        <f t="shared" ca="1" si="1"/>
        <v>78</v>
      </c>
      <c r="E6" t="s">
        <v>23</v>
      </c>
      <c r="F6" t="s">
        <v>24</v>
      </c>
      <c r="G6" t="s">
        <v>25</v>
      </c>
      <c r="H6" t="str">
        <f t="shared" si="2"/>
        <v>Natal - RN</v>
      </c>
      <c r="I6" s="1" t="s">
        <v>286</v>
      </c>
      <c r="J6" s="3">
        <v>74</v>
      </c>
      <c r="K6" s="4">
        <f t="shared" si="0"/>
        <v>27.180899908172638</v>
      </c>
      <c r="L6" s="1" t="str">
        <f t="shared" si="3"/>
        <v>Levemente acima do peso</v>
      </c>
      <c r="M6" t="s">
        <v>20</v>
      </c>
      <c r="Q6" s="10"/>
    </row>
    <row r="7" spans="1:17" x14ac:dyDescent="0.25">
      <c r="A7">
        <v>6</v>
      </c>
      <c r="B7" t="s">
        <v>1622</v>
      </c>
      <c r="C7" s="2" t="s">
        <v>1623</v>
      </c>
      <c r="D7" s="2">
        <f t="shared" ca="1" si="1"/>
        <v>50</v>
      </c>
      <c r="E7" t="s">
        <v>23</v>
      </c>
      <c r="F7" t="s">
        <v>69</v>
      </c>
      <c r="G7" t="s">
        <v>70</v>
      </c>
      <c r="H7" t="str">
        <f t="shared" si="2"/>
        <v>Aracaju - SE</v>
      </c>
      <c r="I7" s="1" t="s">
        <v>205</v>
      </c>
      <c r="J7" s="3">
        <v>48</v>
      </c>
      <c r="K7" s="4">
        <f t="shared" si="0"/>
        <v>20.504933999743688</v>
      </c>
      <c r="L7" s="1" t="str">
        <f t="shared" si="3"/>
        <v>Peso ideal - parabéns</v>
      </c>
      <c r="M7" t="s">
        <v>47</v>
      </c>
      <c r="Q7" s="10"/>
    </row>
    <row r="8" spans="1:17" x14ac:dyDescent="0.25">
      <c r="A8">
        <v>7</v>
      </c>
      <c r="B8" t="s">
        <v>2507</v>
      </c>
      <c r="C8" s="2" t="s">
        <v>2508</v>
      </c>
      <c r="D8" s="2">
        <f t="shared" ca="1" si="1"/>
        <v>49</v>
      </c>
      <c r="E8" t="s">
        <v>23</v>
      </c>
      <c r="F8" t="s">
        <v>158</v>
      </c>
      <c r="G8" t="s">
        <v>159</v>
      </c>
      <c r="H8" t="str">
        <f t="shared" si="2"/>
        <v>Brasília - DF</v>
      </c>
      <c r="I8" s="1" t="s">
        <v>19</v>
      </c>
      <c r="J8" s="3">
        <v>68</v>
      </c>
      <c r="K8" s="4">
        <f t="shared" si="0"/>
        <v>21.705129432793896</v>
      </c>
      <c r="L8" s="1" t="str">
        <f t="shared" si="3"/>
        <v>Peso ideal - parabéns</v>
      </c>
      <c r="M8" t="s">
        <v>83</v>
      </c>
      <c r="Q8" s="10"/>
    </row>
    <row r="9" spans="1:17" x14ac:dyDescent="0.25">
      <c r="A9">
        <v>8</v>
      </c>
      <c r="B9" t="s">
        <v>1429</v>
      </c>
      <c r="C9" s="2" t="s">
        <v>1430</v>
      </c>
      <c r="D9" s="2">
        <f t="shared" ca="1" si="1"/>
        <v>63</v>
      </c>
      <c r="E9" t="s">
        <v>23</v>
      </c>
      <c r="F9" t="s">
        <v>204</v>
      </c>
      <c r="G9" t="s">
        <v>112</v>
      </c>
      <c r="H9" t="str">
        <f>CONCATENATE(F9," - ",G9)</f>
        <v>Belém - PA</v>
      </c>
      <c r="I9" s="1" t="s">
        <v>155</v>
      </c>
      <c r="J9" s="3">
        <v>52</v>
      </c>
      <c r="K9" s="4">
        <f t="shared" si="0"/>
        <v>15.698587127158554</v>
      </c>
      <c r="L9" s="1" t="str">
        <f t="shared" si="3"/>
        <v>Muito abaixo do peso</v>
      </c>
      <c r="M9" t="s">
        <v>14</v>
      </c>
      <c r="Q9" s="10"/>
    </row>
    <row r="10" spans="1:17" x14ac:dyDescent="0.25">
      <c r="A10">
        <v>9</v>
      </c>
      <c r="B10" t="s">
        <v>3036</v>
      </c>
      <c r="C10" s="2" t="s">
        <v>3037</v>
      </c>
      <c r="D10" s="2">
        <f t="shared" ca="1" si="1"/>
        <v>30</v>
      </c>
      <c r="E10" t="s">
        <v>23</v>
      </c>
      <c r="F10" t="s">
        <v>2295</v>
      </c>
      <c r="G10" t="s">
        <v>175</v>
      </c>
      <c r="H10" t="str">
        <f t="shared" si="2"/>
        <v>Paulista - PE</v>
      </c>
      <c r="I10" s="1" t="s">
        <v>86</v>
      </c>
      <c r="J10" s="3">
        <v>86</v>
      </c>
      <c r="K10" s="4">
        <f t="shared" si="0"/>
        <v>26.25072494734593</v>
      </c>
      <c r="L10" s="1" t="str">
        <f t="shared" si="3"/>
        <v>Levemente acima do peso</v>
      </c>
      <c r="M10" t="s">
        <v>76</v>
      </c>
      <c r="Q10" s="11"/>
    </row>
    <row r="11" spans="1:17" x14ac:dyDescent="0.25">
      <c r="A11">
        <v>10</v>
      </c>
      <c r="B11" t="s">
        <v>1973</v>
      </c>
      <c r="C11" s="2" t="s">
        <v>1974</v>
      </c>
      <c r="D11" s="2">
        <f t="shared" ca="1" si="1"/>
        <v>72</v>
      </c>
      <c r="E11" t="s">
        <v>23</v>
      </c>
      <c r="F11" t="s">
        <v>1975</v>
      </c>
      <c r="G11" t="s">
        <v>103</v>
      </c>
      <c r="H11" t="str">
        <f t="shared" si="2"/>
        <v>Lorena - SP</v>
      </c>
      <c r="I11" s="1" t="s">
        <v>179</v>
      </c>
      <c r="J11" s="3">
        <v>50</v>
      </c>
      <c r="K11" s="4">
        <f t="shared" si="0"/>
        <v>16.514731140177037</v>
      </c>
      <c r="L11" s="1" t="str">
        <f t="shared" si="3"/>
        <v>Muito abaixo do peso</v>
      </c>
      <c r="M11" t="s">
        <v>76</v>
      </c>
    </row>
    <row r="12" spans="1:17" x14ac:dyDescent="0.25">
      <c r="A12">
        <v>11</v>
      </c>
      <c r="B12" t="s">
        <v>1971</v>
      </c>
      <c r="C12" s="2" t="s">
        <v>1972</v>
      </c>
      <c r="D12" s="2">
        <f t="shared" ca="1" si="1"/>
        <v>44</v>
      </c>
      <c r="E12" t="s">
        <v>23</v>
      </c>
      <c r="F12" t="s">
        <v>169</v>
      </c>
      <c r="G12" t="s">
        <v>170</v>
      </c>
      <c r="H12" t="str">
        <f t="shared" si="2"/>
        <v>Maceió - AL</v>
      </c>
      <c r="I12" s="1" t="s">
        <v>247</v>
      </c>
      <c r="J12" s="3">
        <v>58</v>
      </c>
      <c r="K12" s="4">
        <f t="shared" si="0"/>
        <v>25.777777777777779</v>
      </c>
      <c r="L12" s="1" t="str">
        <f t="shared" si="3"/>
        <v>Levemente acima do peso</v>
      </c>
      <c r="M12" t="s">
        <v>95</v>
      </c>
    </row>
    <row r="13" spans="1:17" x14ac:dyDescent="0.25">
      <c r="A13">
        <v>12</v>
      </c>
      <c r="B13" t="s">
        <v>4048</v>
      </c>
      <c r="C13" s="2" t="s">
        <v>4049</v>
      </c>
      <c r="D13" s="2">
        <f t="shared" ca="1" si="1"/>
        <v>64</v>
      </c>
      <c r="E13" t="s">
        <v>23</v>
      </c>
      <c r="F13" t="s">
        <v>733</v>
      </c>
      <c r="G13" t="s">
        <v>310</v>
      </c>
      <c r="H13" t="str">
        <f t="shared" si="2"/>
        <v>Porto Alegre - RS</v>
      </c>
      <c r="I13" s="1" t="s">
        <v>13</v>
      </c>
      <c r="J13" s="3">
        <v>78</v>
      </c>
      <c r="K13" s="4">
        <f t="shared" si="0"/>
        <v>26.674874320303687</v>
      </c>
      <c r="L13" s="1" t="str">
        <f t="shared" si="3"/>
        <v>Levemente acima do peso</v>
      </c>
      <c r="M13" t="s">
        <v>14</v>
      </c>
    </row>
    <row r="14" spans="1:17" x14ac:dyDescent="0.25">
      <c r="A14">
        <v>13</v>
      </c>
      <c r="B14" t="s">
        <v>3883</v>
      </c>
      <c r="C14" s="2" t="s">
        <v>3357</v>
      </c>
      <c r="D14" s="2">
        <f t="shared" ca="1" si="1"/>
        <v>40</v>
      </c>
      <c r="E14" t="s">
        <v>23</v>
      </c>
      <c r="F14" t="s">
        <v>446</v>
      </c>
      <c r="G14" t="s">
        <v>170</v>
      </c>
      <c r="H14" t="str">
        <f t="shared" si="2"/>
        <v>Arapiraca - AL</v>
      </c>
      <c r="I14" s="1" t="s">
        <v>416</v>
      </c>
      <c r="J14" s="3">
        <v>73</v>
      </c>
      <c r="K14" s="4">
        <f t="shared" si="0"/>
        <v>28.162493730951734</v>
      </c>
      <c r="L14" s="1" t="str">
        <f t="shared" si="3"/>
        <v>Levemente acima do peso</v>
      </c>
      <c r="M14" t="s">
        <v>26</v>
      </c>
    </row>
    <row r="15" spans="1:17" x14ac:dyDescent="0.25">
      <c r="A15">
        <v>14</v>
      </c>
      <c r="B15" t="s">
        <v>688</v>
      </c>
      <c r="C15" s="2" t="s">
        <v>689</v>
      </c>
      <c r="D15" s="2">
        <f t="shared" ca="1" si="1"/>
        <v>22</v>
      </c>
      <c r="E15" t="s">
        <v>23</v>
      </c>
      <c r="F15" t="s">
        <v>111</v>
      </c>
      <c r="G15" t="s">
        <v>112</v>
      </c>
      <c r="H15" t="str">
        <f t="shared" si="2"/>
        <v>Tucuruí - PA</v>
      </c>
      <c r="I15" s="1" t="s">
        <v>94</v>
      </c>
      <c r="J15" s="3">
        <v>86</v>
      </c>
      <c r="K15" s="4">
        <f t="shared" si="0"/>
        <v>28.734672057202044</v>
      </c>
      <c r="L15" s="1" t="str">
        <f t="shared" si="3"/>
        <v>Levemente acima do peso</v>
      </c>
      <c r="M15" t="s">
        <v>32</v>
      </c>
    </row>
    <row r="16" spans="1:17" x14ac:dyDescent="0.25">
      <c r="A16">
        <v>15</v>
      </c>
      <c r="B16" t="s">
        <v>975</v>
      </c>
      <c r="C16" s="2" t="s">
        <v>976</v>
      </c>
      <c r="D16" s="2">
        <f t="shared" ca="1" si="1"/>
        <v>31</v>
      </c>
      <c r="E16" t="s">
        <v>23</v>
      </c>
      <c r="F16" t="s">
        <v>736</v>
      </c>
      <c r="G16" t="s">
        <v>190</v>
      </c>
      <c r="H16" t="str">
        <f t="shared" si="2"/>
        <v>Sinop - MT</v>
      </c>
      <c r="I16" s="1" t="s">
        <v>179</v>
      </c>
      <c r="J16" s="3">
        <v>52</v>
      </c>
      <c r="K16" s="4">
        <f t="shared" si="0"/>
        <v>17.175320385784119</v>
      </c>
      <c r="L16" s="1" t="str">
        <f t="shared" si="3"/>
        <v>Abaixo do peso</v>
      </c>
      <c r="M16" t="s">
        <v>26</v>
      </c>
    </row>
    <row r="17" spans="1:13" x14ac:dyDescent="0.25">
      <c r="A17">
        <v>16</v>
      </c>
      <c r="B17" t="s">
        <v>3405</v>
      </c>
      <c r="C17" s="2" t="s">
        <v>3406</v>
      </c>
      <c r="D17" s="2">
        <f t="shared" ca="1" si="1"/>
        <v>67</v>
      </c>
      <c r="E17" t="s">
        <v>23</v>
      </c>
      <c r="F17" t="s">
        <v>169</v>
      </c>
      <c r="G17" t="s">
        <v>170</v>
      </c>
      <c r="H17" t="str">
        <f t="shared" si="2"/>
        <v>Maceió - AL</v>
      </c>
      <c r="I17" s="1" t="s">
        <v>209</v>
      </c>
      <c r="J17" s="3">
        <v>89</v>
      </c>
      <c r="K17" s="4">
        <f t="shared" si="0"/>
        <v>37.527407657277791</v>
      </c>
      <c r="L17" s="1" t="str">
        <f t="shared" si="3"/>
        <v>Obesidade grau II - severa</v>
      </c>
      <c r="M17" t="s">
        <v>32</v>
      </c>
    </row>
    <row r="18" spans="1:13" x14ac:dyDescent="0.25">
      <c r="A18">
        <v>17</v>
      </c>
      <c r="B18" t="s">
        <v>3233</v>
      </c>
      <c r="C18" s="2" t="s">
        <v>3234</v>
      </c>
      <c r="D18" s="2">
        <f t="shared" ca="1" si="1"/>
        <v>26</v>
      </c>
      <c r="E18" t="s">
        <v>23</v>
      </c>
      <c r="F18" t="s">
        <v>1218</v>
      </c>
      <c r="G18" t="s">
        <v>46</v>
      </c>
      <c r="H18" t="str">
        <f t="shared" si="2"/>
        <v>Planaltina - GO</v>
      </c>
      <c r="I18" s="1" t="s">
        <v>13</v>
      </c>
      <c r="J18" s="3">
        <v>67</v>
      </c>
      <c r="K18" s="4">
        <f t="shared" si="0"/>
        <v>22.913033070004449</v>
      </c>
      <c r="L18" s="1" t="str">
        <f t="shared" si="3"/>
        <v>Peso ideal - parabéns</v>
      </c>
      <c r="M18" t="s">
        <v>32</v>
      </c>
    </row>
    <row r="19" spans="1:13" x14ac:dyDescent="0.25">
      <c r="A19">
        <v>18</v>
      </c>
      <c r="B19" t="s">
        <v>2619</v>
      </c>
      <c r="C19" s="2" t="s">
        <v>2620</v>
      </c>
      <c r="D19" s="2">
        <f t="shared" ca="1" si="1"/>
        <v>70</v>
      </c>
      <c r="E19" t="s">
        <v>23</v>
      </c>
      <c r="F19" t="s">
        <v>2621</v>
      </c>
      <c r="G19" t="s">
        <v>112</v>
      </c>
      <c r="H19" t="str">
        <f t="shared" si="2"/>
        <v>Altamira - PA</v>
      </c>
      <c r="I19" s="1" t="s">
        <v>484</v>
      </c>
      <c r="J19" s="3">
        <v>87</v>
      </c>
      <c r="K19" s="4">
        <f t="shared" si="0"/>
        <v>36.21227887617065</v>
      </c>
      <c r="L19" s="1" t="str">
        <f t="shared" si="3"/>
        <v>Obesidade grau II - severa</v>
      </c>
      <c r="M19" t="s">
        <v>83</v>
      </c>
    </row>
    <row r="20" spans="1:13" x14ac:dyDescent="0.25">
      <c r="A20">
        <v>19</v>
      </c>
      <c r="B20" t="s">
        <v>52</v>
      </c>
      <c r="C20" s="2" t="s">
        <v>53</v>
      </c>
      <c r="D20" s="2">
        <f t="shared" ca="1" si="1"/>
        <v>50</v>
      </c>
      <c r="E20" t="s">
        <v>23</v>
      </c>
      <c r="F20" t="s">
        <v>54</v>
      </c>
      <c r="G20" t="s">
        <v>55</v>
      </c>
      <c r="H20" t="str">
        <f t="shared" si="2"/>
        <v>Ponta Grossa - PR</v>
      </c>
      <c r="I20" s="1" t="s">
        <v>56</v>
      </c>
      <c r="J20" s="3">
        <v>73</v>
      </c>
      <c r="K20" s="4">
        <f t="shared" si="0"/>
        <v>25.559329155141629</v>
      </c>
      <c r="L20" s="1" t="str">
        <f t="shared" si="3"/>
        <v>Levemente acima do peso</v>
      </c>
      <c r="M20" t="s">
        <v>26</v>
      </c>
    </row>
    <row r="21" spans="1:13" x14ac:dyDescent="0.25">
      <c r="A21">
        <v>20</v>
      </c>
      <c r="B21" t="s">
        <v>1610</v>
      </c>
      <c r="C21" s="2" t="s">
        <v>1611</v>
      </c>
      <c r="D21" s="2">
        <f t="shared" ca="1" si="1"/>
        <v>22</v>
      </c>
      <c r="E21" t="s">
        <v>23</v>
      </c>
      <c r="F21" t="s">
        <v>1612</v>
      </c>
      <c r="G21" t="s">
        <v>175</v>
      </c>
      <c r="H21" t="str">
        <f t="shared" si="2"/>
        <v>Petrolina - PE</v>
      </c>
      <c r="I21" s="1" t="s">
        <v>113</v>
      </c>
      <c r="J21" s="3">
        <v>77</v>
      </c>
      <c r="K21" s="4">
        <f t="shared" si="0"/>
        <v>28.981143437841094</v>
      </c>
      <c r="L21" s="1" t="str">
        <f t="shared" si="3"/>
        <v>Levemente acima do peso</v>
      </c>
      <c r="M21" t="s">
        <v>20</v>
      </c>
    </row>
    <row r="22" spans="1:13" x14ac:dyDescent="0.25">
      <c r="A22">
        <v>21</v>
      </c>
      <c r="B22" t="s">
        <v>1705</v>
      </c>
      <c r="C22" s="2" t="s">
        <v>1706</v>
      </c>
      <c r="D22" s="2">
        <f t="shared" ca="1" si="1"/>
        <v>49</v>
      </c>
      <c r="E22" t="s">
        <v>23</v>
      </c>
      <c r="F22" t="s">
        <v>1707</v>
      </c>
      <c r="G22" t="s">
        <v>186</v>
      </c>
      <c r="H22" t="str">
        <f t="shared" si="2"/>
        <v>Uberlândia - MG</v>
      </c>
      <c r="I22" s="1" t="s">
        <v>302</v>
      </c>
      <c r="J22" s="3">
        <v>52</v>
      </c>
      <c r="K22" s="4">
        <f t="shared" si="0"/>
        <v>22.806017279943863</v>
      </c>
      <c r="L22" s="1" t="str">
        <f t="shared" si="3"/>
        <v>Peso ideal - parabéns</v>
      </c>
      <c r="M22" t="s">
        <v>95</v>
      </c>
    </row>
    <row r="23" spans="1:13" x14ac:dyDescent="0.25">
      <c r="A23">
        <v>22</v>
      </c>
      <c r="B23" t="s">
        <v>3146</v>
      </c>
      <c r="C23" s="2" t="s">
        <v>2841</v>
      </c>
      <c r="D23" s="2">
        <f t="shared" ca="1" si="1"/>
        <v>38</v>
      </c>
      <c r="E23" t="s">
        <v>23</v>
      </c>
      <c r="F23" t="s">
        <v>158</v>
      </c>
      <c r="G23" t="s">
        <v>159</v>
      </c>
      <c r="H23" t="str">
        <f t="shared" si="2"/>
        <v>Brasília - DF</v>
      </c>
      <c r="I23" s="1" t="s">
        <v>416</v>
      </c>
      <c r="J23" s="3">
        <v>63</v>
      </c>
      <c r="K23" s="4">
        <f t="shared" si="0"/>
        <v>24.304617877396701</v>
      </c>
      <c r="L23" s="1" t="str">
        <f t="shared" si="3"/>
        <v>Peso ideal - parabéns</v>
      </c>
      <c r="M23" t="s">
        <v>95</v>
      </c>
    </row>
    <row r="24" spans="1:13" x14ac:dyDescent="0.25">
      <c r="A24">
        <v>23</v>
      </c>
      <c r="B24" t="s">
        <v>988</v>
      </c>
      <c r="C24" s="2" t="s">
        <v>989</v>
      </c>
      <c r="D24" s="2">
        <f t="shared" ca="1" si="1"/>
        <v>57</v>
      </c>
      <c r="E24" t="s">
        <v>23</v>
      </c>
      <c r="F24" t="s">
        <v>24</v>
      </c>
      <c r="G24" t="s">
        <v>25</v>
      </c>
      <c r="H24" t="str">
        <f t="shared" si="2"/>
        <v>Natal - RN</v>
      </c>
      <c r="I24" s="1" t="s">
        <v>179</v>
      </c>
      <c r="J24" s="3">
        <v>75</v>
      </c>
      <c r="K24" s="4">
        <f t="shared" si="0"/>
        <v>24.772096710265558</v>
      </c>
      <c r="L24" s="1" t="str">
        <f t="shared" si="3"/>
        <v>Peso ideal - parabéns</v>
      </c>
      <c r="M24" t="s">
        <v>95</v>
      </c>
    </row>
    <row r="25" spans="1:13" x14ac:dyDescent="0.25">
      <c r="A25">
        <v>24</v>
      </c>
      <c r="B25" t="s">
        <v>3715</v>
      </c>
      <c r="C25" s="2" t="s">
        <v>3386</v>
      </c>
      <c r="D25" s="2">
        <f t="shared" ca="1" si="1"/>
        <v>51</v>
      </c>
      <c r="E25" t="s">
        <v>23</v>
      </c>
      <c r="F25" t="s">
        <v>775</v>
      </c>
      <c r="G25" t="s">
        <v>51</v>
      </c>
      <c r="H25" t="str">
        <f t="shared" si="2"/>
        <v>Rio de Janeiro - RJ</v>
      </c>
      <c r="I25" s="1" t="s">
        <v>447</v>
      </c>
      <c r="J25" s="3">
        <v>90</v>
      </c>
      <c r="K25" s="4">
        <f t="shared" si="0"/>
        <v>29.387755102040817</v>
      </c>
      <c r="L25" s="1" t="str">
        <f t="shared" si="3"/>
        <v>Levemente acima do peso</v>
      </c>
      <c r="M25" t="s">
        <v>14</v>
      </c>
    </row>
    <row r="26" spans="1:13" x14ac:dyDescent="0.25">
      <c r="A26">
        <v>25</v>
      </c>
      <c r="B26" t="s">
        <v>3106</v>
      </c>
      <c r="C26" s="2" t="s">
        <v>3107</v>
      </c>
      <c r="D26" s="2">
        <f t="shared" ca="1" si="1"/>
        <v>57</v>
      </c>
      <c r="E26" t="s">
        <v>23</v>
      </c>
      <c r="F26" t="s">
        <v>3108</v>
      </c>
      <c r="G26" t="s">
        <v>186</v>
      </c>
      <c r="H26" t="str">
        <f t="shared" si="2"/>
        <v>São João Del Rei - MG</v>
      </c>
      <c r="I26" s="1" t="s">
        <v>13</v>
      </c>
      <c r="J26" s="3">
        <v>82</v>
      </c>
      <c r="K26" s="4">
        <f t="shared" si="0"/>
        <v>28.042816593139772</v>
      </c>
      <c r="L26" s="1" t="str">
        <f t="shared" si="3"/>
        <v>Levemente acima do peso</v>
      </c>
      <c r="M26" t="s">
        <v>47</v>
      </c>
    </row>
    <row r="27" spans="1:13" x14ac:dyDescent="0.25">
      <c r="A27">
        <v>26</v>
      </c>
      <c r="B27" t="s">
        <v>3272</v>
      </c>
      <c r="C27" s="2" t="s">
        <v>3273</v>
      </c>
      <c r="D27" s="2">
        <f t="shared" ca="1" si="1"/>
        <v>55</v>
      </c>
      <c r="E27" t="s">
        <v>23</v>
      </c>
      <c r="F27" t="s">
        <v>1055</v>
      </c>
      <c r="G27" t="s">
        <v>30</v>
      </c>
      <c r="H27" t="str">
        <f t="shared" si="2"/>
        <v>Ariquemes - RO</v>
      </c>
      <c r="I27" s="1" t="s">
        <v>400</v>
      </c>
      <c r="J27" s="3">
        <v>71</v>
      </c>
      <c r="K27" s="4">
        <f t="shared" si="0"/>
        <v>21.913580246913579</v>
      </c>
      <c r="L27" s="1" t="str">
        <f t="shared" si="3"/>
        <v>Peso ideal - parabéns</v>
      </c>
      <c r="M27" t="s">
        <v>14</v>
      </c>
    </row>
    <row r="28" spans="1:13" x14ac:dyDescent="0.25">
      <c r="A28">
        <v>27</v>
      </c>
      <c r="B28" t="s">
        <v>789</v>
      </c>
      <c r="C28" s="2" t="s">
        <v>790</v>
      </c>
      <c r="D28" s="2">
        <f t="shared" ca="1" si="1"/>
        <v>39</v>
      </c>
      <c r="E28" t="s">
        <v>23</v>
      </c>
      <c r="F28" t="s">
        <v>736</v>
      </c>
      <c r="G28" t="s">
        <v>190</v>
      </c>
      <c r="H28" t="str">
        <f t="shared" si="2"/>
        <v>Sinop - MT</v>
      </c>
      <c r="I28" s="1" t="s">
        <v>90</v>
      </c>
      <c r="J28" s="3">
        <v>60</v>
      </c>
      <c r="K28" s="4">
        <f t="shared" si="0"/>
        <v>20.281233098972418</v>
      </c>
      <c r="L28" s="1" t="str">
        <f t="shared" si="3"/>
        <v>Peso ideal - parabéns</v>
      </c>
      <c r="M28" t="s">
        <v>26</v>
      </c>
    </row>
    <row r="29" spans="1:13" x14ac:dyDescent="0.25">
      <c r="A29">
        <v>28</v>
      </c>
      <c r="B29" t="s">
        <v>270</v>
      </c>
      <c r="C29" s="2" t="s">
        <v>271</v>
      </c>
      <c r="D29" s="2">
        <f t="shared" ca="1" si="1"/>
        <v>58</v>
      </c>
      <c r="E29" t="s">
        <v>23</v>
      </c>
      <c r="F29" t="s">
        <v>272</v>
      </c>
      <c r="G29" t="s">
        <v>273</v>
      </c>
      <c r="H29" t="str">
        <f t="shared" si="2"/>
        <v>Vitória - ES</v>
      </c>
      <c r="I29" s="1" t="s">
        <v>113</v>
      </c>
      <c r="J29" s="3">
        <v>77</v>
      </c>
      <c r="K29" s="4">
        <f t="shared" si="0"/>
        <v>28.981143437841094</v>
      </c>
      <c r="L29" s="1" t="str">
        <f t="shared" si="3"/>
        <v>Levemente acima do peso</v>
      </c>
      <c r="M29" t="s">
        <v>14</v>
      </c>
    </row>
    <row r="30" spans="1:13" x14ac:dyDescent="0.25">
      <c r="A30">
        <v>29</v>
      </c>
      <c r="B30" t="s">
        <v>1910</v>
      </c>
      <c r="C30" s="2" t="s">
        <v>1911</v>
      </c>
      <c r="D30" s="2">
        <f t="shared" ca="1" si="1"/>
        <v>33</v>
      </c>
      <c r="E30" t="s">
        <v>23</v>
      </c>
      <c r="F30" t="s">
        <v>45</v>
      </c>
      <c r="G30" t="s">
        <v>46</v>
      </c>
      <c r="H30" t="str">
        <f t="shared" si="2"/>
        <v>Goiânia - GO</v>
      </c>
      <c r="I30" s="1" t="s">
        <v>386</v>
      </c>
      <c r="J30" s="3">
        <v>80</v>
      </c>
      <c r="K30" s="4">
        <f t="shared" si="0"/>
        <v>29.031789809841779</v>
      </c>
      <c r="L30" s="1" t="str">
        <f t="shared" si="3"/>
        <v>Levemente acima do peso</v>
      </c>
      <c r="M30" t="s">
        <v>20</v>
      </c>
    </row>
    <row r="31" spans="1:13" x14ac:dyDescent="0.25">
      <c r="A31">
        <v>30</v>
      </c>
      <c r="B31" t="s">
        <v>3780</v>
      </c>
      <c r="C31" s="2" t="s">
        <v>3781</v>
      </c>
      <c r="D31" s="2">
        <f t="shared" ca="1" si="1"/>
        <v>35</v>
      </c>
      <c r="E31" t="s">
        <v>23</v>
      </c>
      <c r="F31" t="s">
        <v>126</v>
      </c>
      <c r="G31" t="s">
        <v>127</v>
      </c>
      <c r="H31" t="str">
        <f t="shared" si="2"/>
        <v>Boa Vista - RR</v>
      </c>
      <c r="I31" s="1" t="s">
        <v>42</v>
      </c>
      <c r="J31" s="3">
        <v>61</v>
      </c>
      <c r="K31" s="4">
        <f t="shared" si="0"/>
        <v>19.038107424861895</v>
      </c>
      <c r="L31" s="1" t="str">
        <f t="shared" si="3"/>
        <v>Peso ideal - parabéns</v>
      </c>
      <c r="M31" t="s">
        <v>83</v>
      </c>
    </row>
    <row r="32" spans="1:13" x14ac:dyDescent="0.25">
      <c r="A32">
        <v>31</v>
      </c>
      <c r="B32" t="s">
        <v>3780</v>
      </c>
      <c r="C32" s="2" t="s">
        <v>3781</v>
      </c>
      <c r="D32" s="2">
        <f t="shared" ca="1" si="1"/>
        <v>35</v>
      </c>
      <c r="E32" t="s">
        <v>23</v>
      </c>
      <c r="F32" t="s">
        <v>126</v>
      </c>
      <c r="G32" t="s">
        <v>127</v>
      </c>
      <c r="H32" t="str">
        <f t="shared" si="2"/>
        <v>Boa Vista - RR</v>
      </c>
      <c r="I32" s="1" t="s">
        <v>42</v>
      </c>
      <c r="J32" s="3">
        <v>61</v>
      </c>
      <c r="K32" s="4">
        <f t="shared" si="0"/>
        <v>19.038107424861895</v>
      </c>
      <c r="L32" s="1" t="str">
        <f t="shared" si="3"/>
        <v>Peso ideal - parabéns</v>
      </c>
      <c r="M32" t="s">
        <v>83</v>
      </c>
    </row>
    <row r="33" spans="1:13" x14ac:dyDescent="0.25">
      <c r="A33">
        <v>32</v>
      </c>
      <c r="B33" t="s">
        <v>1658</v>
      </c>
      <c r="C33" s="2" t="s">
        <v>1659</v>
      </c>
      <c r="D33" s="2">
        <f t="shared" ca="1" si="1"/>
        <v>54</v>
      </c>
      <c r="E33" t="s">
        <v>10</v>
      </c>
      <c r="F33" t="s">
        <v>69</v>
      </c>
      <c r="G33" t="s">
        <v>70</v>
      </c>
      <c r="H33" t="str">
        <f t="shared" si="2"/>
        <v>Aracaju - SE</v>
      </c>
      <c r="I33" s="1" t="s">
        <v>113</v>
      </c>
      <c r="J33" s="3">
        <v>88</v>
      </c>
      <c r="K33" s="4">
        <f t="shared" si="0"/>
        <v>33.121306786104107</v>
      </c>
      <c r="L33" s="1" t="str">
        <f t="shared" si="3"/>
        <v>Obesidade grau I</v>
      </c>
      <c r="M33" t="s">
        <v>95</v>
      </c>
    </row>
    <row r="34" spans="1:13" x14ac:dyDescent="0.25">
      <c r="A34">
        <v>33</v>
      </c>
      <c r="B34" t="s">
        <v>33</v>
      </c>
      <c r="C34" s="2" t="s">
        <v>34</v>
      </c>
      <c r="D34" s="2">
        <f t="shared" ca="1" si="1"/>
        <v>79</v>
      </c>
      <c r="E34" t="s">
        <v>10</v>
      </c>
      <c r="F34" t="s">
        <v>35</v>
      </c>
      <c r="G34" t="s">
        <v>36</v>
      </c>
      <c r="H34" t="str">
        <f t="shared" si="2"/>
        <v>Timon - MA</v>
      </c>
      <c r="I34" s="1" t="s">
        <v>37</v>
      </c>
      <c r="J34" s="3">
        <v>68</v>
      </c>
      <c r="K34" s="4">
        <f t="shared" si="0"/>
        <v>17.521708881960372</v>
      </c>
      <c r="L34" s="1" t="str">
        <f t="shared" si="3"/>
        <v>Abaixo do peso</v>
      </c>
      <c r="M34" t="s">
        <v>14</v>
      </c>
    </row>
    <row r="35" spans="1:13" x14ac:dyDescent="0.25">
      <c r="A35">
        <v>34</v>
      </c>
      <c r="B35" t="s">
        <v>3668</v>
      </c>
      <c r="C35" s="2" t="s">
        <v>3148</v>
      </c>
      <c r="D35" s="2">
        <f t="shared" ca="1" si="1"/>
        <v>70</v>
      </c>
      <c r="E35" t="s">
        <v>10</v>
      </c>
      <c r="F35" t="s">
        <v>876</v>
      </c>
      <c r="G35" t="s">
        <v>310</v>
      </c>
      <c r="H35" t="str">
        <f t="shared" si="2"/>
        <v>Caxias do Sul - RS</v>
      </c>
      <c r="I35" s="1" t="s">
        <v>218</v>
      </c>
      <c r="J35" s="3">
        <v>72</v>
      </c>
      <c r="K35" s="4">
        <f t="shared" si="0"/>
        <v>19.329377969878387</v>
      </c>
      <c r="L35" s="1" t="str">
        <f t="shared" si="3"/>
        <v>Peso ideal - parabéns</v>
      </c>
      <c r="M35" t="s">
        <v>26</v>
      </c>
    </row>
    <row r="36" spans="1:13" x14ac:dyDescent="0.25">
      <c r="A36">
        <v>35</v>
      </c>
      <c r="B36" t="s">
        <v>2389</v>
      </c>
      <c r="C36" s="2" t="s">
        <v>2390</v>
      </c>
      <c r="D36" s="2">
        <f t="shared" ca="1" si="1"/>
        <v>52</v>
      </c>
      <c r="E36" t="s">
        <v>10</v>
      </c>
      <c r="F36" t="s">
        <v>876</v>
      </c>
      <c r="G36" t="s">
        <v>310</v>
      </c>
      <c r="H36" t="str">
        <f t="shared" si="2"/>
        <v>Caxias do Sul - RS</v>
      </c>
      <c r="I36" s="1" t="s">
        <v>71</v>
      </c>
      <c r="J36" s="3">
        <v>99</v>
      </c>
      <c r="K36" s="4">
        <f t="shared" si="0"/>
        <v>29.561945713517868</v>
      </c>
      <c r="L36" s="1" t="str">
        <f t="shared" si="3"/>
        <v>Levemente acima do peso</v>
      </c>
      <c r="M36" t="s">
        <v>83</v>
      </c>
    </row>
    <row r="37" spans="1:13" x14ac:dyDescent="0.25">
      <c r="A37">
        <v>36</v>
      </c>
      <c r="B37" t="s">
        <v>1619</v>
      </c>
      <c r="C37" s="2" t="s">
        <v>1620</v>
      </c>
      <c r="D37" s="2">
        <f t="shared" ca="1" si="1"/>
        <v>20</v>
      </c>
      <c r="E37" t="s">
        <v>10</v>
      </c>
      <c r="F37" t="s">
        <v>1621</v>
      </c>
      <c r="G37" t="s">
        <v>273</v>
      </c>
      <c r="H37" t="str">
        <f t="shared" si="2"/>
        <v>Guarapari - ES</v>
      </c>
      <c r="I37" s="1" t="s">
        <v>94</v>
      </c>
      <c r="J37" s="3">
        <v>103</v>
      </c>
      <c r="K37" s="4">
        <f t="shared" si="0"/>
        <v>34.414781649904775</v>
      </c>
      <c r="L37" s="1" t="str">
        <f t="shared" si="3"/>
        <v>Obesidade grau I</v>
      </c>
      <c r="M37" t="s">
        <v>83</v>
      </c>
    </row>
    <row r="38" spans="1:13" x14ac:dyDescent="0.25">
      <c r="A38">
        <v>37</v>
      </c>
      <c r="B38" t="s">
        <v>1817</v>
      </c>
      <c r="C38" s="2" t="s">
        <v>1818</v>
      </c>
      <c r="D38" s="2">
        <f t="shared" ca="1" si="1"/>
        <v>69</v>
      </c>
      <c r="E38" t="s">
        <v>10</v>
      </c>
      <c r="F38" t="s">
        <v>89</v>
      </c>
      <c r="G38" t="s">
        <v>12</v>
      </c>
      <c r="H38" t="str">
        <f t="shared" si="2"/>
        <v>Fortaleza - CE</v>
      </c>
      <c r="I38" s="1" t="s">
        <v>113</v>
      </c>
      <c r="J38" s="3">
        <v>69</v>
      </c>
      <c r="K38" s="4">
        <f t="shared" si="0"/>
        <v>25.970115548195267</v>
      </c>
      <c r="L38" s="1" t="str">
        <f t="shared" si="3"/>
        <v>Levemente acima do peso</v>
      </c>
      <c r="M38" t="s">
        <v>47</v>
      </c>
    </row>
    <row r="39" spans="1:13" x14ac:dyDescent="0.25">
      <c r="A39">
        <v>38</v>
      </c>
      <c r="B39" t="s">
        <v>1234</v>
      </c>
      <c r="C39" s="2" t="s">
        <v>1235</v>
      </c>
      <c r="D39" s="2">
        <f t="shared" ca="1" si="1"/>
        <v>24</v>
      </c>
      <c r="E39" t="s">
        <v>10</v>
      </c>
      <c r="F39" t="s">
        <v>236</v>
      </c>
      <c r="G39" t="s">
        <v>237</v>
      </c>
      <c r="H39" t="str">
        <f t="shared" si="2"/>
        <v>Teresina - PI</v>
      </c>
      <c r="I39" s="1" t="s">
        <v>94</v>
      </c>
      <c r="J39" s="3">
        <v>92</v>
      </c>
      <c r="K39" s="4">
        <f t="shared" si="0"/>
        <v>30.73941661933242</v>
      </c>
      <c r="L39" s="1" t="str">
        <f t="shared" si="3"/>
        <v>Obesidade grau I</v>
      </c>
      <c r="M39" t="s">
        <v>26</v>
      </c>
    </row>
    <row r="40" spans="1:13" x14ac:dyDescent="0.25">
      <c r="A40">
        <v>39</v>
      </c>
      <c r="B40" t="s">
        <v>274</v>
      </c>
      <c r="C40" s="2" t="s">
        <v>275</v>
      </c>
      <c r="D40" s="2">
        <f t="shared" ca="1" si="1"/>
        <v>75</v>
      </c>
      <c r="E40" t="s">
        <v>10</v>
      </c>
      <c r="F40" t="s">
        <v>45</v>
      </c>
      <c r="G40" t="s">
        <v>46</v>
      </c>
      <c r="H40" t="str">
        <f t="shared" si="2"/>
        <v>Goiânia - GO</v>
      </c>
      <c r="I40" s="1" t="s">
        <v>160</v>
      </c>
      <c r="J40" s="3">
        <v>81</v>
      </c>
      <c r="K40" s="4">
        <f t="shared" si="0"/>
        <v>23.92485822306238</v>
      </c>
      <c r="L40" s="1" t="str">
        <f t="shared" si="3"/>
        <v>Peso ideal - parabéns</v>
      </c>
      <c r="M40" t="s">
        <v>26</v>
      </c>
    </row>
    <row r="41" spans="1:13" x14ac:dyDescent="0.25">
      <c r="A41">
        <v>40</v>
      </c>
      <c r="B41" t="s">
        <v>1771</v>
      </c>
      <c r="C41" s="2" t="s">
        <v>1772</v>
      </c>
      <c r="D41" s="2">
        <f t="shared" ca="1" si="1"/>
        <v>33</v>
      </c>
      <c r="E41" t="s">
        <v>10</v>
      </c>
      <c r="F41" t="s">
        <v>1178</v>
      </c>
      <c r="G41" t="s">
        <v>46</v>
      </c>
      <c r="H41" t="str">
        <f t="shared" si="2"/>
        <v>Luziânia - GO</v>
      </c>
      <c r="I41" s="1" t="s">
        <v>694</v>
      </c>
      <c r="J41" s="3">
        <v>92</v>
      </c>
      <c r="K41" s="4">
        <f t="shared" si="0"/>
        <v>26.592669672794539</v>
      </c>
      <c r="L41" s="1" t="str">
        <f t="shared" si="3"/>
        <v>Levemente acima do peso</v>
      </c>
      <c r="M41" t="s">
        <v>32</v>
      </c>
    </row>
    <row r="42" spans="1:13" x14ac:dyDescent="0.25">
      <c r="A42">
        <v>41</v>
      </c>
      <c r="B42" t="s">
        <v>1464</v>
      </c>
      <c r="C42" s="2" t="s">
        <v>1465</v>
      </c>
      <c r="D42" s="2">
        <f t="shared" ca="1" si="1"/>
        <v>76</v>
      </c>
      <c r="E42" t="s">
        <v>23</v>
      </c>
      <c r="F42" t="s">
        <v>380</v>
      </c>
      <c r="G42" t="s">
        <v>112</v>
      </c>
      <c r="H42" t="str">
        <f t="shared" si="2"/>
        <v>Ananindeua - PA</v>
      </c>
      <c r="I42" s="1" t="s">
        <v>582</v>
      </c>
      <c r="J42" s="3">
        <v>59</v>
      </c>
      <c r="K42" s="4">
        <f t="shared" si="0"/>
        <v>24.243918474687703</v>
      </c>
      <c r="L42" s="1" t="str">
        <f t="shared" si="3"/>
        <v>Peso ideal - parabéns</v>
      </c>
      <c r="M42" t="s">
        <v>47</v>
      </c>
    </row>
    <row r="43" spans="1:13" x14ac:dyDescent="0.25">
      <c r="A43">
        <v>42</v>
      </c>
      <c r="B43" t="s">
        <v>3662</v>
      </c>
      <c r="C43" s="2" t="s">
        <v>3663</v>
      </c>
      <c r="D43" s="2">
        <f t="shared" ca="1" si="1"/>
        <v>67</v>
      </c>
      <c r="E43" t="s">
        <v>23</v>
      </c>
      <c r="F43" t="s">
        <v>69</v>
      </c>
      <c r="G43" t="s">
        <v>70</v>
      </c>
      <c r="H43" t="str">
        <f t="shared" si="2"/>
        <v>Aracaju - SE</v>
      </c>
      <c r="I43" s="1" t="s">
        <v>71</v>
      </c>
      <c r="J43" s="3">
        <v>65</v>
      </c>
      <c r="K43" s="4">
        <f t="shared" si="0"/>
        <v>19.409358296754156</v>
      </c>
      <c r="L43" s="1" t="str">
        <f t="shared" si="3"/>
        <v>Peso ideal - parabéns</v>
      </c>
      <c r="M43" t="s">
        <v>20</v>
      </c>
    </row>
    <row r="44" spans="1:13" x14ac:dyDescent="0.25">
      <c r="A44">
        <v>43</v>
      </c>
      <c r="B44" t="s">
        <v>1655</v>
      </c>
      <c r="C44" s="2" t="s">
        <v>1656</v>
      </c>
      <c r="D44" s="2">
        <f t="shared" ca="1" si="1"/>
        <v>48</v>
      </c>
      <c r="E44" t="s">
        <v>23</v>
      </c>
      <c r="F44" t="s">
        <v>1657</v>
      </c>
      <c r="G44" t="s">
        <v>273</v>
      </c>
      <c r="H44" t="str">
        <f t="shared" si="2"/>
        <v>São Mateus - ES</v>
      </c>
      <c r="I44" s="1" t="s">
        <v>205</v>
      </c>
      <c r="J44" s="3">
        <v>78</v>
      </c>
      <c r="K44" s="4">
        <f t="shared" si="0"/>
        <v>33.320517749583495</v>
      </c>
      <c r="L44" s="1" t="str">
        <f t="shared" si="3"/>
        <v>Obesidade grau I</v>
      </c>
      <c r="M44" t="s">
        <v>83</v>
      </c>
    </row>
    <row r="45" spans="1:13" x14ac:dyDescent="0.25">
      <c r="A45">
        <v>44</v>
      </c>
      <c r="B45" t="s">
        <v>3209</v>
      </c>
      <c r="C45" s="2" t="s">
        <v>3210</v>
      </c>
      <c r="D45" s="2">
        <f t="shared" ca="1" si="1"/>
        <v>33</v>
      </c>
      <c r="E45" t="s">
        <v>23</v>
      </c>
      <c r="F45" t="s">
        <v>454</v>
      </c>
      <c r="G45" t="s">
        <v>60</v>
      </c>
      <c r="H45" t="str">
        <f t="shared" si="2"/>
        <v>Gurupi - TO</v>
      </c>
      <c r="I45" s="1" t="s">
        <v>416</v>
      </c>
      <c r="J45" s="3">
        <v>86</v>
      </c>
      <c r="K45" s="4">
        <f t="shared" si="0"/>
        <v>33.177732340573279</v>
      </c>
      <c r="L45" s="1" t="str">
        <f t="shared" si="3"/>
        <v>Obesidade grau I</v>
      </c>
      <c r="M45" t="s">
        <v>47</v>
      </c>
    </row>
    <row r="46" spans="1:13" x14ac:dyDescent="0.25">
      <c r="A46">
        <v>45</v>
      </c>
      <c r="B46" t="s">
        <v>4092</v>
      </c>
      <c r="C46" s="2" t="s">
        <v>3650</v>
      </c>
      <c r="D46" s="2">
        <f t="shared" ca="1" si="1"/>
        <v>55</v>
      </c>
      <c r="E46" t="s">
        <v>23</v>
      </c>
      <c r="F46" t="s">
        <v>153</v>
      </c>
      <c r="G46" t="s">
        <v>154</v>
      </c>
      <c r="H46" t="str">
        <f t="shared" si="2"/>
        <v>Manaus - AM</v>
      </c>
      <c r="I46" s="1" t="s">
        <v>582</v>
      </c>
      <c r="J46" s="3">
        <v>48</v>
      </c>
      <c r="K46" s="4">
        <f t="shared" si="0"/>
        <v>19.723865877712029</v>
      </c>
      <c r="L46" s="1" t="str">
        <f t="shared" si="3"/>
        <v>Peso ideal - parabéns</v>
      </c>
      <c r="M46" t="s">
        <v>76</v>
      </c>
    </row>
    <row r="47" spans="1:13" x14ac:dyDescent="0.25">
      <c r="A47">
        <v>46</v>
      </c>
      <c r="B47" t="s">
        <v>3749</v>
      </c>
      <c r="C47" s="2" t="s">
        <v>3750</v>
      </c>
      <c r="D47" s="2">
        <f t="shared" ca="1" si="1"/>
        <v>52</v>
      </c>
      <c r="E47" t="s">
        <v>23</v>
      </c>
      <c r="F47" t="s">
        <v>24</v>
      </c>
      <c r="G47" t="s">
        <v>25</v>
      </c>
      <c r="H47" t="str">
        <f t="shared" si="2"/>
        <v>Natal - RN</v>
      </c>
      <c r="I47" s="1" t="s">
        <v>281</v>
      </c>
      <c r="J47" s="3">
        <v>59</v>
      </c>
      <c r="K47" s="4">
        <f t="shared" si="0"/>
        <v>22.481329065691202</v>
      </c>
      <c r="L47" s="1" t="str">
        <f t="shared" si="3"/>
        <v>Peso ideal - parabéns</v>
      </c>
      <c r="M47" t="s">
        <v>83</v>
      </c>
    </row>
    <row r="48" spans="1:13" x14ac:dyDescent="0.25">
      <c r="A48">
        <v>47</v>
      </c>
      <c r="B48" t="s">
        <v>251</v>
      </c>
      <c r="C48" s="2" t="s">
        <v>252</v>
      </c>
      <c r="D48" s="2">
        <f t="shared" ca="1" si="1"/>
        <v>43</v>
      </c>
      <c r="E48" t="s">
        <v>23</v>
      </c>
      <c r="F48" t="s">
        <v>24</v>
      </c>
      <c r="G48" t="s">
        <v>25</v>
      </c>
      <c r="H48" t="str">
        <f t="shared" si="2"/>
        <v>Natal - RN</v>
      </c>
      <c r="I48" s="1" t="s">
        <v>94</v>
      </c>
      <c r="J48" s="3">
        <v>63</v>
      </c>
      <c r="K48" s="4">
        <f t="shared" si="0"/>
        <v>21.04981790236894</v>
      </c>
      <c r="L48" s="1" t="str">
        <f t="shared" si="3"/>
        <v>Peso ideal - parabéns</v>
      </c>
      <c r="M48" t="s">
        <v>14</v>
      </c>
    </row>
    <row r="49" spans="1:13" x14ac:dyDescent="0.25">
      <c r="A49">
        <v>48</v>
      </c>
      <c r="B49" t="s">
        <v>4014</v>
      </c>
      <c r="C49" s="2" t="s">
        <v>2849</v>
      </c>
      <c r="D49" s="2">
        <f t="shared" ca="1" si="1"/>
        <v>58</v>
      </c>
      <c r="E49" t="s">
        <v>23</v>
      </c>
      <c r="F49" t="s">
        <v>189</v>
      </c>
      <c r="G49" t="s">
        <v>190</v>
      </c>
      <c r="H49" t="str">
        <f t="shared" si="2"/>
        <v>Cuiabá - MT</v>
      </c>
      <c r="I49" s="1" t="s">
        <v>191</v>
      </c>
      <c r="J49" s="3">
        <v>81</v>
      </c>
      <c r="K49" s="4">
        <f t="shared" si="0"/>
        <v>31.640624999999993</v>
      </c>
      <c r="L49" s="1" t="str">
        <f t="shared" si="3"/>
        <v>Obesidade grau I</v>
      </c>
      <c r="M49" t="s">
        <v>20</v>
      </c>
    </row>
    <row r="50" spans="1:13" x14ac:dyDescent="0.25">
      <c r="A50">
        <v>49</v>
      </c>
      <c r="B50" t="s">
        <v>838</v>
      </c>
      <c r="C50" s="2" t="s">
        <v>839</v>
      </c>
      <c r="D50" s="2">
        <f t="shared" ca="1" si="1"/>
        <v>68</v>
      </c>
      <c r="E50" t="s">
        <v>23</v>
      </c>
      <c r="F50" t="s">
        <v>158</v>
      </c>
      <c r="G50" t="s">
        <v>159</v>
      </c>
      <c r="H50" t="str">
        <f t="shared" si="2"/>
        <v>Brasília - DF</v>
      </c>
      <c r="I50" s="1" t="s">
        <v>247</v>
      </c>
      <c r="J50" s="3">
        <v>52</v>
      </c>
      <c r="K50" s="4">
        <f t="shared" si="0"/>
        <v>23.111111111111111</v>
      </c>
      <c r="L50" s="1" t="str">
        <f t="shared" si="3"/>
        <v>Peso ideal - parabéns</v>
      </c>
      <c r="M50" t="s">
        <v>14</v>
      </c>
    </row>
    <row r="51" spans="1:13" x14ac:dyDescent="0.25">
      <c r="A51">
        <v>50</v>
      </c>
      <c r="B51" t="s">
        <v>1806</v>
      </c>
      <c r="C51" s="2" t="s">
        <v>1807</v>
      </c>
      <c r="D51" s="2">
        <f t="shared" ca="1" si="1"/>
        <v>64</v>
      </c>
      <c r="E51" t="s">
        <v>23</v>
      </c>
      <c r="F51" t="s">
        <v>1808</v>
      </c>
      <c r="G51" t="s">
        <v>112</v>
      </c>
      <c r="H51" t="str">
        <f t="shared" si="2"/>
        <v>Xinguara - PA</v>
      </c>
      <c r="I51" s="1" t="s">
        <v>179</v>
      </c>
      <c r="J51" s="3">
        <v>57</v>
      </c>
      <c r="K51" s="4">
        <f t="shared" si="0"/>
        <v>18.826793499801823</v>
      </c>
      <c r="L51" s="1" t="str">
        <f t="shared" si="3"/>
        <v>Peso ideal - parabéns</v>
      </c>
      <c r="M51" t="s">
        <v>26</v>
      </c>
    </row>
    <row r="52" spans="1:13" x14ac:dyDescent="0.25">
      <c r="A52">
        <v>51</v>
      </c>
      <c r="B52" t="s">
        <v>3437</v>
      </c>
      <c r="C52" s="2" t="s">
        <v>3438</v>
      </c>
      <c r="D52" s="2">
        <f t="shared" ca="1" si="1"/>
        <v>63</v>
      </c>
      <c r="E52" t="s">
        <v>23</v>
      </c>
      <c r="F52" t="s">
        <v>107</v>
      </c>
      <c r="G52" t="s">
        <v>36</v>
      </c>
      <c r="H52" t="str">
        <f t="shared" si="2"/>
        <v>São Luís - MA</v>
      </c>
      <c r="I52" s="1" t="s">
        <v>86</v>
      </c>
      <c r="J52" s="3">
        <v>45</v>
      </c>
      <c r="K52" s="4">
        <f t="shared" si="0"/>
        <v>13.735844449192637</v>
      </c>
      <c r="L52" s="1" t="str">
        <f t="shared" si="3"/>
        <v>Muito abaixo do peso</v>
      </c>
      <c r="M52" t="s">
        <v>20</v>
      </c>
    </row>
    <row r="53" spans="1:13" x14ac:dyDescent="0.25">
      <c r="A53">
        <v>52</v>
      </c>
      <c r="B53" t="s">
        <v>1538</v>
      </c>
      <c r="C53" s="2" t="s">
        <v>1539</v>
      </c>
      <c r="D53" s="2">
        <f t="shared" ca="1" si="1"/>
        <v>67</v>
      </c>
      <c r="E53" t="s">
        <v>23</v>
      </c>
      <c r="F53" t="s">
        <v>656</v>
      </c>
      <c r="G53" t="s">
        <v>237</v>
      </c>
      <c r="H53" t="str">
        <f t="shared" si="2"/>
        <v>Picos - PI</v>
      </c>
      <c r="I53" s="1" t="s">
        <v>416</v>
      </c>
      <c r="J53" s="3">
        <v>64</v>
      </c>
      <c r="K53" s="4">
        <f t="shared" si="0"/>
        <v>24.690405462752206</v>
      </c>
      <c r="L53" s="1" t="str">
        <f t="shared" si="3"/>
        <v>Peso ideal - parabéns</v>
      </c>
      <c r="M53" t="s">
        <v>95</v>
      </c>
    </row>
    <row r="54" spans="1:13" x14ac:dyDescent="0.25">
      <c r="A54">
        <v>53</v>
      </c>
      <c r="B54" t="s">
        <v>889</v>
      </c>
      <c r="C54" s="2" t="s">
        <v>890</v>
      </c>
      <c r="D54" s="2">
        <f t="shared" ca="1" si="1"/>
        <v>80</v>
      </c>
      <c r="E54" t="s">
        <v>23</v>
      </c>
      <c r="F54" t="s">
        <v>138</v>
      </c>
      <c r="G54" t="s">
        <v>46</v>
      </c>
      <c r="H54" t="str">
        <f t="shared" si="2"/>
        <v>Aparecida de Goiânia - GO</v>
      </c>
      <c r="I54" s="1" t="s">
        <v>400</v>
      </c>
      <c r="J54" s="3">
        <v>57</v>
      </c>
      <c r="K54" s="4">
        <f t="shared" si="0"/>
        <v>17.592592592592592</v>
      </c>
      <c r="L54" s="1" t="str">
        <f t="shared" si="3"/>
        <v>Abaixo do peso</v>
      </c>
      <c r="M54" t="s">
        <v>20</v>
      </c>
    </row>
    <row r="55" spans="1:13" x14ac:dyDescent="0.25">
      <c r="A55">
        <v>54</v>
      </c>
      <c r="B55" t="s">
        <v>420</v>
      </c>
      <c r="C55" s="2" t="s">
        <v>421</v>
      </c>
      <c r="D55" s="2">
        <f t="shared" ca="1" si="1"/>
        <v>71</v>
      </c>
      <c r="E55" t="s">
        <v>23</v>
      </c>
      <c r="F55" t="s">
        <v>422</v>
      </c>
      <c r="G55" t="s">
        <v>65</v>
      </c>
      <c r="H55" t="str">
        <f t="shared" si="2"/>
        <v>Feira de Santana - BA</v>
      </c>
      <c r="I55" s="1" t="s">
        <v>213</v>
      </c>
      <c r="J55" s="3">
        <v>70</v>
      </c>
      <c r="K55" s="4">
        <f t="shared" si="0"/>
        <v>30.297783933518005</v>
      </c>
      <c r="L55" s="1" t="str">
        <f t="shared" si="3"/>
        <v>Obesidade grau I</v>
      </c>
      <c r="M55" t="s">
        <v>32</v>
      </c>
    </row>
    <row r="56" spans="1:13" x14ac:dyDescent="0.25">
      <c r="A56">
        <v>55</v>
      </c>
      <c r="B56" t="s">
        <v>1170</v>
      </c>
      <c r="C56" s="2" t="s">
        <v>1171</v>
      </c>
      <c r="D56" s="2">
        <f t="shared" ca="1" si="1"/>
        <v>82</v>
      </c>
      <c r="E56" t="s">
        <v>23</v>
      </c>
      <c r="F56" t="s">
        <v>267</v>
      </c>
      <c r="G56" t="s">
        <v>103</v>
      </c>
      <c r="H56" t="str">
        <f t="shared" si="2"/>
        <v>São Paulo - SP</v>
      </c>
      <c r="I56" s="1" t="s">
        <v>113</v>
      </c>
      <c r="J56" s="3">
        <v>59</v>
      </c>
      <c r="K56" s="4">
        <f t="shared" si="0"/>
        <v>22.206330686137981</v>
      </c>
      <c r="L56" s="1" t="str">
        <f t="shared" si="3"/>
        <v>Peso ideal - parabéns</v>
      </c>
      <c r="M56" t="s">
        <v>76</v>
      </c>
    </row>
    <row r="57" spans="1:13" x14ac:dyDescent="0.25">
      <c r="A57">
        <v>56</v>
      </c>
      <c r="B57" t="s">
        <v>3009</v>
      </c>
      <c r="C57" s="2" t="s">
        <v>3010</v>
      </c>
      <c r="D57" s="2">
        <f t="shared" ca="1" si="1"/>
        <v>22</v>
      </c>
      <c r="E57" t="s">
        <v>23</v>
      </c>
      <c r="F57" t="s">
        <v>236</v>
      </c>
      <c r="G57" t="s">
        <v>237</v>
      </c>
      <c r="H57" t="str">
        <f t="shared" si="2"/>
        <v>Teresina - PI</v>
      </c>
      <c r="I57" s="1" t="s">
        <v>104</v>
      </c>
      <c r="J57" s="3">
        <v>56</v>
      </c>
      <c r="K57" s="4">
        <f t="shared" si="0"/>
        <v>19.377162629757787</v>
      </c>
      <c r="L57" s="1" t="str">
        <f t="shared" si="3"/>
        <v>Peso ideal - parabéns</v>
      </c>
      <c r="M57" t="s">
        <v>26</v>
      </c>
    </row>
    <row r="58" spans="1:13" x14ac:dyDescent="0.25">
      <c r="A58">
        <v>57</v>
      </c>
      <c r="B58" t="s">
        <v>210</v>
      </c>
      <c r="C58" s="2" t="s">
        <v>211</v>
      </c>
      <c r="D58" s="2">
        <f t="shared" ca="1" si="1"/>
        <v>76</v>
      </c>
      <c r="E58" t="s">
        <v>23</v>
      </c>
      <c r="F58" t="s">
        <v>212</v>
      </c>
      <c r="G58" t="s">
        <v>175</v>
      </c>
      <c r="H58" t="str">
        <f t="shared" si="2"/>
        <v>Belo Jardim - PE</v>
      </c>
      <c r="I58" s="1" t="s">
        <v>213</v>
      </c>
      <c r="J58" s="3">
        <v>56</v>
      </c>
      <c r="K58" s="4">
        <f t="shared" si="0"/>
        <v>24.238227146814403</v>
      </c>
      <c r="L58" s="1" t="str">
        <f t="shared" si="3"/>
        <v>Peso ideal - parabéns</v>
      </c>
      <c r="M58" t="s">
        <v>14</v>
      </c>
    </row>
    <row r="59" spans="1:13" x14ac:dyDescent="0.25">
      <c r="A59">
        <v>58</v>
      </c>
      <c r="B59" t="s">
        <v>2548</v>
      </c>
      <c r="C59" s="2" t="s">
        <v>2549</v>
      </c>
      <c r="D59" s="2">
        <f t="shared" ca="1" si="1"/>
        <v>36</v>
      </c>
      <c r="E59" t="s">
        <v>23</v>
      </c>
      <c r="F59" t="s">
        <v>89</v>
      </c>
      <c r="G59" t="s">
        <v>12</v>
      </c>
      <c r="H59" t="str">
        <f t="shared" si="2"/>
        <v>Fortaleza - CE</v>
      </c>
      <c r="I59" s="1" t="s">
        <v>13</v>
      </c>
      <c r="J59" s="3">
        <v>66</v>
      </c>
      <c r="K59" s="4">
        <f t="shared" si="0"/>
        <v>22.571047501795427</v>
      </c>
      <c r="L59" s="1" t="str">
        <f t="shared" si="3"/>
        <v>Peso ideal - parabéns</v>
      </c>
      <c r="M59" t="s">
        <v>95</v>
      </c>
    </row>
    <row r="60" spans="1:13" x14ac:dyDescent="0.25">
      <c r="A60">
        <v>59</v>
      </c>
      <c r="B60" t="s">
        <v>2053</v>
      </c>
      <c r="C60" s="2" t="s">
        <v>2054</v>
      </c>
      <c r="D60" s="2">
        <f t="shared" ca="1" si="1"/>
        <v>25</v>
      </c>
      <c r="E60" t="s">
        <v>23</v>
      </c>
      <c r="F60" t="s">
        <v>498</v>
      </c>
      <c r="G60" t="s">
        <v>131</v>
      </c>
      <c r="H60" t="str">
        <f t="shared" si="2"/>
        <v>Florianópolis - SC</v>
      </c>
      <c r="I60" s="1" t="s">
        <v>160</v>
      </c>
      <c r="J60" s="3">
        <v>48</v>
      </c>
      <c r="K60" s="4">
        <f t="shared" si="0"/>
        <v>14.177693761814744</v>
      </c>
      <c r="L60" s="1" t="str">
        <f t="shared" si="3"/>
        <v>Muito abaixo do peso</v>
      </c>
      <c r="M60" t="s">
        <v>47</v>
      </c>
    </row>
    <row r="61" spans="1:13" x14ac:dyDescent="0.25">
      <c r="A61">
        <v>60</v>
      </c>
      <c r="B61" t="s">
        <v>3140</v>
      </c>
      <c r="C61" s="2" t="s">
        <v>3141</v>
      </c>
      <c r="D61" s="2">
        <f t="shared" ca="1" si="1"/>
        <v>80</v>
      </c>
      <c r="E61" t="s">
        <v>23</v>
      </c>
      <c r="F61" t="s">
        <v>107</v>
      </c>
      <c r="G61" t="s">
        <v>36</v>
      </c>
      <c r="H61" t="str">
        <f t="shared" si="2"/>
        <v>São Luís - MA</v>
      </c>
      <c r="I61" s="1" t="s">
        <v>117</v>
      </c>
      <c r="J61" s="3">
        <v>75</v>
      </c>
      <c r="K61" s="4">
        <f t="shared" si="0"/>
        <v>23.671253629592222</v>
      </c>
      <c r="L61" s="1" t="str">
        <f t="shared" si="3"/>
        <v>Peso ideal - parabéns</v>
      </c>
      <c r="M61" t="s">
        <v>32</v>
      </c>
    </row>
    <row r="62" spans="1:13" x14ac:dyDescent="0.25">
      <c r="A62">
        <v>61</v>
      </c>
      <c r="B62" t="s">
        <v>1990</v>
      </c>
      <c r="C62" s="2" t="s">
        <v>1991</v>
      </c>
      <c r="D62" s="2">
        <f t="shared" ca="1" si="1"/>
        <v>70</v>
      </c>
      <c r="E62" t="s">
        <v>23</v>
      </c>
      <c r="F62" t="s">
        <v>876</v>
      </c>
      <c r="G62" t="s">
        <v>310</v>
      </c>
      <c r="H62" t="str">
        <f t="shared" si="2"/>
        <v>Caxias do Sul - RS</v>
      </c>
      <c r="I62" s="1" t="s">
        <v>19</v>
      </c>
      <c r="J62" s="3">
        <v>58</v>
      </c>
      <c r="K62" s="4">
        <f t="shared" si="0"/>
        <v>18.513198633853616</v>
      </c>
      <c r="L62" s="1" t="str">
        <f t="shared" si="3"/>
        <v>Abaixo do peso</v>
      </c>
      <c r="M62" t="s">
        <v>47</v>
      </c>
    </row>
    <row r="63" spans="1:13" x14ac:dyDescent="0.25">
      <c r="A63">
        <v>62</v>
      </c>
      <c r="B63" t="s">
        <v>1740</v>
      </c>
      <c r="C63" s="2" t="s">
        <v>1741</v>
      </c>
      <c r="D63" s="2">
        <f t="shared" ca="1" si="1"/>
        <v>41</v>
      </c>
      <c r="E63" t="s">
        <v>23</v>
      </c>
      <c r="F63" t="s">
        <v>564</v>
      </c>
      <c r="G63" t="s">
        <v>565</v>
      </c>
      <c r="H63" t="str">
        <f t="shared" si="2"/>
        <v>Rio Branco - AC</v>
      </c>
      <c r="I63" s="1" t="s">
        <v>117</v>
      </c>
      <c r="J63" s="3">
        <v>85</v>
      </c>
      <c r="K63" s="4">
        <f t="shared" si="0"/>
        <v>26.82742078020452</v>
      </c>
      <c r="L63" s="1" t="str">
        <f t="shared" si="3"/>
        <v>Levemente acima do peso</v>
      </c>
      <c r="M63" t="s">
        <v>20</v>
      </c>
    </row>
    <row r="64" spans="1:13" x14ac:dyDescent="0.25">
      <c r="A64">
        <v>63</v>
      </c>
      <c r="B64" t="s">
        <v>2296</v>
      </c>
      <c r="C64" s="2" t="s">
        <v>2297</v>
      </c>
      <c r="D64" s="2">
        <f t="shared" ca="1" si="1"/>
        <v>66</v>
      </c>
      <c r="E64" t="s">
        <v>23</v>
      </c>
      <c r="F64" t="s">
        <v>313</v>
      </c>
      <c r="G64" t="s">
        <v>25</v>
      </c>
      <c r="H64" t="str">
        <f t="shared" si="2"/>
        <v>Parnamirim - RN</v>
      </c>
      <c r="I64" s="1" t="s">
        <v>360</v>
      </c>
      <c r="J64" s="3">
        <v>83</v>
      </c>
      <c r="K64" s="4">
        <f t="shared" si="0"/>
        <v>33.247876942797625</v>
      </c>
      <c r="L64" s="1" t="str">
        <f t="shared" si="3"/>
        <v>Obesidade grau I</v>
      </c>
      <c r="M64" t="s">
        <v>95</v>
      </c>
    </row>
    <row r="65" spans="1:13" x14ac:dyDescent="0.25">
      <c r="A65">
        <v>64</v>
      </c>
      <c r="B65" t="s">
        <v>2591</v>
      </c>
      <c r="C65" s="2" t="s">
        <v>2592</v>
      </c>
      <c r="D65" s="2">
        <f t="shared" ca="1" si="1"/>
        <v>63</v>
      </c>
      <c r="E65" t="s">
        <v>23</v>
      </c>
      <c r="F65" t="s">
        <v>344</v>
      </c>
      <c r="G65" t="s">
        <v>55</v>
      </c>
      <c r="H65" t="str">
        <f t="shared" si="2"/>
        <v>Pato Branco - PR</v>
      </c>
      <c r="I65" s="1" t="s">
        <v>71</v>
      </c>
      <c r="J65" s="3">
        <v>57</v>
      </c>
      <c r="K65" s="4">
        <f t="shared" si="0"/>
        <v>17.020514198692105</v>
      </c>
      <c r="L65" s="1" t="str">
        <f t="shared" si="3"/>
        <v>Abaixo do peso</v>
      </c>
      <c r="M65" t="s">
        <v>83</v>
      </c>
    </row>
    <row r="66" spans="1:13" x14ac:dyDescent="0.25">
      <c r="A66">
        <v>65</v>
      </c>
      <c r="B66" t="s">
        <v>1293</v>
      </c>
      <c r="C66" s="2" t="s">
        <v>1294</v>
      </c>
      <c r="D66" s="2">
        <f t="shared" ca="1" si="1"/>
        <v>24</v>
      </c>
      <c r="E66" t="s">
        <v>23</v>
      </c>
      <c r="F66" t="s">
        <v>204</v>
      </c>
      <c r="G66" t="s">
        <v>112</v>
      </c>
      <c r="H66" t="str">
        <f t="shared" si="2"/>
        <v>Belém - PA</v>
      </c>
      <c r="I66" s="1" t="s">
        <v>281</v>
      </c>
      <c r="J66" s="3">
        <v>85</v>
      </c>
      <c r="K66" s="4">
        <f t="shared" si="0"/>
        <v>32.38835543362292</v>
      </c>
      <c r="L66" s="1" t="str">
        <f t="shared" si="3"/>
        <v>Obesidade grau I</v>
      </c>
      <c r="M66" t="s">
        <v>32</v>
      </c>
    </row>
    <row r="67" spans="1:13" x14ac:dyDescent="0.25">
      <c r="A67">
        <v>66</v>
      </c>
      <c r="B67" t="s">
        <v>2341</v>
      </c>
      <c r="C67" s="2" t="s">
        <v>2342</v>
      </c>
      <c r="D67" s="2">
        <f t="shared" ref="D67:D130" ca="1" si="4">YEAR(TODAY())-YEAR(C67)</f>
        <v>76</v>
      </c>
      <c r="E67" t="s">
        <v>23</v>
      </c>
      <c r="F67" t="s">
        <v>365</v>
      </c>
      <c r="G67" t="s">
        <v>41</v>
      </c>
      <c r="H67" t="str">
        <f t="shared" ref="H67:H130" si="5">CONCATENATE(F67," - ",G67)</f>
        <v>Cabedelo - PB</v>
      </c>
      <c r="I67" s="1" t="s">
        <v>582</v>
      </c>
      <c r="J67" s="3">
        <v>48</v>
      </c>
      <c r="K67" s="4">
        <f t="shared" ref="K67:K130" si="6">J67/(I67*I67)</f>
        <v>19.723865877712029</v>
      </c>
      <c r="L67" s="1" t="str">
        <f t="shared" ref="L67:L130" si="7">IF(K67&gt;=40,"Obesidade grau III - mórbida",
IF(K67&gt;=35,"Obesidade grau II - severa",
IF(K67&gt;=30,"Obesidade grau I",
IF(K67&gt;=25,"Levemente acima do peso",
IF(K67&gt;=18.6,"Peso ideal - parabéns",
IF(K67&gt;=17,"Abaixo do peso",
"Muito abaixo do peso"))))))</f>
        <v>Peso ideal - parabéns</v>
      </c>
      <c r="M67" t="s">
        <v>83</v>
      </c>
    </row>
    <row r="68" spans="1:13" x14ac:dyDescent="0.25">
      <c r="A68">
        <v>67</v>
      </c>
      <c r="B68" t="s">
        <v>2649</v>
      </c>
      <c r="C68" s="2" t="s">
        <v>921</v>
      </c>
      <c r="D68" s="2">
        <f t="shared" ca="1" si="4"/>
        <v>44</v>
      </c>
      <c r="E68" t="s">
        <v>23</v>
      </c>
      <c r="F68" t="s">
        <v>354</v>
      </c>
      <c r="G68" t="s">
        <v>30</v>
      </c>
      <c r="H68" t="str">
        <f t="shared" si="5"/>
        <v>Porto Velho - RO</v>
      </c>
      <c r="I68" s="1" t="s">
        <v>86</v>
      </c>
      <c r="J68" s="3">
        <v>68</v>
      </c>
      <c r="K68" s="4">
        <f t="shared" si="6"/>
        <v>20.756387167668876</v>
      </c>
      <c r="L68" s="1" t="str">
        <f t="shared" si="7"/>
        <v>Peso ideal - parabéns</v>
      </c>
      <c r="M68" t="s">
        <v>14</v>
      </c>
    </row>
    <row r="69" spans="1:13" x14ac:dyDescent="0.25">
      <c r="A69">
        <v>68</v>
      </c>
      <c r="B69" t="s">
        <v>971</v>
      </c>
      <c r="C69" s="2" t="s">
        <v>972</v>
      </c>
      <c r="D69" s="2">
        <f t="shared" ca="1" si="4"/>
        <v>40</v>
      </c>
      <c r="E69" t="s">
        <v>23</v>
      </c>
      <c r="F69" t="s">
        <v>244</v>
      </c>
      <c r="G69" t="s">
        <v>60</v>
      </c>
      <c r="H69" t="str">
        <f t="shared" si="5"/>
        <v>Araguaína - TO</v>
      </c>
      <c r="I69" s="1" t="s">
        <v>160</v>
      </c>
      <c r="J69" s="3">
        <v>45</v>
      </c>
      <c r="K69" s="4">
        <f t="shared" si="6"/>
        <v>13.291587901701323</v>
      </c>
      <c r="L69" s="1" t="str">
        <f t="shared" si="7"/>
        <v>Muito abaixo do peso</v>
      </c>
      <c r="M69" t="s">
        <v>26</v>
      </c>
    </row>
    <row r="70" spans="1:13" x14ac:dyDescent="0.25">
      <c r="A70">
        <v>69</v>
      </c>
      <c r="B70" t="s">
        <v>836</v>
      </c>
      <c r="C70" s="2" t="s">
        <v>837</v>
      </c>
      <c r="D70" s="2">
        <f t="shared" ca="1" si="4"/>
        <v>43</v>
      </c>
      <c r="E70" t="s">
        <v>23</v>
      </c>
      <c r="F70" t="s">
        <v>208</v>
      </c>
      <c r="G70" t="s">
        <v>30</v>
      </c>
      <c r="H70" t="str">
        <f t="shared" si="5"/>
        <v>Ji-Paraná - RO</v>
      </c>
      <c r="I70" s="1" t="s">
        <v>191</v>
      </c>
      <c r="J70" s="3">
        <v>86</v>
      </c>
      <c r="K70" s="4">
        <f t="shared" si="6"/>
        <v>33.593749999999993</v>
      </c>
      <c r="L70" s="1" t="str">
        <f t="shared" si="7"/>
        <v>Obesidade grau I</v>
      </c>
      <c r="M70" t="s">
        <v>83</v>
      </c>
    </row>
    <row r="71" spans="1:13" x14ac:dyDescent="0.25">
      <c r="A71">
        <v>70</v>
      </c>
      <c r="B71" t="s">
        <v>1783</v>
      </c>
      <c r="C71" s="2" t="s">
        <v>1784</v>
      </c>
      <c r="D71" s="2">
        <f t="shared" ca="1" si="4"/>
        <v>60</v>
      </c>
      <c r="E71" t="s">
        <v>23</v>
      </c>
      <c r="F71" t="s">
        <v>354</v>
      </c>
      <c r="G71" t="s">
        <v>30</v>
      </c>
      <c r="H71" t="str">
        <f t="shared" si="5"/>
        <v>Porto Velho - RO</v>
      </c>
      <c r="I71" s="1" t="s">
        <v>13</v>
      </c>
      <c r="J71" s="3">
        <v>85</v>
      </c>
      <c r="K71" s="4">
        <f t="shared" si="6"/>
        <v>29.068773297766839</v>
      </c>
      <c r="L71" s="1" t="str">
        <f t="shared" si="7"/>
        <v>Levemente acima do peso</v>
      </c>
      <c r="M71" t="s">
        <v>95</v>
      </c>
    </row>
    <row r="72" spans="1:13" x14ac:dyDescent="0.25">
      <c r="A72">
        <v>71</v>
      </c>
      <c r="B72" t="s">
        <v>3794</v>
      </c>
      <c r="C72" s="2" t="s">
        <v>3795</v>
      </c>
      <c r="D72" s="2">
        <f t="shared" ca="1" si="4"/>
        <v>53</v>
      </c>
      <c r="E72" t="s">
        <v>23</v>
      </c>
      <c r="F72" t="s">
        <v>1335</v>
      </c>
      <c r="G72" t="s">
        <v>51</v>
      </c>
      <c r="H72" t="str">
        <f t="shared" si="5"/>
        <v>Japeri - RJ</v>
      </c>
      <c r="I72" s="1" t="s">
        <v>209</v>
      </c>
      <c r="J72" s="3">
        <v>47</v>
      </c>
      <c r="K72" s="4">
        <f t="shared" si="6"/>
        <v>19.817844493169169</v>
      </c>
      <c r="L72" s="1" t="str">
        <f t="shared" si="7"/>
        <v>Peso ideal - parabéns</v>
      </c>
      <c r="M72" t="s">
        <v>32</v>
      </c>
    </row>
    <row r="73" spans="1:13" x14ac:dyDescent="0.25">
      <c r="A73">
        <v>72</v>
      </c>
      <c r="B73" t="s">
        <v>3794</v>
      </c>
      <c r="C73" s="2" t="s">
        <v>3795</v>
      </c>
      <c r="D73" s="2">
        <f t="shared" ca="1" si="4"/>
        <v>53</v>
      </c>
      <c r="E73" t="s">
        <v>23</v>
      </c>
      <c r="F73" t="s">
        <v>1335</v>
      </c>
      <c r="G73" t="s">
        <v>51</v>
      </c>
      <c r="H73" t="str">
        <f t="shared" si="5"/>
        <v>Japeri - RJ</v>
      </c>
      <c r="I73" s="1" t="s">
        <v>209</v>
      </c>
      <c r="J73" s="3">
        <v>47</v>
      </c>
      <c r="K73" s="4">
        <f t="shared" si="6"/>
        <v>19.817844493169169</v>
      </c>
      <c r="L73" s="1" t="str">
        <f t="shared" si="7"/>
        <v>Peso ideal - parabéns</v>
      </c>
      <c r="M73" t="s">
        <v>32</v>
      </c>
    </row>
    <row r="74" spans="1:13" x14ac:dyDescent="0.25">
      <c r="A74">
        <v>73</v>
      </c>
      <c r="B74" t="s">
        <v>3734</v>
      </c>
      <c r="C74" s="2" t="s">
        <v>1719</v>
      </c>
      <c r="D74" s="2">
        <f t="shared" ca="1" si="4"/>
        <v>40</v>
      </c>
      <c r="E74" t="s">
        <v>23</v>
      </c>
      <c r="F74" t="s">
        <v>537</v>
      </c>
      <c r="G74" t="s">
        <v>55</v>
      </c>
      <c r="H74" t="str">
        <f t="shared" si="5"/>
        <v>Guarapuava - PR</v>
      </c>
      <c r="I74" s="1" t="s">
        <v>171</v>
      </c>
      <c r="J74" s="3">
        <v>78</v>
      </c>
      <c r="K74" s="4">
        <f t="shared" si="6"/>
        <v>27.968016063681024</v>
      </c>
      <c r="L74" s="1" t="str">
        <f t="shared" si="7"/>
        <v>Levemente acima do peso</v>
      </c>
      <c r="M74" t="s">
        <v>83</v>
      </c>
    </row>
    <row r="75" spans="1:13" x14ac:dyDescent="0.25">
      <c r="A75">
        <v>74</v>
      </c>
      <c r="B75" t="s">
        <v>2854</v>
      </c>
      <c r="C75" s="2" t="s">
        <v>2855</v>
      </c>
      <c r="D75" s="2">
        <f t="shared" ca="1" si="4"/>
        <v>69</v>
      </c>
      <c r="E75" t="s">
        <v>23</v>
      </c>
      <c r="F75" t="s">
        <v>69</v>
      </c>
      <c r="G75" t="s">
        <v>70</v>
      </c>
      <c r="H75" t="str">
        <f t="shared" si="5"/>
        <v>Aracaju - SE</v>
      </c>
      <c r="I75" s="1" t="s">
        <v>56</v>
      </c>
      <c r="J75" s="3">
        <v>48</v>
      </c>
      <c r="K75" s="4">
        <f t="shared" si="6"/>
        <v>16.806134238997235</v>
      </c>
      <c r="L75" s="1" t="str">
        <f t="shared" si="7"/>
        <v>Muito abaixo do peso</v>
      </c>
      <c r="M75" t="s">
        <v>32</v>
      </c>
    </row>
    <row r="76" spans="1:13" x14ac:dyDescent="0.25">
      <c r="A76">
        <v>75</v>
      </c>
      <c r="B76" t="s">
        <v>1615</v>
      </c>
      <c r="C76" s="2" t="s">
        <v>1616</v>
      </c>
      <c r="D76" s="2">
        <f t="shared" ca="1" si="4"/>
        <v>50</v>
      </c>
      <c r="E76" t="s">
        <v>23</v>
      </c>
      <c r="F76" t="s">
        <v>509</v>
      </c>
      <c r="G76" t="s">
        <v>186</v>
      </c>
      <c r="H76" t="str">
        <f t="shared" si="5"/>
        <v>Contagem - MG</v>
      </c>
      <c r="I76" s="1" t="s">
        <v>302</v>
      </c>
      <c r="J76" s="3">
        <v>76</v>
      </c>
      <c r="K76" s="4">
        <f t="shared" si="6"/>
        <v>33.331871409148718</v>
      </c>
      <c r="L76" s="1" t="str">
        <f t="shared" si="7"/>
        <v>Obesidade grau I</v>
      </c>
      <c r="M76" t="s">
        <v>20</v>
      </c>
    </row>
    <row r="77" spans="1:13" x14ac:dyDescent="0.25">
      <c r="A77">
        <v>76</v>
      </c>
      <c r="B77" t="s">
        <v>1041</v>
      </c>
      <c r="C77" s="2" t="s">
        <v>1042</v>
      </c>
      <c r="D77" s="2">
        <f t="shared" ca="1" si="4"/>
        <v>71</v>
      </c>
      <c r="E77" t="s">
        <v>23</v>
      </c>
      <c r="F77" t="s">
        <v>1043</v>
      </c>
      <c r="G77" t="s">
        <v>41</v>
      </c>
      <c r="H77" t="str">
        <f t="shared" si="5"/>
        <v>Patos - PB</v>
      </c>
      <c r="I77" s="1" t="s">
        <v>19</v>
      </c>
      <c r="J77" s="3">
        <v>61</v>
      </c>
      <c r="K77" s="4">
        <f t="shared" si="6"/>
        <v>19.470777873535699</v>
      </c>
      <c r="L77" s="1" t="str">
        <f t="shared" si="7"/>
        <v>Peso ideal - parabéns</v>
      </c>
      <c r="M77" t="s">
        <v>32</v>
      </c>
    </row>
    <row r="78" spans="1:13" x14ac:dyDescent="0.25">
      <c r="A78">
        <v>77</v>
      </c>
      <c r="B78" t="s">
        <v>1526</v>
      </c>
      <c r="C78" s="2" t="s">
        <v>1527</v>
      </c>
      <c r="D78" s="2">
        <f t="shared" ca="1" si="4"/>
        <v>29</v>
      </c>
      <c r="E78" t="s">
        <v>23</v>
      </c>
      <c r="F78" t="s">
        <v>74</v>
      </c>
      <c r="G78" t="s">
        <v>75</v>
      </c>
      <c r="H78" t="str">
        <f t="shared" si="5"/>
        <v>Macapá - AP</v>
      </c>
      <c r="I78" s="1" t="s">
        <v>213</v>
      </c>
      <c r="J78" s="3">
        <v>52</v>
      </c>
      <c r="K78" s="4">
        <f t="shared" si="6"/>
        <v>22.506925207756233</v>
      </c>
      <c r="L78" s="1" t="str">
        <f t="shared" si="7"/>
        <v>Peso ideal - parabéns</v>
      </c>
      <c r="M78" t="s">
        <v>20</v>
      </c>
    </row>
    <row r="79" spans="1:13" x14ac:dyDescent="0.25">
      <c r="A79">
        <v>78</v>
      </c>
      <c r="B79" t="s">
        <v>2161</v>
      </c>
      <c r="C79" s="2" t="s">
        <v>1695</v>
      </c>
      <c r="D79" s="2">
        <f t="shared" ca="1" si="4"/>
        <v>27</v>
      </c>
      <c r="E79" t="s">
        <v>23</v>
      </c>
      <c r="F79" t="s">
        <v>126</v>
      </c>
      <c r="G79" t="s">
        <v>127</v>
      </c>
      <c r="H79" t="str">
        <f t="shared" si="5"/>
        <v>Boa Vista - RR</v>
      </c>
      <c r="I79" s="1" t="s">
        <v>13</v>
      </c>
      <c r="J79" s="3">
        <v>71</v>
      </c>
      <c r="K79" s="4">
        <f t="shared" si="6"/>
        <v>24.280975342840534</v>
      </c>
      <c r="L79" s="1" t="str">
        <f t="shared" si="7"/>
        <v>Peso ideal - parabéns</v>
      </c>
      <c r="M79" t="s">
        <v>32</v>
      </c>
    </row>
    <row r="80" spans="1:13" x14ac:dyDescent="0.25">
      <c r="A80">
        <v>79</v>
      </c>
      <c r="B80" t="s">
        <v>3019</v>
      </c>
      <c r="C80" s="2" t="s">
        <v>3020</v>
      </c>
      <c r="D80" s="2">
        <f t="shared" ca="1" si="4"/>
        <v>72</v>
      </c>
      <c r="E80" t="s">
        <v>23</v>
      </c>
      <c r="F80" t="s">
        <v>383</v>
      </c>
      <c r="G80" t="s">
        <v>237</v>
      </c>
      <c r="H80" t="str">
        <f t="shared" si="5"/>
        <v>Parnaíba - PI</v>
      </c>
      <c r="I80" s="1" t="s">
        <v>13</v>
      </c>
      <c r="J80" s="3">
        <v>85</v>
      </c>
      <c r="K80" s="4">
        <f t="shared" si="6"/>
        <v>29.068773297766839</v>
      </c>
      <c r="L80" s="1" t="str">
        <f t="shared" si="7"/>
        <v>Levemente acima do peso</v>
      </c>
      <c r="M80" t="s">
        <v>32</v>
      </c>
    </row>
    <row r="81" spans="1:13" x14ac:dyDescent="0.25">
      <c r="A81">
        <v>80</v>
      </c>
      <c r="B81" t="s">
        <v>2996</v>
      </c>
      <c r="C81" s="2" t="s">
        <v>2997</v>
      </c>
      <c r="D81" s="2">
        <f t="shared" ca="1" si="4"/>
        <v>46</v>
      </c>
      <c r="E81" t="s">
        <v>23</v>
      </c>
      <c r="F81" t="s">
        <v>24</v>
      </c>
      <c r="G81" t="s">
        <v>25</v>
      </c>
      <c r="H81" t="str">
        <f t="shared" si="5"/>
        <v>Natal - RN</v>
      </c>
      <c r="I81" s="1" t="s">
        <v>117</v>
      </c>
      <c r="J81" s="3">
        <v>72</v>
      </c>
      <c r="K81" s="4">
        <f t="shared" si="6"/>
        <v>22.724403484408533</v>
      </c>
      <c r="L81" s="1" t="str">
        <f t="shared" si="7"/>
        <v>Peso ideal - parabéns</v>
      </c>
      <c r="M81" t="s">
        <v>76</v>
      </c>
    </row>
    <row r="82" spans="1:13" x14ac:dyDescent="0.25">
      <c r="A82">
        <v>81</v>
      </c>
      <c r="B82" t="s">
        <v>3866</v>
      </c>
      <c r="C82" s="2" t="s">
        <v>1139</v>
      </c>
      <c r="D82" s="2">
        <f t="shared" ca="1" si="4"/>
        <v>28</v>
      </c>
      <c r="E82" t="s">
        <v>23</v>
      </c>
      <c r="F82" t="s">
        <v>1503</v>
      </c>
      <c r="G82" t="s">
        <v>55</v>
      </c>
      <c r="H82" t="str">
        <f t="shared" si="5"/>
        <v>Maringá - PR</v>
      </c>
      <c r="I82" s="1" t="s">
        <v>166</v>
      </c>
      <c r="J82" s="3">
        <v>72</v>
      </c>
      <c r="K82" s="4">
        <f t="shared" si="6"/>
        <v>25.510204081632658</v>
      </c>
      <c r="L82" s="1" t="str">
        <f t="shared" si="7"/>
        <v>Levemente acima do peso</v>
      </c>
      <c r="M82" t="s">
        <v>83</v>
      </c>
    </row>
    <row r="83" spans="1:13" x14ac:dyDescent="0.25">
      <c r="A83">
        <v>82</v>
      </c>
      <c r="B83" t="s">
        <v>3922</v>
      </c>
      <c r="C83" s="2" t="s">
        <v>3491</v>
      </c>
      <c r="D83" s="2">
        <f t="shared" ca="1" si="4"/>
        <v>24</v>
      </c>
      <c r="E83" t="s">
        <v>23</v>
      </c>
      <c r="F83" t="s">
        <v>3923</v>
      </c>
      <c r="G83" t="s">
        <v>65</v>
      </c>
      <c r="H83" t="str">
        <f t="shared" si="5"/>
        <v>Juazeiro - BA</v>
      </c>
      <c r="I83" s="1" t="s">
        <v>117</v>
      </c>
      <c r="J83" s="3">
        <v>73</v>
      </c>
      <c r="K83" s="4">
        <f t="shared" si="6"/>
        <v>23.040020199469762</v>
      </c>
      <c r="L83" s="1" t="str">
        <f t="shared" si="7"/>
        <v>Peso ideal - parabéns</v>
      </c>
      <c r="M83" t="s">
        <v>76</v>
      </c>
    </row>
    <row r="84" spans="1:13" x14ac:dyDescent="0.25">
      <c r="A84">
        <v>83</v>
      </c>
      <c r="B84" t="s">
        <v>1504</v>
      </c>
      <c r="C84" s="2" t="s">
        <v>1505</v>
      </c>
      <c r="D84" s="2">
        <f t="shared" ca="1" si="4"/>
        <v>35</v>
      </c>
      <c r="E84" t="s">
        <v>23</v>
      </c>
      <c r="F84" t="s">
        <v>636</v>
      </c>
      <c r="G84" t="s">
        <v>131</v>
      </c>
      <c r="H84" t="str">
        <f t="shared" si="5"/>
        <v>Criciúma - SC</v>
      </c>
      <c r="I84" s="1" t="s">
        <v>94</v>
      </c>
      <c r="J84" s="3">
        <v>53</v>
      </c>
      <c r="K84" s="4">
        <f t="shared" si="6"/>
        <v>17.70857696548498</v>
      </c>
      <c r="L84" s="1" t="str">
        <f t="shared" si="7"/>
        <v>Abaixo do peso</v>
      </c>
      <c r="M84" t="s">
        <v>47</v>
      </c>
    </row>
    <row r="85" spans="1:13" x14ac:dyDescent="0.25">
      <c r="A85">
        <v>84</v>
      </c>
      <c r="B85" t="s">
        <v>3846</v>
      </c>
      <c r="C85" s="2" t="s">
        <v>2940</v>
      </c>
      <c r="D85" s="2">
        <f t="shared" ca="1" si="4"/>
        <v>21</v>
      </c>
      <c r="E85" t="s">
        <v>23</v>
      </c>
      <c r="F85" t="s">
        <v>784</v>
      </c>
      <c r="G85" t="s">
        <v>273</v>
      </c>
      <c r="H85" t="str">
        <f t="shared" si="5"/>
        <v>Vila Velha - ES</v>
      </c>
      <c r="I85" s="1" t="s">
        <v>281</v>
      </c>
      <c r="J85" s="3">
        <v>61</v>
      </c>
      <c r="K85" s="4">
        <f t="shared" si="6"/>
        <v>23.243408017070564</v>
      </c>
      <c r="L85" s="1" t="str">
        <f t="shared" si="7"/>
        <v>Peso ideal - parabéns</v>
      </c>
      <c r="M85" t="s">
        <v>76</v>
      </c>
    </row>
    <row r="86" spans="1:13" x14ac:dyDescent="0.25">
      <c r="A86">
        <v>85</v>
      </c>
      <c r="B86" t="s">
        <v>1203</v>
      </c>
      <c r="C86" s="2" t="s">
        <v>137</v>
      </c>
      <c r="D86" s="2">
        <f t="shared" ca="1" si="4"/>
        <v>52</v>
      </c>
      <c r="E86" t="s">
        <v>23</v>
      </c>
      <c r="F86" t="s">
        <v>681</v>
      </c>
      <c r="G86" t="s">
        <v>175</v>
      </c>
      <c r="H86" t="str">
        <f t="shared" si="5"/>
        <v>Jaboatão dos Guararapes - PE</v>
      </c>
      <c r="I86" s="1" t="s">
        <v>71</v>
      </c>
      <c r="J86" s="3">
        <v>55</v>
      </c>
      <c r="K86" s="4">
        <f t="shared" si="6"/>
        <v>16.423303174176592</v>
      </c>
      <c r="L86" s="1" t="str">
        <f t="shared" si="7"/>
        <v>Muito abaixo do peso</v>
      </c>
      <c r="M86" t="s">
        <v>83</v>
      </c>
    </row>
    <row r="87" spans="1:13" x14ac:dyDescent="0.25">
      <c r="A87">
        <v>86</v>
      </c>
      <c r="B87" t="s">
        <v>1444</v>
      </c>
      <c r="C87" s="2" t="s">
        <v>1445</v>
      </c>
      <c r="D87" s="2">
        <f t="shared" ca="1" si="4"/>
        <v>65</v>
      </c>
      <c r="E87" t="s">
        <v>23</v>
      </c>
      <c r="F87" t="s">
        <v>107</v>
      </c>
      <c r="G87" t="s">
        <v>36</v>
      </c>
      <c r="H87" t="str">
        <f t="shared" si="5"/>
        <v>São Luís - MA</v>
      </c>
      <c r="I87" s="1" t="s">
        <v>575</v>
      </c>
      <c r="J87" s="3">
        <v>55</v>
      </c>
      <c r="K87" s="4">
        <f t="shared" si="6"/>
        <v>21.75546853368142</v>
      </c>
      <c r="L87" s="1" t="str">
        <f t="shared" si="7"/>
        <v>Peso ideal - parabéns</v>
      </c>
      <c r="M87" t="s">
        <v>83</v>
      </c>
    </row>
    <row r="88" spans="1:13" x14ac:dyDescent="0.25">
      <c r="A88">
        <v>87</v>
      </c>
      <c r="B88" t="s">
        <v>3525</v>
      </c>
      <c r="C88" s="2" t="s">
        <v>3526</v>
      </c>
      <c r="D88" s="2">
        <f t="shared" ca="1" si="4"/>
        <v>48</v>
      </c>
      <c r="E88" t="s">
        <v>23</v>
      </c>
      <c r="F88" t="s">
        <v>3527</v>
      </c>
      <c r="G88" t="s">
        <v>103</v>
      </c>
      <c r="H88" t="str">
        <f t="shared" si="5"/>
        <v>Caraguatatuba - SP</v>
      </c>
      <c r="I88" s="1" t="s">
        <v>113</v>
      </c>
      <c r="J88" s="3">
        <v>85</v>
      </c>
      <c r="K88" s="4">
        <f t="shared" si="6"/>
        <v>31.992171327486922</v>
      </c>
      <c r="L88" s="1" t="str">
        <f t="shared" si="7"/>
        <v>Obesidade grau I</v>
      </c>
      <c r="M88" t="s">
        <v>95</v>
      </c>
    </row>
    <row r="89" spans="1:13" x14ac:dyDescent="0.25">
      <c r="A89">
        <v>88</v>
      </c>
      <c r="B89" t="s">
        <v>3350</v>
      </c>
      <c r="C89" s="2" t="s">
        <v>3351</v>
      </c>
      <c r="D89" s="2">
        <f t="shared" ca="1" si="4"/>
        <v>68</v>
      </c>
      <c r="E89" t="s">
        <v>23</v>
      </c>
      <c r="F89" t="s">
        <v>89</v>
      </c>
      <c r="G89" t="s">
        <v>12</v>
      </c>
      <c r="H89" t="str">
        <f t="shared" si="5"/>
        <v>Fortaleza - CE</v>
      </c>
      <c r="I89" s="1" t="s">
        <v>104</v>
      </c>
      <c r="J89" s="3">
        <v>70</v>
      </c>
      <c r="K89" s="4">
        <f t="shared" si="6"/>
        <v>24.221453287197235</v>
      </c>
      <c r="L89" s="1" t="str">
        <f t="shared" si="7"/>
        <v>Peso ideal - parabéns</v>
      </c>
      <c r="M89" t="s">
        <v>47</v>
      </c>
    </row>
    <row r="90" spans="1:13" x14ac:dyDescent="0.25">
      <c r="A90">
        <v>89</v>
      </c>
      <c r="B90" t="s">
        <v>3574</v>
      </c>
      <c r="C90" s="2" t="s">
        <v>3575</v>
      </c>
      <c r="D90" s="2">
        <f t="shared" ca="1" si="4"/>
        <v>40</v>
      </c>
      <c r="E90" t="s">
        <v>23</v>
      </c>
      <c r="F90" t="s">
        <v>380</v>
      </c>
      <c r="G90" t="s">
        <v>112</v>
      </c>
      <c r="H90" t="str">
        <f t="shared" si="5"/>
        <v>Ananindeua - PA</v>
      </c>
      <c r="I90" s="1" t="s">
        <v>247</v>
      </c>
      <c r="J90" s="3">
        <v>46</v>
      </c>
      <c r="K90" s="4">
        <f t="shared" si="6"/>
        <v>20.444444444444443</v>
      </c>
      <c r="L90" s="1" t="str">
        <f t="shared" si="7"/>
        <v>Peso ideal - parabéns</v>
      </c>
      <c r="M90" t="s">
        <v>14</v>
      </c>
    </row>
    <row r="91" spans="1:13" x14ac:dyDescent="0.25">
      <c r="A91">
        <v>90</v>
      </c>
      <c r="B91" t="s">
        <v>3827</v>
      </c>
      <c r="C91" s="2" t="s">
        <v>1719</v>
      </c>
      <c r="D91" s="2">
        <f t="shared" ca="1" si="4"/>
        <v>40</v>
      </c>
      <c r="E91" t="s">
        <v>23</v>
      </c>
      <c r="F91" t="s">
        <v>153</v>
      </c>
      <c r="G91" t="s">
        <v>154</v>
      </c>
      <c r="H91" t="str">
        <f t="shared" si="5"/>
        <v>Manaus - AM</v>
      </c>
      <c r="I91" s="1" t="s">
        <v>94</v>
      </c>
      <c r="J91" s="3">
        <v>83</v>
      </c>
      <c r="K91" s="4">
        <f t="shared" si="6"/>
        <v>27.732299776136855</v>
      </c>
      <c r="L91" s="1" t="str">
        <f t="shared" si="7"/>
        <v>Levemente acima do peso</v>
      </c>
      <c r="M91" t="s">
        <v>32</v>
      </c>
    </row>
    <row r="92" spans="1:13" x14ac:dyDescent="0.25">
      <c r="A92">
        <v>91</v>
      </c>
      <c r="B92" t="s">
        <v>3488</v>
      </c>
      <c r="C92" s="2" t="s">
        <v>3489</v>
      </c>
      <c r="D92" s="2">
        <f t="shared" ca="1" si="4"/>
        <v>81</v>
      </c>
      <c r="E92" t="s">
        <v>23</v>
      </c>
      <c r="F92" t="s">
        <v>457</v>
      </c>
      <c r="G92" t="s">
        <v>41</v>
      </c>
      <c r="H92" t="str">
        <f t="shared" si="5"/>
        <v>João Pessoa - PB</v>
      </c>
      <c r="I92" s="1" t="s">
        <v>90</v>
      </c>
      <c r="J92" s="3">
        <v>76</v>
      </c>
      <c r="K92" s="4">
        <f t="shared" si="6"/>
        <v>25.689561925365066</v>
      </c>
      <c r="L92" s="1" t="str">
        <f t="shared" si="7"/>
        <v>Levemente acima do peso</v>
      </c>
      <c r="M92" t="s">
        <v>83</v>
      </c>
    </row>
    <row r="93" spans="1:13" x14ac:dyDescent="0.25">
      <c r="A93">
        <v>92</v>
      </c>
      <c r="B93" t="s">
        <v>1521</v>
      </c>
      <c r="C93" s="2" t="s">
        <v>1522</v>
      </c>
      <c r="D93" s="2">
        <f t="shared" ca="1" si="4"/>
        <v>23</v>
      </c>
      <c r="E93" t="s">
        <v>10</v>
      </c>
      <c r="F93" t="s">
        <v>45</v>
      </c>
      <c r="G93" t="s">
        <v>46</v>
      </c>
      <c r="H93" t="str">
        <f t="shared" si="5"/>
        <v>Goiânia - GO</v>
      </c>
      <c r="I93" s="1" t="s">
        <v>19</v>
      </c>
      <c r="J93" s="3">
        <v>67</v>
      </c>
      <c r="K93" s="4">
        <f t="shared" si="6"/>
        <v>21.385936352899868</v>
      </c>
      <c r="L93" s="1" t="str">
        <f t="shared" si="7"/>
        <v>Peso ideal - parabéns</v>
      </c>
      <c r="M93" t="s">
        <v>32</v>
      </c>
    </row>
    <row r="94" spans="1:13" x14ac:dyDescent="0.25">
      <c r="A94">
        <v>93</v>
      </c>
      <c r="B94" t="s">
        <v>913</v>
      </c>
      <c r="C94" s="2" t="s">
        <v>914</v>
      </c>
      <c r="D94" s="2">
        <f t="shared" ca="1" si="4"/>
        <v>38</v>
      </c>
      <c r="E94" t="s">
        <v>10</v>
      </c>
      <c r="F94" t="s">
        <v>915</v>
      </c>
      <c r="G94" t="s">
        <v>175</v>
      </c>
      <c r="H94" t="str">
        <f t="shared" si="5"/>
        <v>Olinda - PE</v>
      </c>
      <c r="I94" s="1" t="s">
        <v>218</v>
      </c>
      <c r="J94" s="3">
        <v>86</v>
      </c>
      <c r="K94" s="4">
        <f t="shared" si="6"/>
        <v>23.087868130688072</v>
      </c>
      <c r="L94" s="1" t="str">
        <f t="shared" si="7"/>
        <v>Peso ideal - parabéns</v>
      </c>
      <c r="M94" t="s">
        <v>20</v>
      </c>
    </row>
    <row r="95" spans="1:13" x14ac:dyDescent="0.25">
      <c r="A95">
        <v>94</v>
      </c>
      <c r="B95" t="s">
        <v>2414</v>
      </c>
      <c r="C95" s="2" t="s">
        <v>2415</v>
      </c>
      <c r="D95" s="2">
        <f t="shared" ca="1" si="4"/>
        <v>48</v>
      </c>
      <c r="E95" t="s">
        <v>10</v>
      </c>
      <c r="F95" t="s">
        <v>189</v>
      </c>
      <c r="G95" t="s">
        <v>190</v>
      </c>
      <c r="H95" t="str">
        <f t="shared" si="5"/>
        <v>Cuiabá - MT</v>
      </c>
      <c r="I95" s="1" t="s">
        <v>123</v>
      </c>
      <c r="J95" s="3">
        <v>70</v>
      </c>
      <c r="K95" s="4">
        <f t="shared" si="6"/>
        <v>22.598140495867771</v>
      </c>
      <c r="L95" s="1" t="str">
        <f t="shared" si="7"/>
        <v>Peso ideal - parabéns</v>
      </c>
      <c r="M95" t="s">
        <v>76</v>
      </c>
    </row>
    <row r="96" spans="1:13" x14ac:dyDescent="0.25">
      <c r="A96">
        <v>95</v>
      </c>
      <c r="B96" t="s">
        <v>1920</v>
      </c>
      <c r="C96" s="2" t="s">
        <v>1921</v>
      </c>
      <c r="D96" s="2">
        <f t="shared" ca="1" si="4"/>
        <v>31</v>
      </c>
      <c r="E96" t="s">
        <v>10</v>
      </c>
      <c r="F96" t="s">
        <v>69</v>
      </c>
      <c r="G96" t="s">
        <v>70</v>
      </c>
      <c r="H96" t="str">
        <f t="shared" si="5"/>
        <v>Aracaju - SE</v>
      </c>
      <c r="I96" s="1" t="s">
        <v>416</v>
      </c>
      <c r="J96" s="3">
        <v>99</v>
      </c>
      <c r="K96" s="4">
        <f t="shared" si="6"/>
        <v>38.19297095019482</v>
      </c>
      <c r="L96" s="1" t="str">
        <f t="shared" si="7"/>
        <v>Obesidade grau II - severa</v>
      </c>
      <c r="M96" t="s">
        <v>26</v>
      </c>
    </row>
    <row r="97" spans="1:13" x14ac:dyDescent="0.25">
      <c r="A97">
        <v>96</v>
      </c>
      <c r="B97" t="s">
        <v>2583</v>
      </c>
      <c r="C97" s="2" t="s">
        <v>2584</v>
      </c>
      <c r="D97" s="2">
        <f t="shared" ca="1" si="4"/>
        <v>56</v>
      </c>
      <c r="E97" t="s">
        <v>10</v>
      </c>
      <c r="F97" t="s">
        <v>733</v>
      </c>
      <c r="G97" t="s">
        <v>310</v>
      </c>
      <c r="H97" t="str">
        <f t="shared" si="5"/>
        <v>Porto Alegre - RS</v>
      </c>
      <c r="I97" s="1" t="s">
        <v>99</v>
      </c>
      <c r="J97" s="3">
        <v>76</v>
      </c>
      <c r="K97" s="4">
        <f t="shared" si="6"/>
        <v>20.193431820597301</v>
      </c>
      <c r="L97" s="1" t="str">
        <f t="shared" si="7"/>
        <v>Peso ideal - parabéns</v>
      </c>
      <c r="M97" t="s">
        <v>83</v>
      </c>
    </row>
    <row r="98" spans="1:13" x14ac:dyDescent="0.25">
      <c r="A98">
        <v>97</v>
      </c>
      <c r="B98" t="s">
        <v>1134</v>
      </c>
      <c r="C98" s="2" t="s">
        <v>1135</v>
      </c>
      <c r="D98" s="2">
        <f t="shared" ca="1" si="4"/>
        <v>21</v>
      </c>
      <c r="E98" t="s">
        <v>10</v>
      </c>
      <c r="F98" t="s">
        <v>107</v>
      </c>
      <c r="G98" t="s">
        <v>36</v>
      </c>
      <c r="H98" t="str">
        <f t="shared" si="5"/>
        <v>São Luís - MA</v>
      </c>
      <c r="I98" s="1" t="s">
        <v>155</v>
      </c>
      <c r="J98" s="3">
        <v>58</v>
      </c>
      <c r="K98" s="4">
        <f t="shared" si="6"/>
        <v>17.509962564907617</v>
      </c>
      <c r="L98" s="1" t="str">
        <f t="shared" si="7"/>
        <v>Abaixo do peso</v>
      </c>
      <c r="M98" t="s">
        <v>95</v>
      </c>
    </row>
    <row r="99" spans="1:13" x14ac:dyDescent="0.25">
      <c r="A99">
        <v>98</v>
      </c>
      <c r="B99" t="s">
        <v>2337</v>
      </c>
      <c r="C99" s="2" t="s">
        <v>2338</v>
      </c>
      <c r="D99" s="2">
        <f t="shared" ca="1" si="4"/>
        <v>76</v>
      </c>
      <c r="E99" t="s">
        <v>10</v>
      </c>
      <c r="F99" t="s">
        <v>69</v>
      </c>
      <c r="G99" t="s">
        <v>70</v>
      </c>
      <c r="H99" t="str">
        <f t="shared" si="5"/>
        <v>Aracaju - SE</v>
      </c>
      <c r="I99" s="1" t="s">
        <v>447</v>
      </c>
      <c r="J99" s="3">
        <v>102</v>
      </c>
      <c r="K99" s="4">
        <f t="shared" si="6"/>
        <v>33.306122448979593</v>
      </c>
      <c r="L99" s="1" t="str">
        <f t="shared" si="7"/>
        <v>Obesidade grau I</v>
      </c>
      <c r="M99" t="s">
        <v>14</v>
      </c>
    </row>
    <row r="100" spans="1:13" x14ac:dyDescent="0.25">
      <c r="A100">
        <v>99</v>
      </c>
      <c r="B100" t="s">
        <v>4116</v>
      </c>
      <c r="C100" s="2" t="s">
        <v>4013</v>
      </c>
      <c r="D100" s="2">
        <f t="shared" ca="1" si="4"/>
        <v>31</v>
      </c>
      <c r="E100" t="s">
        <v>10</v>
      </c>
      <c r="F100" t="s">
        <v>3949</v>
      </c>
      <c r="G100" t="s">
        <v>55</v>
      </c>
      <c r="H100" t="str">
        <f t="shared" si="5"/>
        <v>Cianorte - PR</v>
      </c>
      <c r="I100" s="1" t="s">
        <v>66</v>
      </c>
      <c r="J100" s="3">
        <v>80</v>
      </c>
      <c r="K100" s="4">
        <f t="shared" si="6"/>
        <v>22.634676324128566</v>
      </c>
      <c r="L100" s="1" t="str">
        <f t="shared" si="7"/>
        <v>Peso ideal - parabéns</v>
      </c>
      <c r="M100" t="s">
        <v>76</v>
      </c>
    </row>
    <row r="101" spans="1:13" x14ac:dyDescent="0.25">
      <c r="A101">
        <v>100</v>
      </c>
      <c r="B101" t="s">
        <v>2412</v>
      </c>
      <c r="C101" s="2" t="s">
        <v>2413</v>
      </c>
      <c r="D101" s="2">
        <f t="shared" ca="1" si="4"/>
        <v>35</v>
      </c>
      <c r="E101" t="s">
        <v>10</v>
      </c>
      <c r="F101" t="s">
        <v>130</v>
      </c>
      <c r="G101" t="s">
        <v>131</v>
      </c>
      <c r="H101" t="str">
        <f t="shared" si="5"/>
        <v>Balneário Camboriú - SC</v>
      </c>
      <c r="I101" s="1" t="s">
        <v>179</v>
      </c>
      <c r="J101" s="3">
        <v>70</v>
      </c>
      <c r="K101" s="4">
        <f t="shared" si="6"/>
        <v>23.120623596247853</v>
      </c>
      <c r="L101" s="1" t="str">
        <f t="shared" si="7"/>
        <v>Peso ideal - parabéns</v>
      </c>
      <c r="M101" t="s">
        <v>26</v>
      </c>
    </row>
    <row r="102" spans="1:13" x14ac:dyDescent="0.25">
      <c r="A102">
        <v>101</v>
      </c>
      <c r="B102" t="s">
        <v>1553</v>
      </c>
      <c r="C102" s="2" t="s">
        <v>1554</v>
      </c>
      <c r="D102" s="2">
        <f t="shared" ca="1" si="4"/>
        <v>64</v>
      </c>
      <c r="E102" t="s">
        <v>10</v>
      </c>
      <c r="F102" t="s">
        <v>383</v>
      </c>
      <c r="G102" t="s">
        <v>237</v>
      </c>
      <c r="H102" t="str">
        <f t="shared" si="5"/>
        <v>Parnaíba - PI</v>
      </c>
      <c r="I102" s="1" t="s">
        <v>639</v>
      </c>
      <c r="J102" s="3">
        <v>74</v>
      </c>
      <c r="K102" s="4">
        <f t="shared" si="6"/>
        <v>18.5</v>
      </c>
      <c r="L102" s="1" t="str">
        <f t="shared" si="7"/>
        <v>Abaixo do peso</v>
      </c>
      <c r="M102" t="s">
        <v>47</v>
      </c>
    </row>
    <row r="103" spans="1:13" x14ac:dyDescent="0.25">
      <c r="A103">
        <v>102</v>
      </c>
      <c r="B103" t="s">
        <v>2119</v>
      </c>
      <c r="C103" s="2" t="s">
        <v>2120</v>
      </c>
      <c r="D103" s="2">
        <f t="shared" ca="1" si="4"/>
        <v>59</v>
      </c>
      <c r="E103" t="s">
        <v>10</v>
      </c>
      <c r="F103" t="s">
        <v>74</v>
      </c>
      <c r="G103" t="s">
        <v>75</v>
      </c>
      <c r="H103" t="str">
        <f t="shared" si="5"/>
        <v>Macapá - AP</v>
      </c>
      <c r="I103" s="1" t="s">
        <v>132</v>
      </c>
      <c r="J103" s="3">
        <v>107</v>
      </c>
      <c r="K103" s="4">
        <f t="shared" si="6"/>
        <v>30.598530126683627</v>
      </c>
      <c r="L103" s="1" t="str">
        <f t="shared" si="7"/>
        <v>Obesidade grau I</v>
      </c>
      <c r="M103" t="s">
        <v>32</v>
      </c>
    </row>
    <row r="104" spans="1:13" x14ac:dyDescent="0.25">
      <c r="A104">
        <v>103</v>
      </c>
      <c r="B104" t="s">
        <v>3717</v>
      </c>
      <c r="C104" s="2" t="s">
        <v>3718</v>
      </c>
      <c r="D104" s="2">
        <f t="shared" ca="1" si="4"/>
        <v>76</v>
      </c>
      <c r="E104" t="s">
        <v>10</v>
      </c>
      <c r="F104" t="s">
        <v>1055</v>
      </c>
      <c r="G104" t="s">
        <v>30</v>
      </c>
      <c r="H104" t="str">
        <f t="shared" si="5"/>
        <v>Ariquemes - RO</v>
      </c>
      <c r="I104" s="1" t="s">
        <v>262</v>
      </c>
      <c r="J104" s="3">
        <v>85</v>
      </c>
      <c r="K104" s="4">
        <f t="shared" si="6"/>
        <v>23.545706371191137</v>
      </c>
      <c r="L104" s="1" t="str">
        <f t="shared" si="7"/>
        <v>Peso ideal - parabéns</v>
      </c>
      <c r="M104" t="s">
        <v>47</v>
      </c>
    </row>
    <row r="105" spans="1:13" x14ac:dyDescent="0.25">
      <c r="A105">
        <v>104</v>
      </c>
      <c r="B105" t="s">
        <v>1608</v>
      </c>
      <c r="C105" s="2" t="s">
        <v>1609</v>
      </c>
      <c r="D105" s="2">
        <f t="shared" ca="1" si="4"/>
        <v>51</v>
      </c>
      <c r="E105" t="s">
        <v>10</v>
      </c>
      <c r="F105" t="s">
        <v>616</v>
      </c>
      <c r="G105" t="s">
        <v>273</v>
      </c>
      <c r="H105" t="str">
        <f t="shared" si="5"/>
        <v>Serra - ES</v>
      </c>
      <c r="I105" s="1" t="s">
        <v>155</v>
      </c>
      <c r="J105" s="3">
        <v>82</v>
      </c>
      <c r="K105" s="4">
        <f t="shared" si="6"/>
        <v>24.755464315903875</v>
      </c>
      <c r="L105" s="1" t="str">
        <f t="shared" si="7"/>
        <v>Peso ideal - parabéns</v>
      </c>
      <c r="M105" t="s">
        <v>14</v>
      </c>
    </row>
    <row r="106" spans="1:13" x14ac:dyDescent="0.25">
      <c r="A106">
        <v>105</v>
      </c>
      <c r="B106" t="s">
        <v>3256</v>
      </c>
      <c r="C106" s="2" t="s">
        <v>2823</v>
      </c>
      <c r="D106" s="2">
        <f t="shared" ca="1" si="4"/>
        <v>45</v>
      </c>
      <c r="E106" t="s">
        <v>10</v>
      </c>
      <c r="F106" t="s">
        <v>1055</v>
      </c>
      <c r="G106" t="s">
        <v>30</v>
      </c>
      <c r="H106" t="str">
        <f t="shared" si="5"/>
        <v>Ariquemes - RO</v>
      </c>
      <c r="I106" s="1" t="s">
        <v>386</v>
      </c>
      <c r="J106" s="3">
        <v>105</v>
      </c>
      <c r="K106" s="4">
        <f t="shared" si="6"/>
        <v>38.104224125417332</v>
      </c>
      <c r="L106" s="1" t="str">
        <f t="shared" si="7"/>
        <v>Obesidade grau II - severa</v>
      </c>
      <c r="M106" t="s">
        <v>47</v>
      </c>
    </row>
    <row r="107" spans="1:13" x14ac:dyDescent="0.25">
      <c r="A107">
        <v>106</v>
      </c>
      <c r="B107" t="s">
        <v>1548</v>
      </c>
      <c r="C107" s="2" t="s">
        <v>1549</v>
      </c>
      <c r="D107" s="2">
        <f t="shared" ca="1" si="4"/>
        <v>32</v>
      </c>
      <c r="E107" t="s">
        <v>10</v>
      </c>
      <c r="F107" t="s">
        <v>1550</v>
      </c>
      <c r="G107" t="s">
        <v>103</v>
      </c>
      <c r="H107" t="str">
        <f t="shared" si="5"/>
        <v>Mogi das Cruzes - SP</v>
      </c>
      <c r="I107" s="1" t="s">
        <v>90</v>
      </c>
      <c r="J107" s="3">
        <v>100</v>
      </c>
      <c r="K107" s="4">
        <f t="shared" si="6"/>
        <v>33.802055164954034</v>
      </c>
      <c r="L107" s="1" t="str">
        <f t="shared" si="7"/>
        <v>Obesidade grau I</v>
      </c>
      <c r="M107" t="s">
        <v>20</v>
      </c>
    </row>
    <row r="108" spans="1:13" x14ac:dyDescent="0.25">
      <c r="A108">
        <v>107</v>
      </c>
      <c r="B108" t="s">
        <v>1513</v>
      </c>
      <c r="C108" s="2" t="s">
        <v>1514</v>
      </c>
      <c r="D108" s="2">
        <f t="shared" ca="1" si="4"/>
        <v>69</v>
      </c>
      <c r="E108" t="s">
        <v>10</v>
      </c>
      <c r="F108" t="s">
        <v>422</v>
      </c>
      <c r="G108" t="s">
        <v>65</v>
      </c>
      <c r="H108" t="str">
        <f t="shared" si="5"/>
        <v>Feira de Santana - BA</v>
      </c>
      <c r="I108" s="1" t="s">
        <v>318</v>
      </c>
      <c r="J108" s="3">
        <v>105</v>
      </c>
      <c r="K108" s="4">
        <f t="shared" si="6"/>
        <v>28.483072916666668</v>
      </c>
      <c r="L108" s="1" t="str">
        <f t="shared" si="7"/>
        <v>Levemente acima do peso</v>
      </c>
      <c r="M108" t="s">
        <v>26</v>
      </c>
    </row>
    <row r="109" spans="1:13" x14ac:dyDescent="0.25">
      <c r="A109">
        <v>108</v>
      </c>
      <c r="B109" t="s">
        <v>2149</v>
      </c>
      <c r="C109" s="2" t="s">
        <v>2150</v>
      </c>
      <c r="D109" s="2">
        <f t="shared" ca="1" si="4"/>
        <v>78</v>
      </c>
      <c r="E109" t="s">
        <v>23</v>
      </c>
      <c r="F109" t="s">
        <v>241</v>
      </c>
      <c r="G109" t="s">
        <v>190</v>
      </c>
      <c r="H109" t="str">
        <f t="shared" si="5"/>
        <v>Várzea Grande - MT</v>
      </c>
      <c r="I109" s="1" t="s">
        <v>302</v>
      </c>
      <c r="J109" s="3">
        <v>60</v>
      </c>
      <c r="K109" s="4">
        <f t="shared" si="6"/>
        <v>26.314635323012148</v>
      </c>
      <c r="L109" s="1" t="str">
        <f t="shared" si="7"/>
        <v>Levemente acima do peso</v>
      </c>
      <c r="M109" t="s">
        <v>47</v>
      </c>
    </row>
    <row r="110" spans="1:13" x14ac:dyDescent="0.25">
      <c r="A110">
        <v>109</v>
      </c>
      <c r="B110" t="s">
        <v>2009</v>
      </c>
      <c r="C110" s="2" t="s">
        <v>2010</v>
      </c>
      <c r="D110" s="2">
        <f t="shared" ca="1" si="4"/>
        <v>58</v>
      </c>
      <c r="E110" t="s">
        <v>23</v>
      </c>
      <c r="F110" t="s">
        <v>1178</v>
      </c>
      <c r="G110" t="s">
        <v>46</v>
      </c>
      <c r="H110" t="str">
        <f t="shared" si="5"/>
        <v>Luziânia - GO</v>
      </c>
      <c r="I110" s="1" t="s">
        <v>194</v>
      </c>
      <c r="J110" s="3">
        <v>61</v>
      </c>
      <c r="K110" s="4">
        <f t="shared" si="6"/>
        <v>17.823228634039442</v>
      </c>
      <c r="L110" s="1" t="str">
        <f t="shared" si="7"/>
        <v>Abaixo do peso</v>
      </c>
      <c r="M110" t="s">
        <v>76</v>
      </c>
    </row>
    <row r="111" spans="1:13" x14ac:dyDescent="0.25">
      <c r="A111">
        <v>110</v>
      </c>
      <c r="B111" t="s">
        <v>3400</v>
      </c>
      <c r="C111" s="2" t="s">
        <v>3401</v>
      </c>
      <c r="D111" s="2">
        <f t="shared" ca="1" si="4"/>
        <v>62</v>
      </c>
      <c r="E111" t="s">
        <v>23</v>
      </c>
      <c r="F111" t="s">
        <v>69</v>
      </c>
      <c r="G111" t="s">
        <v>70</v>
      </c>
      <c r="H111" t="str">
        <f t="shared" si="5"/>
        <v>Aracaju - SE</v>
      </c>
      <c r="I111" s="1" t="s">
        <v>123</v>
      </c>
      <c r="J111" s="3">
        <v>78</v>
      </c>
      <c r="K111" s="4">
        <f t="shared" si="6"/>
        <v>25.180785123966942</v>
      </c>
      <c r="L111" s="1" t="str">
        <f t="shared" si="7"/>
        <v>Levemente acima do peso</v>
      </c>
      <c r="M111" t="s">
        <v>47</v>
      </c>
    </row>
    <row r="112" spans="1:13" x14ac:dyDescent="0.25">
      <c r="A112">
        <v>111</v>
      </c>
      <c r="B112" t="s">
        <v>1506</v>
      </c>
      <c r="C112" s="2" t="s">
        <v>1507</v>
      </c>
      <c r="D112" s="2">
        <f t="shared" ca="1" si="4"/>
        <v>72</v>
      </c>
      <c r="E112" t="s">
        <v>23</v>
      </c>
      <c r="F112" t="s">
        <v>1508</v>
      </c>
      <c r="G112" t="s">
        <v>186</v>
      </c>
      <c r="H112" t="str">
        <f t="shared" si="5"/>
        <v>Uberaba - MG</v>
      </c>
      <c r="I112" s="1" t="s">
        <v>191</v>
      </c>
      <c r="J112" s="3">
        <v>69</v>
      </c>
      <c r="K112" s="4">
        <f t="shared" si="6"/>
        <v>26.953124999999996</v>
      </c>
      <c r="L112" s="1" t="str">
        <f t="shared" si="7"/>
        <v>Levemente acima do peso</v>
      </c>
      <c r="M112" t="s">
        <v>95</v>
      </c>
    </row>
    <row r="113" spans="1:13" x14ac:dyDescent="0.25">
      <c r="A113">
        <v>112</v>
      </c>
      <c r="B113" t="s">
        <v>1856</v>
      </c>
      <c r="C113" s="2" t="s">
        <v>1857</v>
      </c>
      <c r="D113" s="2">
        <f t="shared" ca="1" si="4"/>
        <v>30</v>
      </c>
      <c r="E113" t="s">
        <v>23</v>
      </c>
      <c r="F113" t="s">
        <v>1858</v>
      </c>
      <c r="G113" t="s">
        <v>186</v>
      </c>
      <c r="H113" t="str">
        <f t="shared" si="5"/>
        <v>Santa Luzia - MG</v>
      </c>
      <c r="I113" s="1" t="s">
        <v>247</v>
      </c>
      <c r="J113" s="3">
        <v>67</v>
      </c>
      <c r="K113" s="4">
        <f t="shared" si="6"/>
        <v>29.777777777777779</v>
      </c>
      <c r="L113" s="1" t="str">
        <f t="shared" si="7"/>
        <v>Levemente acima do peso</v>
      </c>
      <c r="M113" t="s">
        <v>14</v>
      </c>
    </row>
    <row r="114" spans="1:13" x14ac:dyDescent="0.25">
      <c r="A114">
        <v>113</v>
      </c>
      <c r="B114" t="s">
        <v>3950</v>
      </c>
      <c r="C114" s="2" t="s">
        <v>3951</v>
      </c>
      <c r="D114" s="2">
        <f t="shared" ca="1" si="4"/>
        <v>19</v>
      </c>
      <c r="E114" t="s">
        <v>23</v>
      </c>
      <c r="F114" t="s">
        <v>1342</v>
      </c>
      <c r="G114" t="s">
        <v>273</v>
      </c>
      <c r="H114" t="str">
        <f t="shared" si="5"/>
        <v>Colatina - ES</v>
      </c>
      <c r="I114" s="1" t="s">
        <v>13</v>
      </c>
      <c r="J114" s="3">
        <v>60</v>
      </c>
      <c r="K114" s="4">
        <f t="shared" si="6"/>
        <v>20.519134092541297</v>
      </c>
      <c r="L114" s="1" t="str">
        <f t="shared" si="7"/>
        <v>Peso ideal - parabéns</v>
      </c>
      <c r="M114" t="s">
        <v>26</v>
      </c>
    </row>
    <row r="115" spans="1:13" x14ac:dyDescent="0.25">
      <c r="A115">
        <v>114</v>
      </c>
      <c r="B115" t="s">
        <v>3684</v>
      </c>
      <c r="C115" s="2" t="s">
        <v>3685</v>
      </c>
      <c r="D115" s="2">
        <f t="shared" ca="1" si="4"/>
        <v>59</v>
      </c>
      <c r="E115" t="s">
        <v>23</v>
      </c>
      <c r="F115" t="s">
        <v>169</v>
      </c>
      <c r="G115" t="s">
        <v>170</v>
      </c>
      <c r="H115" t="str">
        <f t="shared" si="5"/>
        <v>Maceió - AL</v>
      </c>
      <c r="I115" s="1" t="s">
        <v>575</v>
      </c>
      <c r="J115" s="3">
        <v>72</v>
      </c>
      <c r="K115" s="4">
        <f t="shared" si="6"/>
        <v>28.479886080455675</v>
      </c>
      <c r="L115" s="1" t="str">
        <f t="shared" si="7"/>
        <v>Levemente acima do peso</v>
      </c>
      <c r="M115" t="s">
        <v>76</v>
      </c>
    </row>
    <row r="116" spans="1:13" x14ac:dyDescent="0.25">
      <c r="A116">
        <v>115</v>
      </c>
      <c r="B116" t="s">
        <v>342</v>
      </c>
      <c r="C116" s="2" t="s">
        <v>343</v>
      </c>
      <c r="D116" s="2">
        <f t="shared" ca="1" si="4"/>
        <v>79</v>
      </c>
      <c r="E116" t="s">
        <v>23</v>
      </c>
      <c r="F116" t="s">
        <v>344</v>
      </c>
      <c r="G116" t="s">
        <v>55</v>
      </c>
      <c r="H116" t="str">
        <f t="shared" si="5"/>
        <v>Pato Branco - PR</v>
      </c>
      <c r="I116" s="1" t="s">
        <v>166</v>
      </c>
      <c r="J116" s="3">
        <v>62</v>
      </c>
      <c r="K116" s="4">
        <f t="shared" si="6"/>
        <v>21.9671201814059</v>
      </c>
      <c r="L116" s="1" t="str">
        <f t="shared" si="7"/>
        <v>Peso ideal - parabéns</v>
      </c>
      <c r="M116" t="s">
        <v>26</v>
      </c>
    </row>
    <row r="117" spans="1:13" x14ac:dyDescent="0.25">
      <c r="A117">
        <v>116</v>
      </c>
      <c r="B117" t="s">
        <v>1359</v>
      </c>
      <c r="C117" s="2" t="s">
        <v>1360</v>
      </c>
      <c r="D117" s="2">
        <f t="shared" ca="1" si="4"/>
        <v>57</v>
      </c>
      <c r="E117" t="s">
        <v>23</v>
      </c>
      <c r="F117" t="s">
        <v>1274</v>
      </c>
      <c r="G117" t="s">
        <v>51</v>
      </c>
      <c r="H117" t="str">
        <f t="shared" si="5"/>
        <v>Belford Roxo - RJ</v>
      </c>
      <c r="I117" s="1" t="s">
        <v>247</v>
      </c>
      <c r="J117" s="3">
        <v>60</v>
      </c>
      <c r="K117" s="4">
        <f t="shared" si="6"/>
        <v>26.666666666666668</v>
      </c>
      <c r="L117" s="1" t="str">
        <f t="shared" si="7"/>
        <v>Levemente acima do peso</v>
      </c>
      <c r="M117" t="s">
        <v>47</v>
      </c>
    </row>
    <row r="118" spans="1:13" x14ac:dyDescent="0.25">
      <c r="A118">
        <v>117</v>
      </c>
      <c r="B118" t="s">
        <v>3537</v>
      </c>
      <c r="C118" s="2" t="s">
        <v>3538</v>
      </c>
      <c r="D118" s="2">
        <f t="shared" ca="1" si="4"/>
        <v>70</v>
      </c>
      <c r="E118" t="s">
        <v>23</v>
      </c>
      <c r="F118" t="s">
        <v>147</v>
      </c>
      <c r="G118" t="s">
        <v>55</v>
      </c>
      <c r="H118" t="str">
        <f t="shared" si="5"/>
        <v>Londrina - PR</v>
      </c>
      <c r="I118" s="1" t="s">
        <v>575</v>
      </c>
      <c r="J118" s="3">
        <v>61</v>
      </c>
      <c r="K118" s="4">
        <f t="shared" si="6"/>
        <v>24.128792373719392</v>
      </c>
      <c r="L118" s="1" t="str">
        <f t="shared" si="7"/>
        <v>Peso ideal - parabéns</v>
      </c>
      <c r="M118" t="s">
        <v>14</v>
      </c>
    </row>
    <row r="119" spans="1:13" x14ac:dyDescent="0.25">
      <c r="A119">
        <v>118</v>
      </c>
      <c r="B119" t="s">
        <v>487</v>
      </c>
      <c r="C119" s="2" t="s">
        <v>488</v>
      </c>
      <c r="D119" s="2">
        <f t="shared" ca="1" si="4"/>
        <v>67</v>
      </c>
      <c r="E119" t="s">
        <v>23</v>
      </c>
      <c r="F119" t="s">
        <v>267</v>
      </c>
      <c r="G119" t="s">
        <v>103</v>
      </c>
      <c r="H119" t="str">
        <f t="shared" si="5"/>
        <v>São Paulo - SP</v>
      </c>
      <c r="I119" s="1" t="s">
        <v>179</v>
      </c>
      <c r="J119" s="3">
        <v>78</v>
      </c>
      <c r="K119" s="4">
        <f t="shared" si="6"/>
        <v>25.762980578676178</v>
      </c>
      <c r="L119" s="1" t="str">
        <f t="shared" si="7"/>
        <v>Levemente acima do peso</v>
      </c>
      <c r="M119" t="s">
        <v>26</v>
      </c>
    </row>
    <row r="120" spans="1:13" x14ac:dyDescent="0.25">
      <c r="A120">
        <v>119</v>
      </c>
      <c r="B120" t="s">
        <v>2073</v>
      </c>
      <c r="C120" s="2" t="s">
        <v>2074</v>
      </c>
      <c r="D120" s="2">
        <f t="shared" ca="1" si="4"/>
        <v>41</v>
      </c>
      <c r="E120" t="s">
        <v>23</v>
      </c>
      <c r="F120" t="s">
        <v>564</v>
      </c>
      <c r="G120" t="s">
        <v>565</v>
      </c>
      <c r="H120" t="str">
        <f t="shared" si="5"/>
        <v>Rio Branco - AC</v>
      </c>
      <c r="I120" s="1" t="s">
        <v>447</v>
      </c>
      <c r="J120" s="3">
        <v>52</v>
      </c>
      <c r="K120" s="4">
        <f t="shared" si="6"/>
        <v>16.979591836734695</v>
      </c>
      <c r="L120" s="1" t="str">
        <f t="shared" si="7"/>
        <v>Muito abaixo do peso</v>
      </c>
      <c r="M120" t="s">
        <v>26</v>
      </c>
    </row>
    <row r="121" spans="1:13" x14ac:dyDescent="0.25">
      <c r="A121">
        <v>120</v>
      </c>
      <c r="B121" t="s">
        <v>2062</v>
      </c>
      <c r="C121" s="2" t="s">
        <v>2063</v>
      </c>
      <c r="D121" s="2">
        <f t="shared" ca="1" si="4"/>
        <v>43</v>
      </c>
      <c r="E121" t="s">
        <v>10</v>
      </c>
      <c r="F121" t="s">
        <v>236</v>
      </c>
      <c r="G121" t="s">
        <v>237</v>
      </c>
      <c r="H121" t="str">
        <f t="shared" si="5"/>
        <v>Teresina - PI</v>
      </c>
      <c r="I121" s="1" t="s">
        <v>31</v>
      </c>
      <c r="J121" s="3">
        <v>73</v>
      </c>
      <c r="K121" s="4">
        <f t="shared" si="6"/>
        <v>27.141582391433676</v>
      </c>
      <c r="L121" s="1" t="str">
        <f t="shared" si="7"/>
        <v>Levemente acima do peso</v>
      </c>
      <c r="M121" t="s">
        <v>32</v>
      </c>
    </row>
    <row r="122" spans="1:13" x14ac:dyDescent="0.25">
      <c r="A122">
        <v>121</v>
      </c>
      <c r="B122" t="s">
        <v>172</v>
      </c>
      <c r="C122" s="2" t="s">
        <v>173</v>
      </c>
      <c r="D122" s="2">
        <f t="shared" ca="1" si="4"/>
        <v>44</v>
      </c>
      <c r="E122" t="s">
        <v>10</v>
      </c>
      <c r="F122" t="s">
        <v>174</v>
      </c>
      <c r="G122" t="s">
        <v>175</v>
      </c>
      <c r="H122" t="str">
        <f t="shared" si="5"/>
        <v>Igarassu - PE</v>
      </c>
      <c r="I122" s="1" t="s">
        <v>108</v>
      </c>
      <c r="J122" s="3">
        <v>91</v>
      </c>
      <c r="K122" s="4">
        <f t="shared" si="6"/>
        <v>24.944491653189331</v>
      </c>
      <c r="L122" s="1" t="str">
        <f t="shared" si="7"/>
        <v>Peso ideal - parabéns</v>
      </c>
      <c r="M122" t="s">
        <v>83</v>
      </c>
    </row>
    <row r="123" spans="1:13" x14ac:dyDescent="0.25">
      <c r="A123">
        <v>122</v>
      </c>
      <c r="B123" t="s">
        <v>3309</v>
      </c>
      <c r="C123" s="2" t="s">
        <v>3310</v>
      </c>
      <c r="D123" s="2">
        <f t="shared" ca="1" si="4"/>
        <v>29</v>
      </c>
      <c r="E123" t="s">
        <v>10</v>
      </c>
      <c r="F123" t="s">
        <v>153</v>
      </c>
      <c r="G123" t="s">
        <v>154</v>
      </c>
      <c r="H123" t="str">
        <f t="shared" si="5"/>
        <v>Manaus - AM</v>
      </c>
      <c r="I123" s="1" t="s">
        <v>86</v>
      </c>
      <c r="J123" s="3">
        <v>100</v>
      </c>
      <c r="K123" s="4">
        <f t="shared" si="6"/>
        <v>30.524098775983639</v>
      </c>
      <c r="L123" s="1" t="str">
        <f t="shared" si="7"/>
        <v>Obesidade grau I</v>
      </c>
      <c r="M123" t="s">
        <v>76</v>
      </c>
    </row>
    <row r="124" spans="1:13" x14ac:dyDescent="0.25">
      <c r="A124">
        <v>123</v>
      </c>
      <c r="B124" t="s">
        <v>1142</v>
      </c>
      <c r="C124" s="2" t="s">
        <v>1143</v>
      </c>
      <c r="D124" s="2">
        <f t="shared" ca="1" si="4"/>
        <v>79</v>
      </c>
      <c r="E124" t="s">
        <v>10</v>
      </c>
      <c r="F124" t="s">
        <v>457</v>
      </c>
      <c r="G124" t="s">
        <v>41</v>
      </c>
      <c r="H124" t="str">
        <f t="shared" si="5"/>
        <v>João Pessoa - PB</v>
      </c>
      <c r="I124" s="1" t="s">
        <v>318</v>
      </c>
      <c r="J124" s="3">
        <v>58</v>
      </c>
      <c r="K124" s="4">
        <f t="shared" si="6"/>
        <v>15.733506944444445</v>
      </c>
      <c r="L124" s="1" t="str">
        <f t="shared" si="7"/>
        <v>Muito abaixo do peso</v>
      </c>
      <c r="M124" t="s">
        <v>95</v>
      </c>
    </row>
    <row r="125" spans="1:13" x14ac:dyDescent="0.25">
      <c r="A125">
        <v>124</v>
      </c>
      <c r="B125" t="s">
        <v>1949</v>
      </c>
      <c r="C125" s="2" t="s">
        <v>1950</v>
      </c>
      <c r="D125" s="2">
        <f t="shared" ca="1" si="4"/>
        <v>73</v>
      </c>
      <c r="E125" t="s">
        <v>10</v>
      </c>
      <c r="F125" t="s">
        <v>24</v>
      </c>
      <c r="G125" t="s">
        <v>25</v>
      </c>
      <c r="H125" t="str">
        <f t="shared" si="5"/>
        <v>Natal - RN</v>
      </c>
      <c r="I125" s="1" t="s">
        <v>179</v>
      </c>
      <c r="J125" s="3">
        <v>105</v>
      </c>
      <c r="K125" s="4">
        <f t="shared" si="6"/>
        <v>34.68093539437178</v>
      </c>
      <c r="L125" s="1" t="str">
        <f t="shared" si="7"/>
        <v>Obesidade grau I</v>
      </c>
      <c r="M125" t="s">
        <v>26</v>
      </c>
    </row>
    <row r="126" spans="1:13" x14ac:dyDescent="0.25">
      <c r="A126">
        <v>125</v>
      </c>
      <c r="B126" t="s">
        <v>3027</v>
      </c>
      <c r="C126" s="2" t="s">
        <v>3014</v>
      </c>
      <c r="D126" s="2">
        <f t="shared" ca="1" si="4"/>
        <v>55</v>
      </c>
      <c r="E126" t="s">
        <v>10</v>
      </c>
      <c r="F126" t="s">
        <v>74</v>
      </c>
      <c r="G126" t="s">
        <v>75</v>
      </c>
      <c r="H126" t="str">
        <f t="shared" si="5"/>
        <v>Macapá - AP</v>
      </c>
      <c r="I126" s="1" t="s">
        <v>71</v>
      </c>
      <c r="J126" s="3">
        <v>87</v>
      </c>
      <c r="K126" s="4">
        <f t="shared" si="6"/>
        <v>25.978679566424791</v>
      </c>
      <c r="L126" s="1" t="str">
        <f t="shared" si="7"/>
        <v>Levemente acima do peso</v>
      </c>
      <c r="M126" t="s">
        <v>14</v>
      </c>
    </row>
    <row r="127" spans="1:13" x14ac:dyDescent="0.25">
      <c r="A127">
        <v>126</v>
      </c>
      <c r="B127" t="s">
        <v>2627</v>
      </c>
      <c r="C127" s="2" t="s">
        <v>2628</v>
      </c>
      <c r="D127" s="2">
        <f t="shared" ca="1" si="4"/>
        <v>35</v>
      </c>
      <c r="E127" t="s">
        <v>10</v>
      </c>
      <c r="F127" t="s">
        <v>147</v>
      </c>
      <c r="G127" t="s">
        <v>55</v>
      </c>
      <c r="H127" t="str">
        <f t="shared" si="5"/>
        <v>Londrina - PR</v>
      </c>
      <c r="I127" s="1" t="s">
        <v>155</v>
      </c>
      <c r="J127" s="3">
        <v>97</v>
      </c>
      <c r="K127" s="4">
        <f t="shared" si="6"/>
        <v>29.283902910276534</v>
      </c>
      <c r="L127" s="1" t="str">
        <f t="shared" si="7"/>
        <v>Levemente acima do peso</v>
      </c>
      <c r="M127" t="s">
        <v>83</v>
      </c>
    </row>
    <row r="128" spans="1:13" x14ac:dyDescent="0.25">
      <c r="A128">
        <v>127</v>
      </c>
      <c r="B128" t="s">
        <v>2607</v>
      </c>
      <c r="C128" s="2" t="s">
        <v>2608</v>
      </c>
      <c r="D128" s="2">
        <f t="shared" ca="1" si="4"/>
        <v>64</v>
      </c>
      <c r="E128" t="s">
        <v>10</v>
      </c>
      <c r="F128" t="s">
        <v>169</v>
      </c>
      <c r="G128" t="s">
        <v>170</v>
      </c>
      <c r="H128" t="str">
        <f t="shared" si="5"/>
        <v>Maceió - AL</v>
      </c>
      <c r="I128" s="1" t="s">
        <v>42</v>
      </c>
      <c r="J128" s="3">
        <v>83</v>
      </c>
      <c r="K128" s="4">
        <f t="shared" si="6"/>
        <v>25.904310102680942</v>
      </c>
      <c r="L128" s="1" t="str">
        <f t="shared" si="7"/>
        <v>Levemente acima do peso</v>
      </c>
      <c r="M128" t="s">
        <v>76</v>
      </c>
    </row>
    <row r="129" spans="1:13" x14ac:dyDescent="0.25">
      <c r="A129">
        <v>128</v>
      </c>
      <c r="B129" t="s">
        <v>381</v>
      </c>
      <c r="C129" s="2" t="s">
        <v>382</v>
      </c>
      <c r="D129" s="2">
        <f t="shared" ca="1" si="4"/>
        <v>46</v>
      </c>
      <c r="E129" t="s">
        <v>10</v>
      </c>
      <c r="F129" t="s">
        <v>383</v>
      </c>
      <c r="G129" t="s">
        <v>237</v>
      </c>
      <c r="H129" t="str">
        <f t="shared" si="5"/>
        <v>Parnaíba - PI</v>
      </c>
      <c r="I129" s="1" t="s">
        <v>191</v>
      </c>
      <c r="J129" s="3">
        <v>56</v>
      </c>
      <c r="K129" s="4">
        <f t="shared" si="6"/>
        <v>21.874999999999996</v>
      </c>
      <c r="L129" s="1" t="str">
        <f t="shared" si="7"/>
        <v>Peso ideal - parabéns</v>
      </c>
      <c r="M129" t="s">
        <v>20</v>
      </c>
    </row>
    <row r="130" spans="1:13" x14ac:dyDescent="0.25">
      <c r="A130">
        <v>129</v>
      </c>
      <c r="B130" t="s">
        <v>3590</v>
      </c>
      <c r="C130" s="2" t="s">
        <v>3591</v>
      </c>
      <c r="D130" s="2">
        <f t="shared" ca="1" si="4"/>
        <v>37</v>
      </c>
      <c r="E130" t="s">
        <v>10</v>
      </c>
      <c r="F130" t="s">
        <v>760</v>
      </c>
      <c r="G130" t="s">
        <v>310</v>
      </c>
      <c r="H130" t="str">
        <f t="shared" si="5"/>
        <v>São Leopoldo - RS</v>
      </c>
      <c r="I130" s="1" t="s">
        <v>104</v>
      </c>
      <c r="J130" s="3">
        <v>80</v>
      </c>
      <c r="K130" s="4">
        <f t="shared" si="6"/>
        <v>27.681660899653981</v>
      </c>
      <c r="L130" s="1" t="str">
        <f t="shared" si="7"/>
        <v>Levemente acima do peso</v>
      </c>
      <c r="M130" t="s">
        <v>76</v>
      </c>
    </row>
    <row r="131" spans="1:13" x14ac:dyDescent="0.25">
      <c r="A131">
        <v>130</v>
      </c>
      <c r="B131" t="s">
        <v>871</v>
      </c>
      <c r="C131" s="2" t="s">
        <v>872</v>
      </c>
      <c r="D131" s="2">
        <f t="shared" ref="D131:D194" ca="1" si="8">YEAR(TODAY())-YEAR(C131)</f>
        <v>42</v>
      </c>
      <c r="E131" t="s">
        <v>10</v>
      </c>
      <c r="F131" t="s">
        <v>873</v>
      </c>
      <c r="G131" t="s">
        <v>51</v>
      </c>
      <c r="H131" t="str">
        <f t="shared" ref="H131:H194" si="9">CONCATENATE(F131," - ",G131)</f>
        <v>Duque de Caxias - RJ</v>
      </c>
      <c r="I131" s="1" t="s">
        <v>90</v>
      </c>
      <c r="J131" s="3">
        <v>105</v>
      </c>
      <c r="K131" s="4">
        <f t="shared" ref="K131:K194" si="10">J131/(I131*I131)</f>
        <v>35.492157923201731</v>
      </c>
      <c r="L131" s="1" t="str">
        <f t="shared" ref="L131:L194" si="11">IF(K131&gt;=40,"Obesidade grau III - mórbida",
IF(K131&gt;=35,"Obesidade grau II - severa",
IF(K131&gt;=30,"Obesidade grau I",
IF(K131&gt;=25,"Levemente acima do peso",
IF(K131&gt;=18.6,"Peso ideal - parabéns",
IF(K131&gt;=17,"Abaixo do peso",
"Muito abaixo do peso"))))))</f>
        <v>Obesidade grau II - severa</v>
      </c>
      <c r="M131" t="s">
        <v>76</v>
      </c>
    </row>
    <row r="132" spans="1:13" x14ac:dyDescent="0.25">
      <c r="A132">
        <v>131</v>
      </c>
      <c r="B132" t="s">
        <v>1096</v>
      </c>
      <c r="C132" s="2" t="s">
        <v>1097</v>
      </c>
      <c r="D132" s="2">
        <f t="shared" ca="1" si="8"/>
        <v>70</v>
      </c>
      <c r="E132" t="s">
        <v>10</v>
      </c>
      <c r="F132" t="s">
        <v>107</v>
      </c>
      <c r="G132" t="s">
        <v>36</v>
      </c>
      <c r="H132" t="str">
        <f t="shared" si="9"/>
        <v>São Luís - MA</v>
      </c>
      <c r="I132" s="1" t="s">
        <v>416</v>
      </c>
      <c r="J132" s="3">
        <v>101</v>
      </c>
      <c r="K132" s="4">
        <f t="shared" si="10"/>
        <v>38.964546120905823</v>
      </c>
      <c r="L132" s="1" t="str">
        <f t="shared" si="11"/>
        <v>Obesidade grau II - severa</v>
      </c>
      <c r="M132" t="s">
        <v>14</v>
      </c>
    </row>
    <row r="133" spans="1:13" x14ac:dyDescent="0.25">
      <c r="A133">
        <v>132</v>
      </c>
      <c r="B133" t="s">
        <v>2138</v>
      </c>
      <c r="C133" s="2" t="s">
        <v>2139</v>
      </c>
      <c r="D133" s="2">
        <f t="shared" ca="1" si="8"/>
        <v>76</v>
      </c>
      <c r="E133" t="s">
        <v>10</v>
      </c>
      <c r="F133" t="s">
        <v>231</v>
      </c>
      <c r="G133" t="s">
        <v>18</v>
      </c>
      <c r="H133" t="str">
        <f t="shared" si="9"/>
        <v>Ponta Porã - MS</v>
      </c>
      <c r="I133" s="1" t="s">
        <v>117</v>
      </c>
      <c r="J133" s="3">
        <v>103</v>
      </c>
      <c r="K133" s="4">
        <f t="shared" si="10"/>
        <v>32.508521651306651</v>
      </c>
      <c r="L133" s="1" t="str">
        <f t="shared" si="11"/>
        <v>Obesidade grau I</v>
      </c>
      <c r="M133" t="s">
        <v>83</v>
      </c>
    </row>
    <row r="134" spans="1:13" x14ac:dyDescent="0.25">
      <c r="A134">
        <v>133</v>
      </c>
      <c r="B134" t="s">
        <v>2527</v>
      </c>
      <c r="C134" s="2" t="s">
        <v>2528</v>
      </c>
      <c r="D134" s="2">
        <f t="shared" ca="1" si="8"/>
        <v>62</v>
      </c>
      <c r="E134" t="s">
        <v>10</v>
      </c>
      <c r="F134" t="s">
        <v>126</v>
      </c>
      <c r="G134" t="s">
        <v>127</v>
      </c>
      <c r="H134" t="str">
        <f t="shared" si="9"/>
        <v>Boa Vista - RR</v>
      </c>
      <c r="I134" s="1" t="s">
        <v>132</v>
      </c>
      <c r="J134" s="3">
        <v>76</v>
      </c>
      <c r="K134" s="4">
        <f t="shared" si="10"/>
        <v>21.733535417083701</v>
      </c>
      <c r="L134" s="1" t="str">
        <f t="shared" si="11"/>
        <v>Peso ideal - parabéns</v>
      </c>
      <c r="M134" t="s">
        <v>95</v>
      </c>
    </row>
    <row r="135" spans="1:13" x14ac:dyDescent="0.25">
      <c r="A135">
        <v>134</v>
      </c>
      <c r="B135" t="s">
        <v>287</v>
      </c>
      <c r="C135" s="2" t="s">
        <v>288</v>
      </c>
      <c r="D135" s="2">
        <f t="shared" ca="1" si="8"/>
        <v>67</v>
      </c>
      <c r="E135" t="s">
        <v>10</v>
      </c>
      <c r="F135" t="s">
        <v>189</v>
      </c>
      <c r="G135" t="s">
        <v>190</v>
      </c>
      <c r="H135" t="str">
        <f t="shared" si="9"/>
        <v>Cuiabá - MT</v>
      </c>
      <c r="I135" s="1" t="s">
        <v>218</v>
      </c>
      <c r="J135" s="3">
        <v>63</v>
      </c>
      <c r="K135" s="4">
        <f t="shared" si="10"/>
        <v>16.913205723643589</v>
      </c>
      <c r="L135" s="1" t="str">
        <f t="shared" si="11"/>
        <v>Muito abaixo do peso</v>
      </c>
      <c r="M135" t="s">
        <v>95</v>
      </c>
    </row>
    <row r="136" spans="1:13" x14ac:dyDescent="0.25">
      <c r="A136">
        <v>135</v>
      </c>
      <c r="B136" t="s">
        <v>2285</v>
      </c>
      <c r="C136" s="2" t="s">
        <v>2286</v>
      </c>
      <c r="D136" s="2">
        <f t="shared" ca="1" si="8"/>
        <v>62</v>
      </c>
      <c r="E136" t="s">
        <v>23</v>
      </c>
      <c r="F136" t="s">
        <v>383</v>
      </c>
      <c r="G136" t="s">
        <v>237</v>
      </c>
      <c r="H136" t="str">
        <f t="shared" si="9"/>
        <v>Parnaíba - PI</v>
      </c>
      <c r="I136" s="1" t="s">
        <v>42</v>
      </c>
      <c r="J136" s="3">
        <v>64</v>
      </c>
      <c r="K136" s="4">
        <f t="shared" si="10"/>
        <v>19.97440779001904</v>
      </c>
      <c r="L136" s="1" t="str">
        <f t="shared" si="11"/>
        <v>Peso ideal - parabéns</v>
      </c>
      <c r="M136" t="s">
        <v>14</v>
      </c>
    </row>
    <row r="137" spans="1:13" x14ac:dyDescent="0.25">
      <c r="A137">
        <v>136</v>
      </c>
      <c r="B137" t="s">
        <v>3213</v>
      </c>
      <c r="C137" s="2" t="s">
        <v>3214</v>
      </c>
      <c r="D137" s="2">
        <f t="shared" ca="1" si="8"/>
        <v>69</v>
      </c>
      <c r="E137" t="s">
        <v>23</v>
      </c>
      <c r="F137" t="s">
        <v>3215</v>
      </c>
      <c r="G137" t="s">
        <v>55</v>
      </c>
      <c r="H137" t="str">
        <f t="shared" si="9"/>
        <v>Sarandi - PR</v>
      </c>
      <c r="I137" s="1" t="s">
        <v>194</v>
      </c>
      <c r="J137" s="3">
        <v>53</v>
      </c>
      <c r="K137" s="4">
        <f t="shared" si="10"/>
        <v>15.485756026296565</v>
      </c>
      <c r="L137" s="1" t="str">
        <f t="shared" si="11"/>
        <v>Muito abaixo do peso</v>
      </c>
      <c r="M137" t="s">
        <v>76</v>
      </c>
    </row>
    <row r="138" spans="1:13" x14ac:dyDescent="0.25">
      <c r="A138">
        <v>137</v>
      </c>
      <c r="B138" t="s">
        <v>1375</v>
      </c>
      <c r="C138" s="2" t="s">
        <v>1376</v>
      </c>
      <c r="D138" s="2">
        <f t="shared" ca="1" si="8"/>
        <v>58</v>
      </c>
      <c r="E138" t="s">
        <v>23</v>
      </c>
      <c r="F138" t="s">
        <v>126</v>
      </c>
      <c r="G138" t="s">
        <v>127</v>
      </c>
      <c r="H138" t="str">
        <f t="shared" si="9"/>
        <v>Boa Vista - RR</v>
      </c>
      <c r="I138" s="1" t="s">
        <v>160</v>
      </c>
      <c r="J138" s="3">
        <v>68</v>
      </c>
      <c r="K138" s="4">
        <f t="shared" si="10"/>
        <v>20.085066162570886</v>
      </c>
      <c r="L138" s="1" t="str">
        <f t="shared" si="11"/>
        <v>Peso ideal - parabéns</v>
      </c>
      <c r="M138" t="s">
        <v>14</v>
      </c>
    </row>
    <row r="139" spans="1:13" x14ac:dyDescent="0.25">
      <c r="A139">
        <v>138</v>
      </c>
      <c r="B139" t="s">
        <v>1585</v>
      </c>
      <c r="C139" s="2" t="s">
        <v>1586</v>
      </c>
      <c r="D139" s="2">
        <f t="shared" ca="1" si="8"/>
        <v>67</v>
      </c>
      <c r="E139" t="s">
        <v>23</v>
      </c>
      <c r="F139" t="s">
        <v>17</v>
      </c>
      <c r="G139" t="s">
        <v>18</v>
      </c>
      <c r="H139" t="str">
        <f t="shared" si="9"/>
        <v>Campo Grande - MS</v>
      </c>
      <c r="I139" s="1" t="s">
        <v>247</v>
      </c>
      <c r="J139" s="3">
        <v>86</v>
      </c>
      <c r="K139" s="4">
        <f t="shared" si="10"/>
        <v>38.222222222222221</v>
      </c>
      <c r="L139" s="1" t="str">
        <f t="shared" si="11"/>
        <v>Obesidade grau II - severa</v>
      </c>
      <c r="M139" t="s">
        <v>32</v>
      </c>
    </row>
    <row r="140" spans="1:13" x14ac:dyDescent="0.25">
      <c r="A140">
        <v>139</v>
      </c>
      <c r="B140" t="s">
        <v>136</v>
      </c>
      <c r="C140" s="2" t="s">
        <v>137</v>
      </c>
      <c r="D140" s="2">
        <f t="shared" ca="1" si="8"/>
        <v>52</v>
      </c>
      <c r="E140" t="s">
        <v>23</v>
      </c>
      <c r="F140" t="s">
        <v>138</v>
      </c>
      <c r="G140" t="s">
        <v>46</v>
      </c>
      <c r="H140" t="str">
        <f t="shared" si="9"/>
        <v>Aparecida de Goiânia - GO</v>
      </c>
      <c r="I140" s="1" t="s">
        <v>117</v>
      </c>
      <c r="J140" s="3">
        <v>50</v>
      </c>
      <c r="K140" s="4">
        <f t="shared" si="10"/>
        <v>15.780835753061481</v>
      </c>
      <c r="L140" s="1" t="str">
        <f t="shared" si="11"/>
        <v>Muito abaixo do peso</v>
      </c>
      <c r="M140" t="s">
        <v>14</v>
      </c>
    </row>
    <row r="141" spans="1:13" x14ac:dyDescent="0.25">
      <c r="A141">
        <v>140</v>
      </c>
      <c r="B141" t="s">
        <v>1385</v>
      </c>
      <c r="C141" s="2" t="s">
        <v>1386</v>
      </c>
      <c r="D141" s="2">
        <f t="shared" ca="1" si="8"/>
        <v>76</v>
      </c>
      <c r="E141" t="s">
        <v>23</v>
      </c>
      <c r="F141" t="s">
        <v>241</v>
      </c>
      <c r="G141" t="s">
        <v>190</v>
      </c>
      <c r="H141" t="str">
        <f t="shared" si="9"/>
        <v>Várzea Grande - MT</v>
      </c>
      <c r="I141" s="1" t="s">
        <v>205</v>
      </c>
      <c r="J141" s="3">
        <v>73</v>
      </c>
      <c r="K141" s="4">
        <f t="shared" si="10"/>
        <v>31.184587124610193</v>
      </c>
      <c r="L141" s="1" t="str">
        <f t="shared" si="11"/>
        <v>Obesidade grau I</v>
      </c>
      <c r="M141" t="s">
        <v>47</v>
      </c>
    </row>
    <row r="142" spans="1:13" x14ac:dyDescent="0.25">
      <c r="A142">
        <v>141</v>
      </c>
      <c r="B142" t="s">
        <v>1984</v>
      </c>
      <c r="C142" s="2" t="s">
        <v>1985</v>
      </c>
      <c r="D142" s="2">
        <f t="shared" ca="1" si="8"/>
        <v>45</v>
      </c>
      <c r="E142" t="s">
        <v>23</v>
      </c>
      <c r="F142" t="s">
        <v>204</v>
      </c>
      <c r="G142" t="s">
        <v>112</v>
      </c>
      <c r="H142" t="str">
        <f t="shared" si="9"/>
        <v>Belém - PA</v>
      </c>
      <c r="I142" s="1" t="s">
        <v>205</v>
      </c>
      <c r="J142" s="3">
        <v>72</v>
      </c>
      <c r="K142" s="4">
        <f t="shared" si="10"/>
        <v>30.757400999615534</v>
      </c>
      <c r="L142" s="1" t="str">
        <f t="shared" si="11"/>
        <v>Obesidade grau I</v>
      </c>
      <c r="M142" t="s">
        <v>26</v>
      </c>
    </row>
    <row r="143" spans="1:13" x14ac:dyDescent="0.25">
      <c r="A143">
        <v>142</v>
      </c>
      <c r="B143" t="s">
        <v>3657</v>
      </c>
      <c r="C143" s="2" t="s">
        <v>3468</v>
      </c>
      <c r="D143" s="2">
        <f t="shared" ca="1" si="8"/>
        <v>62</v>
      </c>
      <c r="E143" t="s">
        <v>23</v>
      </c>
      <c r="F143" t="s">
        <v>498</v>
      </c>
      <c r="G143" t="s">
        <v>131</v>
      </c>
      <c r="H143" t="str">
        <f t="shared" si="9"/>
        <v>Florianópolis - SC</v>
      </c>
      <c r="I143" s="1" t="s">
        <v>447</v>
      </c>
      <c r="J143" s="3">
        <v>54</v>
      </c>
      <c r="K143" s="4">
        <f t="shared" si="10"/>
        <v>17.632653061224488</v>
      </c>
      <c r="L143" s="1" t="str">
        <f t="shared" si="11"/>
        <v>Abaixo do peso</v>
      </c>
      <c r="M143" t="s">
        <v>32</v>
      </c>
    </row>
    <row r="144" spans="1:13" x14ac:dyDescent="0.25">
      <c r="A144">
        <v>143</v>
      </c>
      <c r="B144" t="s">
        <v>3218</v>
      </c>
      <c r="C144" s="2" t="s">
        <v>3219</v>
      </c>
      <c r="D144" s="2">
        <f t="shared" ca="1" si="8"/>
        <v>62</v>
      </c>
      <c r="E144" t="s">
        <v>23</v>
      </c>
      <c r="F144" t="s">
        <v>169</v>
      </c>
      <c r="G144" t="s">
        <v>170</v>
      </c>
      <c r="H144" t="str">
        <f t="shared" si="9"/>
        <v>Maceió - AL</v>
      </c>
      <c r="I144" s="1" t="s">
        <v>209</v>
      </c>
      <c r="J144" s="3">
        <v>74</v>
      </c>
      <c r="K144" s="4">
        <f t="shared" si="10"/>
        <v>31.20256367009614</v>
      </c>
      <c r="L144" s="1" t="str">
        <f t="shared" si="11"/>
        <v>Obesidade grau I</v>
      </c>
      <c r="M144" t="s">
        <v>26</v>
      </c>
    </row>
    <row r="145" spans="1:13" x14ac:dyDescent="0.25">
      <c r="A145">
        <v>144</v>
      </c>
      <c r="B145" t="s">
        <v>1101</v>
      </c>
      <c r="C145" s="2" t="s">
        <v>1102</v>
      </c>
      <c r="D145" s="2">
        <f t="shared" ca="1" si="8"/>
        <v>39</v>
      </c>
      <c r="E145" t="s">
        <v>10</v>
      </c>
      <c r="F145" t="s">
        <v>24</v>
      </c>
      <c r="G145" t="s">
        <v>25</v>
      </c>
      <c r="H145" t="str">
        <f t="shared" si="9"/>
        <v>Natal - RN</v>
      </c>
      <c r="I145" s="1" t="s">
        <v>61</v>
      </c>
      <c r="J145" s="3">
        <v>93</v>
      </c>
      <c r="K145" s="4">
        <f t="shared" si="10"/>
        <v>26.035105400184765</v>
      </c>
      <c r="L145" s="1" t="str">
        <f t="shared" si="11"/>
        <v>Levemente acima do peso</v>
      </c>
      <c r="M145" t="s">
        <v>47</v>
      </c>
    </row>
    <row r="146" spans="1:13" x14ac:dyDescent="0.25">
      <c r="A146">
        <v>145</v>
      </c>
      <c r="B146" t="s">
        <v>2786</v>
      </c>
      <c r="C146" s="2" t="s">
        <v>2787</v>
      </c>
      <c r="D146" s="2">
        <f t="shared" ca="1" si="8"/>
        <v>34</v>
      </c>
      <c r="E146" t="s">
        <v>10</v>
      </c>
      <c r="F146" t="s">
        <v>383</v>
      </c>
      <c r="G146" t="s">
        <v>237</v>
      </c>
      <c r="H146" t="str">
        <f t="shared" si="9"/>
        <v>Parnaíba - PI</v>
      </c>
      <c r="I146" s="1" t="s">
        <v>160</v>
      </c>
      <c r="J146" s="3">
        <v>97</v>
      </c>
      <c r="K146" s="4">
        <f t="shared" si="10"/>
        <v>28.650756143667294</v>
      </c>
      <c r="L146" s="1" t="str">
        <f t="shared" si="11"/>
        <v>Levemente acima do peso</v>
      </c>
      <c r="M146" t="s">
        <v>76</v>
      </c>
    </row>
    <row r="147" spans="1:13" x14ac:dyDescent="0.25">
      <c r="A147">
        <v>146</v>
      </c>
      <c r="B147" t="s">
        <v>408</v>
      </c>
      <c r="C147" s="2" t="s">
        <v>409</v>
      </c>
      <c r="D147" s="2">
        <f t="shared" ca="1" si="8"/>
        <v>33</v>
      </c>
      <c r="E147" t="s">
        <v>10</v>
      </c>
      <c r="F147" t="s">
        <v>410</v>
      </c>
      <c r="G147" t="s">
        <v>310</v>
      </c>
      <c r="H147" t="str">
        <f t="shared" si="9"/>
        <v>Canoas - RS</v>
      </c>
      <c r="I147" s="1" t="s">
        <v>66</v>
      </c>
      <c r="J147" s="3">
        <v>105</v>
      </c>
      <c r="K147" s="4">
        <f t="shared" si="10"/>
        <v>29.708012675418743</v>
      </c>
      <c r="L147" s="1" t="str">
        <f t="shared" si="11"/>
        <v>Levemente acima do peso</v>
      </c>
      <c r="M147" t="s">
        <v>20</v>
      </c>
    </row>
    <row r="148" spans="1:13" x14ac:dyDescent="0.25">
      <c r="A148">
        <v>147</v>
      </c>
      <c r="B148" t="s">
        <v>3978</v>
      </c>
      <c r="C148" s="2" t="s">
        <v>1964</v>
      </c>
      <c r="D148" s="2">
        <f t="shared" ca="1" si="8"/>
        <v>43</v>
      </c>
      <c r="E148" t="s">
        <v>10</v>
      </c>
      <c r="F148" t="s">
        <v>457</v>
      </c>
      <c r="G148" t="s">
        <v>41</v>
      </c>
      <c r="H148" t="str">
        <f t="shared" si="9"/>
        <v>João Pessoa - PB</v>
      </c>
      <c r="I148" s="1" t="s">
        <v>400</v>
      </c>
      <c r="J148" s="3">
        <v>72</v>
      </c>
      <c r="K148" s="4">
        <f t="shared" si="10"/>
        <v>22.222222222222221</v>
      </c>
      <c r="L148" s="1" t="str">
        <f t="shared" si="11"/>
        <v>Peso ideal - parabéns</v>
      </c>
      <c r="M148" t="s">
        <v>14</v>
      </c>
    </row>
    <row r="149" spans="1:13" x14ac:dyDescent="0.25">
      <c r="A149">
        <v>148</v>
      </c>
      <c r="B149" t="s">
        <v>2763</v>
      </c>
      <c r="C149" s="2" t="s">
        <v>2764</v>
      </c>
      <c r="D149" s="2">
        <f t="shared" ca="1" si="8"/>
        <v>29</v>
      </c>
      <c r="E149" t="s">
        <v>10</v>
      </c>
      <c r="F149" t="s">
        <v>89</v>
      </c>
      <c r="G149" t="s">
        <v>12</v>
      </c>
      <c r="H149" t="str">
        <f t="shared" si="9"/>
        <v>Fortaleza - CE</v>
      </c>
      <c r="I149" s="1" t="s">
        <v>286</v>
      </c>
      <c r="J149" s="3">
        <v>87</v>
      </c>
      <c r="K149" s="4">
        <f t="shared" si="10"/>
        <v>31.955922865013779</v>
      </c>
      <c r="L149" s="1" t="str">
        <f t="shared" si="11"/>
        <v>Obesidade grau I</v>
      </c>
      <c r="M149" t="s">
        <v>95</v>
      </c>
    </row>
    <row r="150" spans="1:13" x14ac:dyDescent="0.25">
      <c r="A150">
        <v>149</v>
      </c>
      <c r="B150" t="s">
        <v>3257</v>
      </c>
      <c r="C150" s="2" t="s">
        <v>655</v>
      </c>
      <c r="D150" s="2">
        <f t="shared" ca="1" si="8"/>
        <v>31</v>
      </c>
      <c r="E150" t="s">
        <v>10</v>
      </c>
      <c r="F150" t="s">
        <v>69</v>
      </c>
      <c r="G150" t="s">
        <v>70</v>
      </c>
      <c r="H150" t="str">
        <f t="shared" si="9"/>
        <v>Aracaju - SE</v>
      </c>
      <c r="I150" s="1" t="s">
        <v>37</v>
      </c>
      <c r="J150" s="3">
        <v>60</v>
      </c>
      <c r="K150" s="4">
        <f t="shared" si="10"/>
        <v>15.46033136643562</v>
      </c>
      <c r="L150" s="1" t="str">
        <f t="shared" si="11"/>
        <v>Muito abaixo do peso</v>
      </c>
      <c r="M150" t="s">
        <v>20</v>
      </c>
    </row>
    <row r="151" spans="1:13" x14ac:dyDescent="0.25">
      <c r="A151">
        <v>150</v>
      </c>
      <c r="B151" t="s">
        <v>1373</v>
      </c>
      <c r="C151" s="2" t="s">
        <v>1374</v>
      </c>
      <c r="D151" s="2">
        <f t="shared" ca="1" si="8"/>
        <v>20</v>
      </c>
      <c r="E151" t="s">
        <v>10</v>
      </c>
      <c r="F151" t="s">
        <v>354</v>
      </c>
      <c r="G151" t="s">
        <v>30</v>
      </c>
      <c r="H151" t="str">
        <f t="shared" si="9"/>
        <v>Porto Velho - RO</v>
      </c>
      <c r="I151" s="1" t="s">
        <v>262</v>
      </c>
      <c r="J151" s="3">
        <v>97</v>
      </c>
      <c r="K151" s="4">
        <f t="shared" si="10"/>
        <v>26.869806094182827</v>
      </c>
      <c r="L151" s="1" t="str">
        <f t="shared" si="11"/>
        <v>Levemente acima do peso</v>
      </c>
      <c r="M151" t="s">
        <v>47</v>
      </c>
    </row>
    <row r="152" spans="1:13" x14ac:dyDescent="0.25">
      <c r="A152">
        <v>151</v>
      </c>
      <c r="B152" t="s">
        <v>1988</v>
      </c>
      <c r="C152" s="2" t="s">
        <v>1989</v>
      </c>
      <c r="D152" s="2">
        <f t="shared" ca="1" si="8"/>
        <v>79</v>
      </c>
      <c r="E152" t="s">
        <v>10</v>
      </c>
      <c r="F152" t="s">
        <v>50</v>
      </c>
      <c r="G152" t="s">
        <v>51</v>
      </c>
      <c r="H152" t="str">
        <f t="shared" si="9"/>
        <v>Magé - RJ</v>
      </c>
      <c r="I152" s="1" t="s">
        <v>61</v>
      </c>
      <c r="J152" s="3">
        <v>63</v>
      </c>
      <c r="K152" s="4">
        <f t="shared" si="10"/>
        <v>17.636684303350972</v>
      </c>
      <c r="L152" s="1" t="str">
        <f t="shared" si="11"/>
        <v>Abaixo do peso</v>
      </c>
      <c r="M152" t="s">
        <v>83</v>
      </c>
    </row>
    <row r="153" spans="1:13" x14ac:dyDescent="0.25">
      <c r="A153">
        <v>152</v>
      </c>
      <c r="B153" t="s">
        <v>2046</v>
      </c>
      <c r="C153" s="2" t="s">
        <v>2047</v>
      </c>
      <c r="D153" s="2">
        <f t="shared" ca="1" si="8"/>
        <v>74</v>
      </c>
      <c r="E153" t="s">
        <v>10</v>
      </c>
      <c r="F153" t="s">
        <v>236</v>
      </c>
      <c r="G153" t="s">
        <v>237</v>
      </c>
      <c r="H153" t="str">
        <f t="shared" si="9"/>
        <v>Teresina - PI</v>
      </c>
      <c r="I153" s="1" t="s">
        <v>171</v>
      </c>
      <c r="J153" s="3">
        <v>82</v>
      </c>
      <c r="K153" s="4">
        <f t="shared" si="10"/>
        <v>29.402273297715947</v>
      </c>
      <c r="L153" s="1" t="str">
        <f t="shared" si="11"/>
        <v>Levemente acima do peso</v>
      </c>
      <c r="M153" t="s">
        <v>83</v>
      </c>
    </row>
    <row r="154" spans="1:13" x14ac:dyDescent="0.25">
      <c r="A154">
        <v>153</v>
      </c>
      <c r="B154" t="s">
        <v>957</v>
      </c>
      <c r="C154" s="2" t="s">
        <v>958</v>
      </c>
      <c r="D154" s="2">
        <f t="shared" ca="1" si="8"/>
        <v>64</v>
      </c>
      <c r="E154" t="s">
        <v>10</v>
      </c>
      <c r="F154" t="s">
        <v>74</v>
      </c>
      <c r="G154" t="s">
        <v>75</v>
      </c>
      <c r="H154" t="str">
        <f t="shared" si="9"/>
        <v>Macapá - AP</v>
      </c>
      <c r="I154" s="1" t="s">
        <v>179</v>
      </c>
      <c r="J154" s="3">
        <v>55</v>
      </c>
      <c r="K154" s="4">
        <f t="shared" si="10"/>
        <v>18.166204254194742</v>
      </c>
      <c r="L154" s="1" t="str">
        <f t="shared" si="11"/>
        <v>Abaixo do peso</v>
      </c>
      <c r="M154" t="s">
        <v>76</v>
      </c>
    </row>
    <row r="155" spans="1:13" x14ac:dyDescent="0.25">
      <c r="A155">
        <v>154</v>
      </c>
      <c r="B155" t="s">
        <v>133</v>
      </c>
      <c r="C155" s="2" t="s">
        <v>134</v>
      </c>
      <c r="D155" s="2">
        <f t="shared" ca="1" si="8"/>
        <v>50</v>
      </c>
      <c r="E155" t="s">
        <v>23</v>
      </c>
      <c r="F155" t="s">
        <v>135</v>
      </c>
      <c r="G155" t="s">
        <v>75</v>
      </c>
      <c r="H155" t="str">
        <f t="shared" si="9"/>
        <v>Santana - AP</v>
      </c>
      <c r="I155" s="1" t="s">
        <v>56</v>
      </c>
      <c r="J155" s="3">
        <v>59</v>
      </c>
      <c r="K155" s="4">
        <f t="shared" si="10"/>
        <v>20.65754000210077</v>
      </c>
      <c r="L155" s="1" t="str">
        <f t="shared" si="11"/>
        <v>Peso ideal - parabéns</v>
      </c>
      <c r="M155" t="s">
        <v>32</v>
      </c>
    </row>
    <row r="156" spans="1:13" x14ac:dyDescent="0.25">
      <c r="A156">
        <v>155</v>
      </c>
      <c r="B156" t="s">
        <v>1369</v>
      </c>
      <c r="C156" s="2" t="s">
        <v>1370</v>
      </c>
      <c r="D156" s="2">
        <f t="shared" ca="1" si="8"/>
        <v>74</v>
      </c>
      <c r="E156" t="s">
        <v>23</v>
      </c>
      <c r="F156" t="s">
        <v>244</v>
      </c>
      <c r="G156" t="s">
        <v>60</v>
      </c>
      <c r="H156" t="str">
        <f t="shared" si="9"/>
        <v>Araguaína - TO</v>
      </c>
      <c r="I156" s="1" t="s">
        <v>286</v>
      </c>
      <c r="J156" s="3">
        <v>45</v>
      </c>
      <c r="K156" s="4">
        <f t="shared" si="10"/>
        <v>16.528925619834713</v>
      </c>
      <c r="L156" s="1" t="str">
        <f t="shared" si="11"/>
        <v>Muito abaixo do peso</v>
      </c>
      <c r="M156" t="s">
        <v>14</v>
      </c>
    </row>
    <row r="157" spans="1:13" x14ac:dyDescent="0.25">
      <c r="A157">
        <v>156</v>
      </c>
      <c r="B157" t="s">
        <v>3283</v>
      </c>
      <c r="C157" s="2" t="s">
        <v>3284</v>
      </c>
      <c r="D157" s="2">
        <f t="shared" ca="1" si="8"/>
        <v>45</v>
      </c>
      <c r="E157" t="s">
        <v>23</v>
      </c>
      <c r="F157" t="s">
        <v>457</v>
      </c>
      <c r="G157" t="s">
        <v>41</v>
      </c>
      <c r="H157" t="str">
        <f t="shared" si="9"/>
        <v>João Pessoa - PB</v>
      </c>
      <c r="I157" s="1" t="s">
        <v>90</v>
      </c>
      <c r="J157" s="3">
        <v>82</v>
      </c>
      <c r="K157" s="4">
        <f t="shared" si="10"/>
        <v>27.717685235262305</v>
      </c>
      <c r="L157" s="1" t="str">
        <f t="shared" si="11"/>
        <v>Levemente acima do peso</v>
      </c>
      <c r="M157" t="s">
        <v>95</v>
      </c>
    </row>
    <row r="158" spans="1:13" x14ac:dyDescent="0.25">
      <c r="A158">
        <v>157</v>
      </c>
      <c r="B158" t="s">
        <v>3763</v>
      </c>
      <c r="C158" s="2" t="s">
        <v>2965</v>
      </c>
      <c r="D158" s="2">
        <f t="shared" ca="1" si="8"/>
        <v>74</v>
      </c>
      <c r="E158" t="s">
        <v>23</v>
      </c>
      <c r="F158" t="s">
        <v>1310</v>
      </c>
      <c r="G158" t="s">
        <v>51</v>
      </c>
      <c r="H158" t="str">
        <f t="shared" si="9"/>
        <v>Campos dos Goytacazes - RJ</v>
      </c>
      <c r="I158" s="1" t="s">
        <v>247</v>
      </c>
      <c r="J158" s="3">
        <v>48</v>
      </c>
      <c r="K158" s="4">
        <f t="shared" si="10"/>
        <v>21.333333333333332</v>
      </c>
      <c r="L158" s="1" t="str">
        <f t="shared" si="11"/>
        <v>Peso ideal - parabéns</v>
      </c>
      <c r="M158" t="s">
        <v>83</v>
      </c>
    </row>
    <row r="159" spans="1:13" x14ac:dyDescent="0.25">
      <c r="A159">
        <v>158</v>
      </c>
      <c r="B159" t="s">
        <v>3763</v>
      </c>
      <c r="C159" s="2" t="s">
        <v>2965</v>
      </c>
      <c r="D159" s="2">
        <f t="shared" ca="1" si="8"/>
        <v>74</v>
      </c>
      <c r="E159" t="s">
        <v>23</v>
      </c>
      <c r="F159" t="s">
        <v>1310</v>
      </c>
      <c r="G159" t="s">
        <v>51</v>
      </c>
      <c r="H159" t="str">
        <f t="shared" si="9"/>
        <v>Campos dos Goytacazes - RJ</v>
      </c>
      <c r="I159" s="1" t="s">
        <v>247</v>
      </c>
      <c r="J159" s="3">
        <v>48</v>
      </c>
      <c r="K159" s="4">
        <f t="shared" si="10"/>
        <v>21.333333333333332</v>
      </c>
      <c r="L159" s="1" t="str">
        <f t="shared" si="11"/>
        <v>Peso ideal - parabéns</v>
      </c>
      <c r="M159" t="s">
        <v>83</v>
      </c>
    </row>
    <row r="160" spans="1:13" x14ac:dyDescent="0.25">
      <c r="A160">
        <v>159</v>
      </c>
      <c r="B160" t="s">
        <v>3610</v>
      </c>
      <c r="C160" s="2" t="s">
        <v>3611</v>
      </c>
      <c r="D160" s="2">
        <f t="shared" ca="1" si="8"/>
        <v>70</v>
      </c>
      <c r="E160" t="s">
        <v>23</v>
      </c>
      <c r="F160" t="s">
        <v>241</v>
      </c>
      <c r="G160" t="s">
        <v>190</v>
      </c>
      <c r="H160" t="str">
        <f t="shared" si="9"/>
        <v>Várzea Grande - MT</v>
      </c>
      <c r="I160" s="1" t="s">
        <v>86</v>
      </c>
      <c r="J160" s="3">
        <v>65</v>
      </c>
      <c r="K160" s="4">
        <f t="shared" si="10"/>
        <v>19.840664204389366</v>
      </c>
      <c r="L160" s="1" t="str">
        <f t="shared" si="11"/>
        <v>Peso ideal - parabéns</v>
      </c>
      <c r="M160" t="s">
        <v>26</v>
      </c>
    </row>
    <row r="161" spans="1:13" x14ac:dyDescent="0.25">
      <c r="A161">
        <v>160</v>
      </c>
      <c r="B161" t="s">
        <v>791</v>
      </c>
      <c r="C161" s="2" t="s">
        <v>792</v>
      </c>
      <c r="D161" s="2">
        <f t="shared" ca="1" si="8"/>
        <v>72</v>
      </c>
      <c r="E161" t="s">
        <v>10</v>
      </c>
      <c r="F161" t="s">
        <v>79</v>
      </c>
      <c r="G161" t="s">
        <v>46</v>
      </c>
      <c r="H161" t="str">
        <f t="shared" si="9"/>
        <v>Novo Gama - GO</v>
      </c>
      <c r="I161" s="1" t="s">
        <v>226</v>
      </c>
      <c r="J161" s="3">
        <v>96</v>
      </c>
      <c r="K161" s="4">
        <f t="shared" si="10"/>
        <v>24.487297214569942</v>
      </c>
      <c r="L161" s="1" t="str">
        <f t="shared" si="11"/>
        <v>Peso ideal - parabéns</v>
      </c>
      <c r="M161" t="s">
        <v>32</v>
      </c>
    </row>
    <row r="162" spans="1:13" x14ac:dyDescent="0.25">
      <c r="A162">
        <v>161</v>
      </c>
      <c r="B162" t="s">
        <v>1648</v>
      </c>
      <c r="C162" s="2" t="s">
        <v>1649</v>
      </c>
      <c r="D162" s="2">
        <f t="shared" ca="1" si="8"/>
        <v>68</v>
      </c>
      <c r="E162" t="s">
        <v>10</v>
      </c>
      <c r="F162" t="s">
        <v>280</v>
      </c>
      <c r="G162" t="s">
        <v>175</v>
      </c>
      <c r="H162" t="str">
        <f t="shared" si="9"/>
        <v>Recife - PE</v>
      </c>
      <c r="I162" s="1" t="s">
        <v>400</v>
      </c>
      <c r="J162" s="3">
        <v>90</v>
      </c>
      <c r="K162" s="4">
        <f t="shared" si="10"/>
        <v>27.777777777777775</v>
      </c>
      <c r="L162" s="1" t="str">
        <f t="shared" si="11"/>
        <v>Levemente acima do peso</v>
      </c>
      <c r="M162" t="s">
        <v>14</v>
      </c>
    </row>
    <row r="163" spans="1:13" x14ac:dyDescent="0.25">
      <c r="A163">
        <v>162</v>
      </c>
      <c r="B163" t="s">
        <v>767</v>
      </c>
      <c r="C163" s="2" t="s">
        <v>768</v>
      </c>
      <c r="D163" s="2">
        <f t="shared" ca="1" si="8"/>
        <v>37</v>
      </c>
      <c r="E163" t="s">
        <v>10</v>
      </c>
      <c r="F163" t="s">
        <v>17</v>
      </c>
      <c r="G163" t="s">
        <v>18</v>
      </c>
      <c r="H163" t="str">
        <f t="shared" si="9"/>
        <v>Campo Grande - MS</v>
      </c>
      <c r="I163" s="1" t="s">
        <v>639</v>
      </c>
      <c r="J163" s="3">
        <v>74</v>
      </c>
      <c r="K163" s="4">
        <f t="shared" si="10"/>
        <v>18.5</v>
      </c>
      <c r="L163" s="1" t="str">
        <f t="shared" si="11"/>
        <v>Abaixo do peso</v>
      </c>
      <c r="M163" t="s">
        <v>20</v>
      </c>
    </row>
    <row r="164" spans="1:13" x14ac:dyDescent="0.25">
      <c r="A164">
        <v>163</v>
      </c>
      <c r="B164" t="s">
        <v>256</v>
      </c>
      <c r="C164" s="2" t="s">
        <v>257</v>
      </c>
      <c r="D164" s="2">
        <f t="shared" ca="1" si="8"/>
        <v>51</v>
      </c>
      <c r="E164" t="s">
        <v>10</v>
      </c>
      <c r="F164" t="s">
        <v>236</v>
      </c>
      <c r="G164" t="s">
        <v>237</v>
      </c>
      <c r="H164" t="str">
        <f t="shared" si="9"/>
        <v>Teresina - PI</v>
      </c>
      <c r="I164" s="1" t="s">
        <v>13</v>
      </c>
      <c r="J164" s="3">
        <v>77</v>
      </c>
      <c r="K164" s="4">
        <f t="shared" si="10"/>
        <v>26.332888752094664</v>
      </c>
      <c r="L164" s="1" t="str">
        <f t="shared" si="11"/>
        <v>Levemente acima do peso</v>
      </c>
      <c r="M164" t="s">
        <v>76</v>
      </c>
    </row>
    <row r="165" spans="1:13" x14ac:dyDescent="0.25">
      <c r="A165">
        <v>164</v>
      </c>
      <c r="B165" t="s">
        <v>2237</v>
      </c>
      <c r="C165" s="2" t="s">
        <v>2238</v>
      </c>
      <c r="D165" s="2">
        <f t="shared" ca="1" si="8"/>
        <v>31</v>
      </c>
      <c r="E165" t="s">
        <v>10</v>
      </c>
      <c r="F165" t="s">
        <v>126</v>
      </c>
      <c r="G165" t="s">
        <v>127</v>
      </c>
      <c r="H165" t="str">
        <f t="shared" si="9"/>
        <v>Boa Vista - RR</v>
      </c>
      <c r="I165" s="1" t="s">
        <v>166</v>
      </c>
      <c r="J165" s="3">
        <v>89</v>
      </c>
      <c r="K165" s="4">
        <f t="shared" si="10"/>
        <v>31.533446712018144</v>
      </c>
      <c r="L165" s="1" t="str">
        <f t="shared" si="11"/>
        <v>Obesidade grau I</v>
      </c>
      <c r="M165" t="s">
        <v>20</v>
      </c>
    </row>
    <row r="166" spans="1:13" x14ac:dyDescent="0.25">
      <c r="A166">
        <v>165</v>
      </c>
      <c r="B166" t="s">
        <v>2703</v>
      </c>
      <c r="C166" s="2" t="s">
        <v>2704</v>
      </c>
      <c r="D166" s="2">
        <f t="shared" ca="1" si="8"/>
        <v>32</v>
      </c>
      <c r="E166" t="s">
        <v>10</v>
      </c>
      <c r="F166" t="s">
        <v>395</v>
      </c>
      <c r="G166" t="s">
        <v>36</v>
      </c>
      <c r="H166" t="str">
        <f t="shared" si="9"/>
        <v>Imperatriz - MA</v>
      </c>
      <c r="I166" s="1" t="s">
        <v>201</v>
      </c>
      <c r="J166" s="3">
        <v>87</v>
      </c>
      <c r="K166" s="4">
        <f t="shared" si="10"/>
        <v>22.646813827571847</v>
      </c>
      <c r="L166" s="1" t="str">
        <f t="shared" si="11"/>
        <v>Peso ideal - parabéns</v>
      </c>
      <c r="M166" t="s">
        <v>47</v>
      </c>
    </row>
    <row r="167" spans="1:13" x14ac:dyDescent="0.25">
      <c r="A167">
        <v>166</v>
      </c>
      <c r="B167" t="s">
        <v>2816</v>
      </c>
      <c r="C167" s="2" t="s">
        <v>2817</v>
      </c>
      <c r="D167" s="2">
        <f t="shared" ca="1" si="8"/>
        <v>79</v>
      </c>
      <c r="E167" t="s">
        <v>10</v>
      </c>
      <c r="F167" t="s">
        <v>107</v>
      </c>
      <c r="G167" t="s">
        <v>36</v>
      </c>
      <c r="H167" t="str">
        <f t="shared" si="9"/>
        <v>São Luís - MA</v>
      </c>
      <c r="I167" s="1" t="s">
        <v>447</v>
      </c>
      <c r="J167" s="3">
        <v>62</v>
      </c>
      <c r="K167" s="4">
        <f t="shared" si="10"/>
        <v>20.244897959183675</v>
      </c>
      <c r="L167" s="1" t="str">
        <f t="shared" si="11"/>
        <v>Peso ideal - parabéns</v>
      </c>
      <c r="M167" t="s">
        <v>20</v>
      </c>
    </row>
    <row r="168" spans="1:13" x14ac:dyDescent="0.25">
      <c r="A168">
        <v>167</v>
      </c>
      <c r="B168" t="s">
        <v>2403</v>
      </c>
      <c r="C168" s="2" t="s">
        <v>2404</v>
      </c>
      <c r="D168" s="2">
        <f t="shared" ca="1" si="8"/>
        <v>80</v>
      </c>
      <c r="E168" t="s">
        <v>10</v>
      </c>
      <c r="F168" t="s">
        <v>69</v>
      </c>
      <c r="G168" t="s">
        <v>70</v>
      </c>
      <c r="H168" t="str">
        <f t="shared" si="9"/>
        <v>Aracaju - SE</v>
      </c>
      <c r="I168" s="1" t="s">
        <v>56</v>
      </c>
      <c r="J168" s="3">
        <v>61</v>
      </c>
      <c r="K168" s="4">
        <f t="shared" si="10"/>
        <v>21.357795595392322</v>
      </c>
      <c r="L168" s="1" t="str">
        <f t="shared" si="11"/>
        <v>Peso ideal - parabéns</v>
      </c>
      <c r="M168" t="s">
        <v>95</v>
      </c>
    </row>
    <row r="169" spans="1:13" x14ac:dyDescent="0.25">
      <c r="A169">
        <v>168</v>
      </c>
      <c r="B169" t="s">
        <v>3680</v>
      </c>
      <c r="C169" s="2" t="s">
        <v>3681</v>
      </c>
      <c r="D169" s="2">
        <f t="shared" ca="1" si="8"/>
        <v>56</v>
      </c>
      <c r="E169" t="s">
        <v>10</v>
      </c>
      <c r="F169" t="s">
        <v>69</v>
      </c>
      <c r="G169" t="s">
        <v>70</v>
      </c>
      <c r="H169" t="str">
        <f t="shared" si="9"/>
        <v>Aracaju - SE</v>
      </c>
      <c r="I169" s="1" t="s">
        <v>286</v>
      </c>
      <c r="J169" s="3">
        <v>55</v>
      </c>
      <c r="K169" s="4">
        <f t="shared" si="10"/>
        <v>20.202020202020204</v>
      </c>
      <c r="L169" s="1" t="str">
        <f t="shared" si="11"/>
        <v>Peso ideal - parabéns</v>
      </c>
      <c r="M169" t="s">
        <v>47</v>
      </c>
    </row>
    <row r="170" spans="1:13" x14ac:dyDescent="0.25">
      <c r="A170">
        <v>169</v>
      </c>
      <c r="B170" t="s">
        <v>3063</v>
      </c>
      <c r="C170" s="2" t="s">
        <v>3064</v>
      </c>
      <c r="D170" s="2">
        <f t="shared" ca="1" si="8"/>
        <v>50</v>
      </c>
      <c r="E170" t="s">
        <v>10</v>
      </c>
      <c r="F170" t="s">
        <v>457</v>
      </c>
      <c r="G170" t="s">
        <v>41</v>
      </c>
      <c r="H170" t="str">
        <f t="shared" si="9"/>
        <v>João Pessoa - PB</v>
      </c>
      <c r="I170" s="1" t="s">
        <v>255</v>
      </c>
      <c r="J170" s="3">
        <v>58</v>
      </c>
      <c r="K170" s="4">
        <f t="shared" si="10"/>
        <v>14.64609479558597</v>
      </c>
      <c r="L170" s="1" t="str">
        <f t="shared" si="11"/>
        <v>Muito abaixo do peso</v>
      </c>
      <c r="M170" t="s">
        <v>47</v>
      </c>
    </row>
    <row r="171" spans="1:13" x14ac:dyDescent="0.25">
      <c r="A171">
        <v>170</v>
      </c>
      <c r="B171" t="s">
        <v>437</v>
      </c>
      <c r="C171" s="2" t="s">
        <v>438</v>
      </c>
      <c r="D171" s="2">
        <f t="shared" ca="1" si="8"/>
        <v>39</v>
      </c>
      <c r="E171" t="s">
        <v>10</v>
      </c>
      <c r="F171" t="s">
        <v>439</v>
      </c>
      <c r="G171" t="s">
        <v>190</v>
      </c>
      <c r="H171" t="str">
        <f t="shared" si="9"/>
        <v>Rondonópolis - MT</v>
      </c>
      <c r="I171" s="1" t="s">
        <v>123</v>
      </c>
      <c r="J171" s="3">
        <v>57</v>
      </c>
      <c r="K171" s="4">
        <f t="shared" si="10"/>
        <v>18.401342975206614</v>
      </c>
      <c r="L171" s="1" t="str">
        <f t="shared" si="11"/>
        <v>Abaixo do peso</v>
      </c>
      <c r="M171" t="s">
        <v>20</v>
      </c>
    </row>
    <row r="172" spans="1:13" x14ac:dyDescent="0.25">
      <c r="A172">
        <v>171</v>
      </c>
      <c r="B172" t="s">
        <v>1412</v>
      </c>
      <c r="C172" s="2" t="s">
        <v>1413</v>
      </c>
      <c r="D172" s="2">
        <f t="shared" ca="1" si="8"/>
        <v>68</v>
      </c>
      <c r="E172" t="s">
        <v>10</v>
      </c>
      <c r="F172" t="s">
        <v>107</v>
      </c>
      <c r="G172" t="s">
        <v>36</v>
      </c>
      <c r="H172" t="str">
        <f t="shared" si="9"/>
        <v>São Luís - MA</v>
      </c>
      <c r="I172" s="1" t="s">
        <v>123</v>
      </c>
      <c r="J172" s="3">
        <v>97</v>
      </c>
      <c r="K172" s="4">
        <f t="shared" si="10"/>
        <v>31.31456611570248</v>
      </c>
      <c r="L172" s="1" t="str">
        <f t="shared" si="11"/>
        <v>Obesidade grau I</v>
      </c>
      <c r="M172" t="s">
        <v>95</v>
      </c>
    </row>
    <row r="173" spans="1:13" x14ac:dyDescent="0.25">
      <c r="A173">
        <v>172</v>
      </c>
      <c r="B173" t="s">
        <v>4123</v>
      </c>
      <c r="C173" s="2" t="s">
        <v>4124</v>
      </c>
      <c r="D173" s="2">
        <f t="shared" ca="1" si="8"/>
        <v>44</v>
      </c>
      <c r="E173" t="s">
        <v>10</v>
      </c>
      <c r="F173" t="s">
        <v>395</v>
      </c>
      <c r="G173" t="s">
        <v>36</v>
      </c>
      <c r="H173" t="str">
        <f t="shared" si="9"/>
        <v>Imperatriz - MA</v>
      </c>
      <c r="I173" s="1" t="s">
        <v>286</v>
      </c>
      <c r="J173" s="3">
        <v>94</v>
      </c>
      <c r="K173" s="4">
        <f t="shared" si="10"/>
        <v>34.527089072543625</v>
      </c>
      <c r="L173" s="1" t="str">
        <f t="shared" si="11"/>
        <v>Obesidade grau I</v>
      </c>
      <c r="M173" t="s">
        <v>32</v>
      </c>
    </row>
    <row r="174" spans="1:13" x14ac:dyDescent="0.25">
      <c r="A174">
        <v>173</v>
      </c>
      <c r="B174" t="s">
        <v>2173</v>
      </c>
      <c r="C174" s="2" t="s">
        <v>2174</v>
      </c>
      <c r="D174" s="2">
        <f t="shared" ca="1" si="8"/>
        <v>51</v>
      </c>
      <c r="E174" t="s">
        <v>10</v>
      </c>
      <c r="F174" t="s">
        <v>354</v>
      </c>
      <c r="G174" t="s">
        <v>30</v>
      </c>
      <c r="H174" t="str">
        <f t="shared" si="9"/>
        <v>Porto Velho - RO</v>
      </c>
      <c r="I174" s="1" t="s">
        <v>117</v>
      </c>
      <c r="J174" s="3">
        <v>70</v>
      </c>
      <c r="K174" s="4">
        <f t="shared" si="10"/>
        <v>22.093170054286073</v>
      </c>
      <c r="L174" s="1" t="str">
        <f t="shared" si="11"/>
        <v>Peso ideal - parabéns</v>
      </c>
      <c r="M174" t="s">
        <v>83</v>
      </c>
    </row>
    <row r="175" spans="1:13" x14ac:dyDescent="0.25">
      <c r="A175">
        <v>174</v>
      </c>
      <c r="B175" t="s">
        <v>199</v>
      </c>
      <c r="C175" s="2" t="s">
        <v>200</v>
      </c>
      <c r="D175" s="2">
        <f t="shared" ca="1" si="8"/>
        <v>21</v>
      </c>
      <c r="E175" t="s">
        <v>10</v>
      </c>
      <c r="F175" t="s">
        <v>45</v>
      </c>
      <c r="G175" t="s">
        <v>46</v>
      </c>
      <c r="H175" t="str">
        <f t="shared" si="9"/>
        <v>Goiânia - GO</v>
      </c>
      <c r="I175" s="1" t="s">
        <v>201</v>
      </c>
      <c r="J175" s="3">
        <v>83</v>
      </c>
      <c r="K175" s="4">
        <f t="shared" si="10"/>
        <v>21.605581007913372</v>
      </c>
      <c r="L175" s="1" t="str">
        <f t="shared" si="11"/>
        <v>Peso ideal - parabéns</v>
      </c>
      <c r="M175" t="s">
        <v>83</v>
      </c>
    </row>
    <row r="176" spans="1:13" x14ac:dyDescent="0.25">
      <c r="A176">
        <v>175</v>
      </c>
      <c r="B176" t="s">
        <v>3879</v>
      </c>
      <c r="C176" s="2" t="s">
        <v>3880</v>
      </c>
      <c r="D176" s="2">
        <f t="shared" ca="1" si="8"/>
        <v>44</v>
      </c>
      <c r="E176" t="s">
        <v>10</v>
      </c>
      <c r="F176" t="s">
        <v>17</v>
      </c>
      <c r="G176" t="s">
        <v>18</v>
      </c>
      <c r="H176" t="str">
        <f t="shared" si="9"/>
        <v>Campo Grande - MS</v>
      </c>
      <c r="I176" s="1" t="s">
        <v>694</v>
      </c>
      <c r="J176" s="3">
        <v>109</v>
      </c>
      <c r="K176" s="4">
        <f t="shared" si="10"/>
        <v>31.50653254711527</v>
      </c>
      <c r="L176" s="1" t="str">
        <f t="shared" si="11"/>
        <v>Obesidade grau I</v>
      </c>
      <c r="M176" t="s">
        <v>32</v>
      </c>
    </row>
    <row r="177" spans="1:13" x14ac:dyDescent="0.25">
      <c r="A177">
        <v>176</v>
      </c>
      <c r="B177" t="s">
        <v>3601</v>
      </c>
      <c r="C177" s="2" t="s">
        <v>3602</v>
      </c>
      <c r="D177" s="2">
        <f t="shared" ca="1" si="8"/>
        <v>68</v>
      </c>
      <c r="E177" t="s">
        <v>10</v>
      </c>
      <c r="F177" t="s">
        <v>3603</v>
      </c>
      <c r="G177" t="s">
        <v>75</v>
      </c>
      <c r="H177" t="str">
        <f t="shared" si="9"/>
        <v>Porto Grande - AP</v>
      </c>
      <c r="I177" s="1" t="s">
        <v>94</v>
      </c>
      <c r="J177" s="3">
        <v>55</v>
      </c>
      <c r="K177" s="4">
        <f t="shared" si="10"/>
        <v>18.376825152861773</v>
      </c>
      <c r="L177" s="1" t="str">
        <f t="shared" si="11"/>
        <v>Abaixo do peso</v>
      </c>
      <c r="M177" t="s">
        <v>26</v>
      </c>
    </row>
    <row r="178" spans="1:13" x14ac:dyDescent="0.25">
      <c r="A178">
        <v>177</v>
      </c>
      <c r="B178" t="s">
        <v>2962</v>
      </c>
      <c r="C178" s="2" t="s">
        <v>2963</v>
      </c>
      <c r="D178" s="2">
        <f t="shared" ca="1" si="8"/>
        <v>69</v>
      </c>
      <c r="E178" t="s">
        <v>23</v>
      </c>
      <c r="F178" t="s">
        <v>992</v>
      </c>
      <c r="G178" t="s">
        <v>310</v>
      </c>
      <c r="H178" t="str">
        <f t="shared" si="9"/>
        <v>Erechim - RS</v>
      </c>
      <c r="I178" s="1" t="s">
        <v>209</v>
      </c>
      <c r="J178" s="3">
        <v>57</v>
      </c>
      <c r="K178" s="4">
        <f t="shared" si="10"/>
        <v>24.034407151290267</v>
      </c>
      <c r="L178" s="1" t="str">
        <f t="shared" si="11"/>
        <v>Peso ideal - parabéns</v>
      </c>
      <c r="M178" t="s">
        <v>26</v>
      </c>
    </row>
    <row r="179" spans="1:13" x14ac:dyDescent="0.25">
      <c r="A179">
        <v>178</v>
      </c>
      <c r="B179" t="s">
        <v>598</v>
      </c>
      <c r="C179" s="2" t="s">
        <v>599</v>
      </c>
      <c r="D179" s="2">
        <f t="shared" ca="1" si="8"/>
        <v>50</v>
      </c>
      <c r="E179" t="s">
        <v>23</v>
      </c>
      <c r="F179" t="s">
        <v>74</v>
      </c>
      <c r="G179" t="s">
        <v>75</v>
      </c>
      <c r="H179" t="str">
        <f t="shared" si="9"/>
        <v>Macapá - AP</v>
      </c>
      <c r="I179" s="1" t="s">
        <v>281</v>
      </c>
      <c r="J179" s="3">
        <v>69</v>
      </c>
      <c r="K179" s="4">
        <f t="shared" si="10"/>
        <v>26.291723822588015</v>
      </c>
      <c r="L179" s="1" t="str">
        <f t="shared" si="11"/>
        <v>Levemente acima do peso</v>
      </c>
      <c r="M179" t="s">
        <v>14</v>
      </c>
    </row>
    <row r="180" spans="1:13" x14ac:dyDescent="0.25">
      <c r="A180">
        <v>179</v>
      </c>
      <c r="B180" t="s">
        <v>3092</v>
      </c>
      <c r="C180" s="2" t="s">
        <v>3093</v>
      </c>
      <c r="D180" s="2">
        <f t="shared" ca="1" si="8"/>
        <v>42</v>
      </c>
      <c r="E180" t="s">
        <v>23</v>
      </c>
      <c r="F180" t="s">
        <v>1496</v>
      </c>
      <c r="G180" t="s">
        <v>112</v>
      </c>
      <c r="H180" t="str">
        <f t="shared" si="9"/>
        <v>Redenção - PA</v>
      </c>
      <c r="I180" s="1" t="s">
        <v>155</v>
      </c>
      <c r="J180" s="3">
        <v>79</v>
      </c>
      <c r="K180" s="4">
        <f t="shared" si="10"/>
        <v>23.849776597029344</v>
      </c>
      <c r="L180" s="1" t="str">
        <f t="shared" si="11"/>
        <v>Peso ideal - parabéns</v>
      </c>
      <c r="M180" t="s">
        <v>14</v>
      </c>
    </row>
    <row r="181" spans="1:13" x14ac:dyDescent="0.25">
      <c r="A181">
        <v>180</v>
      </c>
      <c r="B181" t="s">
        <v>2503</v>
      </c>
      <c r="C181" s="2" t="s">
        <v>2504</v>
      </c>
      <c r="D181" s="2">
        <f t="shared" ca="1" si="8"/>
        <v>33</v>
      </c>
      <c r="E181" t="s">
        <v>23</v>
      </c>
      <c r="F181" t="s">
        <v>313</v>
      </c>
      <c r="G181" t="s">
        <v>25</v>
      </c>
      <c r="H181" t="str">
        <f t="shared" si="9"/>
        <v>Parnamirim - RN</v>
      </c>
      <c r="I181" s="1" t="s">
        <v>123</v>
      </c>
      <c r="J181" s="3">
        <v>69</v>
      </c>
      <c r="K181" s="4">
        <f t="shared" si="10"/>
        <v>22.275309917355372</v>
      </c>
      <c r="L181" s="1" t="str">
        <f t="shared" si="11"/>
        <v>Peso ideal - parabéns</v>
      </c>
      <c r="M181" t="s">
        <v>76</v>
      </c>
    </row>
    <row r="182" spans="1:13" x14ac:dyDescent="0.25">
      <c r="A182">
        <v>181</v>
      </c>
      <c r="B182" t="s">
        <v>3790</v>
      </c>
      <c r="C182" s="2" t="s">
        <v>3791</v>
      </c>
      <c r="D182" s="2">
        <f t="shared" ca="1" si="8"/>
        <v>74</v>
      </c>
      <c r="E182" t="s">
        <v>23</v>
      </c>
      <c r="F182" t="s">
        <v>2295</v>
      </c>
      <c r="G182" t="s">
        <v>175</v>
      </c>
      <c r="H182" t="str">
        <f t="shared" si="9"/>
        <v>Paulista - PE</v>
      </c>
      <c r="I182" s="1" t="s">
        <v>104</v>
      </c>
      <c r="J182" s="3">
        <v>62</v>
      </c>
      <c r="K182" s="4">
        <f t="shared" si="10"/>
        <v>21.453287197231838</v>
      </c>
      <c r="L182" s="1" t="str">
        <f t="shared" si="11"/>
        <v>Peso ideal - parabéns</v>
      </c>
      <c r="M182" t="s">
        <v>83</v>
      </c>
    </row>
    <row r="183" spans="1:13" x14ac:dyDescent="0.25">
      <c r="A183">
        <v>182</v>
      </c>
      <c r="B183" t="s">
        <v>3790</v>
      </c>
      <c r="C183" s="2" t="s">
        <v>3791</v>
      </c>
      <c r="D183" s="2">
        <f t="shared" ca="1" si="8"/>
        <v>74</v>
      </c>
      <c r="E183" t="s">
        <v>23</v>
      </c>
      <c r="F183" t="s">
        <v>2295</v>
      </c>
      <c r="G183" t="s">
        <v>175</v>
      </c>
      <c r="H183" t="str">
        <f t="shared" si="9"/>
        <v>Paulista - PE</v>
      </c>
      <c r="I183" s="1" t="s">
        <v>104</v>
      </c>
      <c r="J183" s="3">
        <v>62</v>
      </c>
      <c r="K183" s="4">
        <f t="shared" si="10"/>
        <v>21.453287197231838</v>
      </c>
      <c r="L183" s="1" t="str">
        <f t="shared" si="11"/>
        <v>Peso ideal - parabéns</v>
      </c>
      <c r="M183" t="s">
        <v>83</v>
      </c>
    </row>
    <row r="184" spans="1:13" x14ac:dyDescent="0.25">
      <c r="A184">
        <v>183</v>
      </c>
      <c r="B184" t="s">
        <v>507</v>
      </c>
      <c r="C184" s="2" t="s">
        <v>508</v>
      </c>
      <c r="D184" s="2">
        <f t="shared" ca="1" si="8"/>
        <v>80</v>
      </c>
      <c r="E184" t="s">
        <v>23</v>
      </c>
      <c r="F184" t="s">
        <v>509</v>
      </c>
      <c r="G184" t="s">
        <v>186</v>
      </c>
      <c r="H184" t="str">
        <f t="shared" si="9"/>
        <v>Contagem - MG</v>
      </c>
      <c r="I184" s="1" t="s">
        <v>71</v>
      </c>
      <c r="J184" s="3">
        <v>79</v>
      </c>
      <c r="K184" s="4">
        <f t="shared" si="10"/>
        <v>23.589835468362743</v>
      </c>
      <c r="L184" s="1" t="str">
        <f t="shared" si="11"/>
        <v>Peso ideal - parabéns</v>
      </c>
      <c r="M184" t="s">
        <v>14</v>
      </c>
    </row>
    <row r="185" spans="1:13" x14ac:dyDescent="0.25">
      <c r="A185">
        <v>184</v>
      </c>
      <c r="B185" t="s">
        <v>949</v>
      </c>
      <c r="C185" s="2" t="s">
        <v>950</v>
      </c>
      <c r="D185" s="2">
        <f t="shared" ca="1" si="8"/>
        <v>36</v>
      </c>
      <c r="E185" t="s">
        <v>23</v>
      </c>
      <c r="F185" t="s">
        <v>733</v>
      </c>
      <c r="G185" t="s">
        <v>310</v>
      </c>
      <c r="H185" t="str">
        <f t="shared" si="9"/>
        <v>Porto Alegre - RS</v>
      </c>
      <c r="I185" s="1" t="s">
        <v>160</v>
      </c>
      <c r="J185" s="3">
        <v>73</v>
      </c>
      <c r="K185" s="4">
        <f t="shared" si="10"/>
        <v>21.561909262759922</v>
      </c>
      <c r="L185" s="1" t="str">
        <f t="shared" si="11"/>
        <v>Peso ideal - parabéns</v>
      </c>
      <c r="M185" t="s">
        <v>20</v>
      </c>
    </row>
    <row r="186" spans="1:13" x14ac:dyDescent="0.25">
      <c r="A186">
        <v>185</v>
      </c>
      <c r="B186" t="s">
        <v>3380</v>
      </c>
      <c r="C186" s="2" t="s">
        <v>3381</v>
      </c>
      <c r="D186" s="2">
        <f t="shared" ca="1" si="8"/>
        <v>22</v>
      </c>
      <c r="E186" t="s">
        <v>23</v>
      </c>
      <c r="F186" t="s">
        <v>1612</v>
      </c>
      <c r="G186" t="s">
        <v>175</v>
      </c>
      <c r="H186" t="str">
        <f t="shared" si="9"/>
        <v>Petrolina - PE</v>
      </c>
      <c r="I186" s="1" t="s">
        <v>86</v>
      </c>
      <c r="J186" s="3">
        <v>88</v>
      </c>
      <c r="K186" s="4">
        <f t="shared" si="10"/>
        <v>26.861206922865602</v>
      </c>
      <c r="L186" s="1" t="str">
        <f t="shared" si="11"/>
        <v>Levemente acima do peso</v>
      </c>
      <c r="M186" t="s">
        <v>83</v>
      </c>
    </row>
    <row r="187" spans="1:13" x14ac:dyDescent="0.25">
      <c r="A187">
        <v>186</v>
      </c>
      <c r="B187" t="s">
        <v>2147</v>
      </c>
      <c r="C187" s="2" t="s">
        <v>2148</v>
      </c>
      <c r="D187" s="2">
        <f t="shared" ca="1" si="8"/>
        <v>22</v>
      </c>
      <c r="E187" t="s">
        <v>23</v>
      </c>
      <c r="F187" t="s">
        <v>1274</v>
      </c>
      <c r="G187" t="s">
        <v>51</v>
      </c>
      <c r="H187" t="str">
        <f t="shared" si="9"/>
        <v>Belford Roxo - RJ</v>
      </c>
      <c r="I187" s="1" t="s">
        <v>400</v>
      </c>
      <c r="J187" s="3">
        <v>80</v>
      </c>
      <c r="K187" s="4">
        <f t="shared" si="10"/>
        <v>24.691358024691358</v>
      </c>
      <c r="L187" s="1" t="str">
        <f t="shared" si="11"/>
        <v>Peso ideal - parabéns</v>
      </c>
      <c r="M187" t="s">
        <v>47</v>
      </c>
    </row>
    <row r="188" spans="1:13" x14ac:dyDescent="0.25">
      <c r="A188">
        <v>187</v>
      </c>
      <c r="B188" t="s">
        <v>1544</v>
      </c>
      <c r="C188" s="2" t="s">
        <v>1545</v>
      </c>
      <c r="D188" s="2">
        <f t="shared" ca="1" si="8"/>
        <v>56</v>
      </c>
      <c r="E188" t="s">
        <v>23</v>
      </c>
      <c r="F188" t="s">
        <v>1155</v>
      </c>
      <c r="G188" t="s">
        <v>103</v>
      </c>
      <c r="H188" t="str">
        <f t="shared" si="9"/>
        <v>Osasco - SP</v>
      </c>
      <c r="I188" s="1" t="s">
        <v>386</v>
      </c>
      <c r="J188" s="3">
        <v>77</v>
      </c>
      <c r="K188" s="4">
        <f t="shared" si="10"/>
        <v>27.94309769197271</v>
      </c>
      <c r="L188" s="1" t="str">
        <f t="shared" si="11"/>
        <v>Levemente acima do peso</v>
      </c>
      <c r="M188" t="s">
        <v>83</v>
      </c>
    </row>
    <row r="189" spans="1:13" x14ac:dyDescent="0.25">
      <c r="A189">
        <v>188</v>
      </c>
      <c r="B189" t="s">
        <v>3606</v>
      </c>
      <c r="C189" s="2" t="s">
        <v>3607</v>
      </c>
      <c r="D189" s="2">
        <f t="shared" ca="1" si="8"/>
        <v>21</v>
      </c>
      <c r="E189" t="s">
        <v>23</v>
      </c>
      <c r="F189" t="s">
        <v>616</v>
      </c>
      <c r="G189" t="s">
        <v>273</v>
      </c>
      <c r="H189" t="str">
        <f t="shared" si="9"/>
        <v>Serra - ES</v>
      </c>
      <c r="I189" s="1" t="s">
        <v>209</v>
      </c>
      <c r="J189" s="3">
        <v>70</v>
      </c>
      <c r="K189" s="4">
        <f t="shared" si="10"/>
        <v>29.515938606847698</v>
      </c>
      <c r="L189" s="1" t="str">
        <f t="shared" si="11"/>
        <v>Levemente acima do peso</v>
      </c>
      <c r="M189" t="s">
        <v>47</v>
      </c>
    </row>
    <row r="190" spans="1:13" x14ac:dyDescent="0.25">
      <c r="A190">
        <v>189</v>
      </c>
      <c r="B190" t="s">
        <v>3199</v>
      </c>
      <c r="C190" s="2" t="s">
        <v>3200</v>
      </c>
      <c r="D190" s="2">
        <f t="shared" ca="1" si="8"/>
        <v>79</v>
      </c>
      <c r="E190" t="s">
        <v>23</v>
      </c>
      <c r="F190" t="s">
        <v>2278</v>
      </c>
      <c r="G190" t="s">
        <v>112</v>
      </c>
      <c r="H190" t="str">
        <f t="shared" si="9"/>
        <v>Marabá - PA</v>
      </c>
      <c r="I190" s="1" t="s">
        <v>191</v>
      </c>
      <c r="J190" s="3">
        <v>81</v>
      </c>
      <c r="K190" s="4">
        <f t="shared" si="10"/>
        <v>31.640624999999993</v>
      </c>
      <c r="L190" s="1" t="str">
        <f t="shared" si="11"/>
        <v>Obesidade grau I</v>
      </c>
      <c r="M190" t="s">
        <v>26</v>
      </c>
    </row>
    <row r="191" spans="1:13" x14ac:dyDescent="0.25">
      <c r="A191">
        <v>190</v>
      </c>
      <c r="B191" t="s">
        <v>2554</v>
      </c>
      <c r="C191" s="2" t="s">
        <v>2555</v>
      </c>
      <c r="D191" s="2">
        <f t="shared" ca="1" si="8"/>
        <v>81</v>
      </c>
      <c r="E191" t="s">
        <v>23</v>
      </c>
      <c r="F191" t="s">
        <v>395</v>
      </c>
      <c r="G191" t="s">
        <v>36</v>
      </c>
      <c r="H191" t="str">
        <f t="shared" si="9"/>
        <v>Imperatriz - MA</v>
      </c>
      <c r="I191" s="1" t="s">
        <v>56</v>
      </c>
      <c r="J191" s="3">
        <v>77</v>
      </c>
      <c r="K191" s="4">
        <f t="shared" si="10"/>
        <v>26.959840341724732</v>
      </c>
      <c r="L191" s="1" t="str">
        <f t="shared" si="11"/>
        <v>Levemente acima do peso</v>
      </c>
      <c r="M191" t="s">
        <v>47</v>
      </c>
    </row>
    <row r="192" spans="1:13" x14ac:dyDescent="0.25">
      <c r="A192">
        <v>191</v>
      </c>
      <c r="B192" t="s">
        <v>2895</v>
      </c>
      <c r="C192" s="2" t="s">
        <v>2896</v>
      </c>
      <c r="D192" s="2">
        <f t="shared" ca="1" si="8"/>
        <v>80</v>
      </c>
      <c r="E192" t="s">
        <v>23</v>
      </c>
      <c r="F192" t="s">
        <v>564</v>
      </c>
      <c r="G192" t="s">
        <v>565</v>
      </c>
      <c r="H192" t="str">
        <f t="shared" si="9"/>
        <v>Rio Branco - AC</v>
      </c>
      <c r="I192" s="1" t="s">
        <v>179</v>
      </c>
      <c r="J192" s="3">
        <v>49</v>
      </c>
      <c r="K192" s="4">
        <f t="shared" si="10"/>
        <v>16.184436517373499</v>
      </c>
      <c r="L192" s="1" t="str">
        <f t="shared" si="11"/>
        <v>Muito abaixo do peso</v>
      </c>
      <c r="M192" t="s">
        <v>20</v>
      </c>
    </row>
    <row r="193" spans="1:13" x14ac:dyDescent="0.25">
      <c r="A193">
        <v>192</v>
      </c>
      <c r="B193" t="s">
        <v>314</v>
      </c>
      <c r="C193" s="2" t="s">
        <v>315</v>
      </c>
      <c r="D193" s="2">
        <f t="shared" ca="1" si="8"/>
        <v>45</v>
      </c>
      <c r="E193" t="s">
        <v>23</v>
      </c>
      <c r="F193" t="s">
        <v>69</v>
      </c>
      <c r="G193" t="s">
        <v>70</v>
      </c>
      <c r="H193" t="str">
        <f t="shared" si="9"/>
        <v>Aracaju - SE</v>
      </c>
      <c r="I193" s="1" t="s">
        <v>160</v>
      </c>
      <c r="J193" s="3">
        <v>60</v>
      </c>
      <c r="K193" s="4">
        <f t="shared" si="10"/>
        <v>17.722117202268429</v>
      </c>
      <c r="L193" s="1" t="str">
        <f t="shared" si="11"/>
        <v>Abaixo do peso</v>
      </c>
      <c r="M193" t="s">
        <v>32</v>
      </c>
    </row>
    <row r="194" spans="1:13" x14ac:dyDescent="0.25">
      <c r="A194">
        <v>193</v>
      </c>
      <c r="B194" t="s">
        <v>1761</v>
      </c>
      <c r="C194" s="2" t="s">
        <v>1762</v>
      </c>
      <c r="D194" s="2">
        <f t="shared" ca="1" si="8"/>
        <v>22</v>
      </c>
      <c r="E194" t="s">
        <v>23</v>
      </c>
      <c r="F194" t="s">
        <v>89</v>
      </c>
      <c r="G194" t="s">
        <v>12</v>
      </c>
      <c r="H194" t="str">
        <f t="shared" si="9"/>
        <v>Fortaleza - CE</v>
      </c>
      <c r="I194" s="1" t="s">
        <v>179</v>
      </c>
      <c r="J194" s="3">
        <v>54</v>
      </c>
      <c r="K194" s="4">
        <f t="shared" si="10"/>
        <v>17.8359096313912</v>
      </c>
      <c r="L194" s="1" t="str">
        <f t="shared" si="11"/>
        <v>Abaixo do peso</v>
      </c>
      <c r="M194" t="s">
        <v>76</v>
      </c>
    </row>
    <row r="195" spans="1:13" x14ac:dyDescent="0.25">
      <c r="A195">
        <v>194</v>
      </c>
      <c r="B195" t="s">
        <v>2609</v>
      </c>
      <c r="C195" s="2" t="s">
        <v>2610</v>
      </c>
      <c r="D195" s="2">
        <f t="shared" ref="D195:D258" ca="1" si="12">YEAR(TODAY())-YEAR(C195)</f>
        <v>33</v>
      </c>
      <c r="E195" t="s">
        <v>23</v>
      </c>
      <c r="F195" t="s">
        <v>144</v>
      </c>
      <c r="G195" t="s">
        <v>12</v>
      </c>
      <c r="H195" t="str">
        <f t="shared" ref="H195:H258" si="13">CONCATENATE(F195," - ",G195)</f>
        <v>Maranguape - CE</v>
      </c>
      <c r="I195" s="1" t="s">
        <v>71</v>
      </c>
      <c r="J195" s="3">
        <v>73</v>
      </c>
      <c r="K195" s="4">
        <f t="shared" ref="K195:K258" si="14">J195/(I195*I195)</f>
        <v>21.798202394816204</v>
      </c>
      <c r="L195" s="1" t="str">
        <f t="shared" ref="L195:L258" si="15">IF(K195&gt;=40,"Obesidade grau III - mórbida",
IF(K195&gt;=35,"Obesidade grau II - severa",
IF(K195&gt;=30,"Obesidade grau I",
IF(K195&gt;=25,"Levemente acima do peso",
IF(K195&gt;=18.6,"Peso ideal - parabéns",
IF(K195&gt;=17,"Abaixo do peso",
"Muito abaixo do peso"))))))</f>
        <v>Peso ideal - parabéns</v>
      </c>
      <c r="M195" t="s">
        <v>95</v>
      </c>
    </row>
    <row r="196" spans="1:13" x14ac:dyDescent="0.25">
      <c r="A196">
        <v>195</v>
      </c>
      <c r="B196" t="s">
        <v>3441</v>
      </c>
      <c r="C196" s="2" t="s">
        <v>3442</v>
      </c>
      <c r="D196" s="2">
        <f t="shared" ca="1" si="12"/>
        <v>55</v>
      </c>
      <c r="E196" t="s">
        <v>23</v>
      </c>
      <c r="F196" t="s">
        <v>2295</v>
      </c>
      <c r="G196" t="s">
        <v>175</v>
      </c>
      <c r="H196" t="str">
        <f t="shared" si="13"/>
        <v>Paulista - PE</v>
      </c>
      <c r="I196" s="1" t="s">
        <v>575</v>
      </c>
      <c r="J196" s="3">
        <v>71</v>
      </c>
      <c r="K196" s="4">
        <f t="shared" si="14"/>
        <v>28.084332107116012</v>
      </c>
      <c r="L196" s="1" t="str">
        <f t="shared" si="15"/>
        <v>Levemente acima do peso</v>
      </c>
      <c r="M196" t="s">
        <v>95</v>
      </c>
    </row>
    <row r="197" spans="1:13" x14ac:dyDescent="0.25">
      <c r="A197">
        <v>196</v>
      </c>
      <c r="B197" t="s">
        <v>1644</v>
      </c>
      <c r="C197" s="2" t="s">
        <v>1645</v>
      </c>
      <c r="D197" s="2">
        <f t="shared" ca="1" si="12"/>
        <v>82</v>
      </c>
      <c r="E197" t="s">
        <v>23</v>
      </c>
      <c r="F197" t="s">
        <v>240</v>
      </c>
      <c r="G197" t="s">
        <v>51</v>
      </c>
      <c r="H197" t="str">
        <f t="shared" si="13"/>
        <v>Petrópolis - RJ</v>
      </c>
      <c r="I197" s="1" t="s">
        <v>386</v>
      </c>
      <c r="J197" s="3">
        <v>63</v>
      </c>
      <c r="K197" s="4">
        <f t="shared" si="14"/>
        <v>22.862534475250399</v>
      </c>
      <c r="L197" s="1" t="str">
        <f t="shared" si="15"/>
        <v>Peso ideal - parabéns</v>
      </c>
      <c r="M197" t="s">
        <v>83</v>
      </c>
    </row>
    <row r="198" spans="1:13" x14ac:dyDescent="0.25">
      <c r="A198">
        <v>197</v>
      </c>
      <c r="B198" t="s">
        <v>3782</v>
      </c>
      <c r="C198" s="2" t="s">
        <v>3316</v>
      </c>
      <c r="D198" s="2">
        <f t="shared" ca="1" si="12"/>
        <v>62</v>
      </c>
      <c r="E198" t="s">
        <v>23</v>
      </c>
      <c r="F198" t="s">
        <v>280</v>
      </c>
      <c r="G198" t="s">
        <v>175</v>
      </c>
      <c r="H198" t="str">
        <f t="shared" si="13"/>
        <v>Recife - PE</v>
      </c>
      <c r="I198" s="1" t="s">
        <v>484</v>
      </c>
      <c r="J198" s="3">
        <v>74</v>
      </c>
      <c r="K198" s="4">
        <f t="shared" si="14"/>
        <v>30.801248699271589</v>
      </c>
      <c r="L198" s="1" t="str">
        <f t="shared" si="15"/>
        <v>Obesidade grau I</v>
      </c>
      <c r="M198" t="s">
        <v>83</v>
      </c>
    </row>
    <row r="199" spans="1:13" x14ac:dyDescent="0.25">
      <c r="A199">
        <v>198</v>
      </c>
      <c r="B199" t="s">
        <v>3782</v>
      </c>
      <c r="C199" s="2" t="s">
        <v>3316</v>
      </c>
      <c r="D199" s="2">
        <f t="shared" ca="1" si="12"/>
        <v>62</v>
      </c>
      <c r="E199" t="s">
        <v>23</v>
      </c>
      <c r="F199" t="s">
        <v>280</v>
      </c>
      <c r="G199" t="s">
        <v>175</v>
      </c>
      <c r="H199" t="str">
        <f t="shared" si="13"/>
        <v>Recife - PE</v>
      </c>
      <c r="I199" s="1" t="s">
        <v>484</v>
      </c>
      <c r="J199" s="3">
        <v>74</v>
      </c>
      <c r="K199" s="4">
        <f t="shared" si="14"/>
        <v>30.801248699271589</v>
      </c>
      <c r="L199" s="1" t="str">
        <f t="shared" si="15"/>
        <v>Obesidade grau I</v>
      </c>
      <c r="M199" t="s">
        <v>83</v>
      </c>
    </row>
    <row r="200" spans="1:13" x14ac:dyDescent="0.25">
      <c r="A200">
        <v>199</v>
      </c>
      <c r="B200" t="s">
        <v>3920</v>
      </c>
      <c r="C200" s="2" t="s">
        <v>3900</v>
      </c>
      <c r="D200" s="2">
        <f t="shared" ca="1" si="12"/>
        <v>67</v>
      </c>
      <c r="E200" t="s">
        <v>23</v>
      </c>
      <c r="F200" t="s">
        <v>3921</v>
      </c>
      <c r="G200" t="s">
        <v>310</v>
      </c>
      <c r="H200" t="str">
        <f t="shared" si="13"/>
        <v>Cachoeira do Sul - RS</v>
      </c>
      <c r="I200" s="1" t="s">
        <v>56</v>
      </c>
      <c r="J200" s="3">
        <v>89</v>
      </c>
      <c r="K200" s="4">
        <f t="shared" si="14"/>
        <v>31.161373901474043</v>
      </c>
      <c r="L200" s="1" t="str">
        <f t="shared" si="15"/>
        <v>Obesidade grau I</v>
      </c>
      <c r="M200" t="s">
        <v>76</v>
      </c>
    </row>
    <row r="201" spans="1:13" x14ac:dyDescent="0.25">
      <c r="A201">
        <v>200</v>
      </c>
      <c r="B201" t="s">
        <v>3206</v>
      </c>
      <c r="C201" s="2" t="s">
        <v>3001</v>
      </c>
      <c r="D201" s="2">
        <f t="shared" ca="1" si="12"/>
        <v>22</v>
      </c>
      <c r="E201" t="s">
        <v>23</v>
      </c>
      <c r="F201" t="s">
        <v>144</v>
      </c>
      <c r="G201" t="s">
        <v>12</v>
      </c>
      <c r="H201" t="str">
        <f t="shared" si="13"/>
        <v>Maranguape - CE</v>
      </c>
      <c r="I201" s="1" t="s">
        <v>171</v>
      </c>
      <c r="J201" s="3">
        <v>69</v>
      </c>
      <c r="K201" s="4">
        <f t="shared" si="14"/>
        <v>24.740937287102444</v>
      </c>
      <c r="L201" s="1" t="str">
        <f t="shared" si="15"/>
        <v>Peso ideal - parabéns</v>
      </c>
      <c r="M201" t="s">
        <v>14</v>
      </c>
    </row>
    <row r="202" spans="1:13" x14ac:dyDescent="0.25">
      <c r="A202">
        <v>201</v>
      </c>
      <c r="B202" t="s">
        <v>2656</v>
      </c>
      <c r="C202" s="2" t="s">
        <v>2657</v>
      </c>
      <c r="D202" s="2">
        <f t="shared" ca="1" si="12"/>
        <v>39</v>
      </c>
      <c r="E202" t="s">
        <v>23</v>
      </c>
      <c r="F202" t="s">
        <v>1200</v>
      </c>
      <c r="G202" t="s">
        <v>41</v>
      </c>
      <c r="H202" t="str">
        <f t="shared" si="13"/>
        <v>Sousa - PB</v>
      </c>
      <c r="I202" s="1" t="s">
        <v>166</v>
      </c>
      <c r="J202" s="3">
        <v>81</v>
      </c>
      <c r="K202" s="4">
        <f t="shared" si="14"/>
        <v>28.698979591836739</v>
      </c>
      <c r="L202" s="1" t="str">
        <f t="shared" si="15"/>
        <v>Levemente acima do peso</v>
      </c>
      <c r="M202" t="s">
        <v>20</v>
      </c>
    </row>
    <row r="203" spans="1:13" x14ac:dyDescent="0.25">
      <c r="A203">
        <v>202</v>
      </c>
      <c r="B203" t="s">
        <v>2255</v>
      </c>
      <c r="C203" s="2" t="s">
        <v>2256</v>
      </c>
      <c r="D203" s="2">
        <f t="shared" ca="1" si="12"/>
        <v>44</v>
      </c>
      <c r="E203" t="s">
        <v>23</v>
      </c>
      <c r="F203" t="s">
        <v>74</v>
      </c>
      <c r="G203" t="s">
        <v>75</v>
      </c>
      <c r="H203" t="str">
        <f t="shared" si="13"/>
        <v>Macapá - AP</v>
      </c>
      <c r="I203" s="1" t="s">
        <v>13</v>
      </c>
      <c r="J203" s="3">
        <v>45</v>
      </c>
      <c r="K203" s="4">
        <f t="shared" si="14"/>
        <v>15.389350569405973</v>
      </c>
      <c r="L203" s="1" t="str">
        <f t="shared" si="15"/>
        <v>Muito abaixo do peso</v>
      </c>
      <c r="M203" t="s">
        <v>32</v>
      </c>
    </row>
    <row r="204" spans="1:13" x14ac:dyDescent="0.25">
      <c r="A204">
        <v>203</v>
      </c>
      <c r="B204" t="s">
        <v>2739</v>
      </c>
      <c r="C204" s="2" t="s">
        <v>2740</v>
      </c>
      <c r="D204" s="2">
        <f t="shared" ca="1" si="12"/>
        <v>21</v>
      </c>
      <c r="E204" t="s">
        <v>23</v>
      </c>
      <c r="F204" t="s">
        <v>107</v>
      </c>
      <c r="G204" t="s">
        <v>36</v>
      </c>
      <c r="H204" t="str">
        <f t="shared" si="13"/>
        <v>São Luís - MA</v>
      </c>
      <c r="I204" s="1" t="s">
        <v>302</v>
      </c>
      <c r="J204" s="3">
        <v>72</v>
      </c>
      <c r="K204" s="4">
        <f t="shared" si="14"/>
        <v>31.577562387614577</v>
      </c>
      <c r="L204" s="1" t="str">
        <f t="shared" si="15"/>
        <v>Obesidade grau I</v>
      </c>
      <c r="M204" t="s">
        <v>14</v>
      </c>
    </row>
    <row r="205" spans="1:13" x14ac:dyDescent="0.25">
      <c r="A205">
        <v>204</v>
      </c>
      <c r="B205" t="s">
        <v>2034</v>
      </c>
      <c r="C205" s="2" t="s">
        <v>2035</v>
      </c>
      <c r="D205" s="2">
        <f t="shared" ca="1" si="12"/>
        <v>46</v>
      </c>
      <c r="E205" t="s">
        <v>23</v>
      </c>
      <c r="F205" t="s">
        <v>69</v>
      </c>
      <c r="G205" t="s">
        <v>70</v>
      </c>
      <c r="H205" t="str">
        <f t="shared" si="13"/>
        <v>Aracaju - SE</v>
      </c>
      <c r="I205" s="1" t="s">
        <v>31</v>
      </c>
      <c r="J205" s="3">
        <v>66</v>
      </c>
      <c r="K205" s="4">
        <f t="shared" si="14"/>
        <v>24.538964901844146</v>
      </c>
      <c r="L205" s="1" t="str">
        <f t="shared" si="15"/>
        <v>Peso ideal - parabéns</v>
      </c>
      <c r="M205" t="s">
        <v>47</v>
      </c>
    </row>
    <row r="206" spans="1:13" x14ac:dyDescent="0.25">
      <c r="A206">
        <v>205</v>
      </c>
      <c r="B206" t="s">
        <v>2812</v>
      </c>
      <c r="C206" s="2" t="s">
        <v>2813</v>
      </c>
      <c r="D206" s="2">
        <f t="shared" ca="1" si="12"/>
        <v>52</v>
      </c>
      <c r="E206" t="s">
        <v>23</v>
      </c>
      <c r="F206" t="s">
        <v>153</v>
      </c>
      <c r="G206" t="s">
        <v>154</v>
      </c>
      <c r="H206" t="str">
        <f t="shared" si="13"/>
        <v>Manaus - AM</v>
      </c>
      <c r="I206" s="1" t="s">
        <v>56</v>
      </c>
      <c r="J206" s="3">
        <v>54</v>
      </c>
      <c r="K206" s="4">
        <f t="shared" si="14"/>
        <v>18.906901018871892</v>
      </c>
      <c r="L206" s="1" t="str">
        <f t="shared" si="15"/>
        <v>Peso ideal - parabéns</v>
      </c>
      <c r="M206" t="s">
        <v>83</v>
      </c>
    </row>
    <row r="207" spans="1:13" x14ac:dyDescent="0.25">
      <c r="A207">
        <v>206</v>
      </c>
      <c r="B207" t="s">
        <v>1571</v>
      </c>
      <c r="C207" s="2" t="s">
        <v>1572</v>
      </c>
      <c r="D207" s="2">
        <f t="shared" ca="1" si="12"/>
        <v>39</v>
      </c>
      <c r="E207" t="s">
        <v>23</v>
      </c>
      <c r="F207" t="s">
        <v>241</v>
      </c>
      <c r="G207" t="s">
        <v>190</v>
      </c>
      <c r="H207" t="str">
        <f t="shared" si="13"/>
        <v>Várzea Grande - MT</v>
      </c>
      <c r="I207" s="1" t="s">
        <v>113</v>
      </c>
      <c r="J207" s="3">
        <v>58</v>
      </c>
      <c r="K207" s="4">
        <f t="shared" si="14"/>
        <v>21.829952199932254</v>
      </c>
      <c r="L207" s="1" t="str">
        <f t="shared" si="15"/>
        <v>Peso ideal - parabéns</v>
      </c>
      <c r="M207" t="s">
        <v>95</v>
      </c>
    </row>
    <row r="208" spans="1:13" x14ac:dyDescent="0.25">
      <c r="A208">
        <v>207</v>
      </c>
      <c r="B208" t="s">
        <v>2335</v>
      </c>
      <c r="C208" s="2" t="s">
        <v>2336</v>
      </c>
      <c r="D208" s="2">
        <f t="shared" ca="1" si="12"/>
        <v>42</v>
      </c>
      <c r="E208" t="s">
        <v>23</v>
      </c>
      <c r="F208" t="s">
        <v>568</v>
      </c>
      <c r="G208" t="s">
        <v>46</v>
      </c>
      <c r="H208" t="str">
        <f t="shared" si="13"/>
        <v>Valparaíso de Goiás - GO</v>
      </c>
      <c r="I208" s="1" t="s">
        <v>71</v>
      </c>
      <c r="J208" s="3">
        <v>60</v>
      </c>
      <c r="K208" s="4">
        <f t="shared" si="14"/>
        <v>17.916330735465376</v>
      </c>
      <c r="L208" s="1" t="str">
        <f t="shared" si="15"/>
        <v>Abaixo do peso</v>
      </c>
      <c r="M208" t="s">
        <v>32</v>
      </c>
    </row>
    <row r="209" spans="1:13" x14ac:dyDescent="0.25">
      <c r="A209">
        <v>208</v>
      </c>
      <c r="B209" t="s">
        <v>2151</v>
      </c>
      <c r="C209" s="2" t="s">
        <v>2152</v>
      </c>
      <c r="D209" s="2">
        <f t="shared" ca="1" si="12"/>
        <v>63</v>
      </c>
      <c r="E209" t="s">
        <v>23</v>
      </c>
      <c r="F209" t="s">
        <v>17</v>
      </c>
      <c r="G209" t="s">
        <v>18</v>
      </c>
      <c r="H209" t="str">
        <f t="shared" si="13"/>
        <v>Campo Grande - MS</v>
      </c>
      <c r="I209" s="1" t="s">
        <v>209</v>
      </c>
      <c r="J209" s="3">
        <v>67</v>
      </c>
      <c r="K209" s="4">
        <f t="shared" si="14"/>
        <v>28.250969809411369</v>
      </c>
      <c r="L209" s="1" t="str">
        <f t="shared" si="15"/>
        <v>Levemente acima do peso</v>
      </c>
      <c r="M209" t="s">
        <v>83</v>
      </c>
    </row>
    <row r="210" spans="1:13" x14ac:dyDescent="0.25">
      <c r="A210">
        <v>209</v>
      </c>
      <c r="B210" t="s">
        <v>4087</v>
      </c>
      <c r="C210" s="2" t="s">
        <v>4088</v>
      </c>
      <c r="D210" s="2">
        <f t="shared" ca="1" si="12"/>
        <v>65</v>
      </c>
      <c r="E210" t="s">
        <v>23</v>
      </c>
      <c r="F210" t="s">
        <v>17</v>
      </c>
      <c r="G210" t="s">
        <v>18</v>
      </c>
      <c r="H210" t="str">
        <f t="shared" si="13"/>
        <v>Campo Grande - MS</v>
      </c>
      <c r="I210" s="1" t="s">
        <v>416</v>
      </c>
      <c r="J210" s="3">
        <v>65</v>
      </c>
      <c r="K210" s="4">
        <f t="shared" si="14"/>
        <v>25.076193048107708</v>
      </c>
      <c r="L210" s="1" t="str">
        <f t="shared" si="15"/>
        <v>Levemente acima do peso</v>
      </c>
      <c r="M210" t="s">
        <v>26</v>
      </c>
    </row>
    <row r="211" spans="1:13" x14ac:dyDescent="0.25">
      <c r="A211">
        <v>210</v>
      </c>
      <c r="B211" t="s">
        <v>164</v>
      </c>
      <c r="C211" s="2" t="s">
        <v>165</v>
      </c>
      <c r="D211" s="2">
        <f t="shared" ca="1" si="12"/>
        <v>46</v>
      </c>
      <c r="E211" t="s">
        <v>10</v>
      </c>
      <c r="F211" t="s">
        <v>153</v>
      </c>
      <c r="G211" t="s">
        <v>154</v>
      </c>
      <c r="H211" t="str">
        <f t="shared" si="13"/>
        <v>Manaus - AM</v>
      </c>
      <c r="I211" s="1" t="s">
        <v>166</v>
      </c>
      <c r="J211" s="3">
        <v>99</v>
      </c>
      <c r="K211" s="4">
        <f t="shared" si="14"/>
        <v>35.076530612244902</v>
      </c>
      <c r="L211" s="1" t="str">
        <f t="shared" si="15"/>
        <v>Obesidade grau II - severa</v>
      </c>
      <c r="M211" t="s">
        <v>20</v>
      </c>
    </row>
    <row r="212" spans="1:13" x14ac:dyDescent="0.25">
      <c r="A212">
        <v>211</v>
      </c>
      <c r="B212" t="s">
        <v>3021</v>
      </c>
      <c r="C212" s="2" t="s">
        <v>3022</v>
      </c>
      <c r="D212" s="2">
        <f t="shared" ca="1" si="12"/>
        <v>57</v>
      </c>
      <c r="E212" t="s">
        <v>10</v>
      </c>
      <c r="F212" t="s">
        <v>280</v>
      </c>
      <c r="G212" t="s">
        <v>175</v>
      </c>
      <c r="H212" t="str">
        <f t="shared" si="13"/>
        <v>Recife - PE</v>
      </c>
      <c r="I212" s="1" t="s">
        <v>160</v>
      </c>
      <c r="J212" s="3">
        <v>84</v>
      </c>
      <c r="K212" s="4">
        <f t="shared" si="14"/>
        <v>24.810964083175801</v>
      </c>
      <c r="L212" s="1" t="str">
        <f t="shared" si="15"/>
        <v>Peso ideal - parabéns</v>
      </c>
      <c r="M212" t="s">
        <v>32</v>
      </c>
    </row>
    <row r="213" spans="1:13" x14ac:dyDescent="0.25">
      <c r="A213">
        <v>212</v>
      </c>
      <c r="B213" t="s">
        <v>2026</v>
      </c>
      <c r="C213" s="2" t="s">
        <v>2027</v>
      </c>
      <c r="D213" s="2">
        <f t="shared" ca="1" si="12"/>
        <v>61</v>
      </c>
      <c r="E213" t="s">
        <v>10</v>
      </c>
      <c r="F213" t="s">
        <v>607</v>
      </c>
      <c r="G213" t="s">
        <v>103</v>
      </c>
      <c r="H213" t="str">
        <f t="shared" si="13"/>
        <v>Itu - SP</v>
      </c>
      <c r="I213" s="1" t="s">
        <v>166</v>
      </c>
      <c r="J213" s="3">
        <v>101</v>
      </c>
      <c r="K213" s="4">
        <f t="shared" si="14"/>
        <v>35.785147392290256</v>
      </c>
      <c r="L213" s="1" t="str">
        <f t="shared" si="15"/>
        <v>Obesidade grau II - severa</v>
      </c>
      <c r="M213" t="s">
        <v>76</v>
      </c>
    </row>
    <row r="214" spans="1:13" x14ac:dyDescent="0.25">
      <c r="A214">
        <v>213</v>
      </c>
      <c r="B214" t="s">
        <v>2440</v>
      </c>
      <c r="C214" s="2" t="s">
        <v>2441</v>
      </c>
      <c r="D214" s="2">
        <f t="shared" ca="1" si="12"/>
        <v>36</v>
      </c>
      <c r="E214" t="s">
        <v>10</v>
      </c>
      <c r="F214" t="s">
        <v>446</v>
      </c>
      <c r="G214" t="s">
        <v>170</v>
      </c>
      <c r="H214" t="str">
        <f t="shared" si="13"/>
        <v>Arapiraca - AL</v>
      </c>
      <c r="I214" s="1" t="s">
        <v>201</v>
      </c>
      <c r="J214" s="3">
        <v>79</v>
      </c>
      <c r="K214" s="4">
        <f t="shared" si="14"/>
        <v>20.564348188254897</v>
      </c>
      <c r="L214" s="1" t="str">
        <f t="shared" si="15"/>
        <v>Peso ideal - parabéns</v>
      </c>
      <c r="M214" t="s">
        <v>20</v>
      </c>
    </row>
    <row r="215" spans="1:13" x14ac:dyDescent="0.25">
      <c r="A215">
        <v>214</v>
      </c>
      <c r="B215" t="s">
        <v>4189</v>
      </c>
      <c r="C215" s="2" t="s">
        <v>2061</v>
      </c>
      <c r="D215" s="2">
        <f t="shared" ca="1" si="12"/>
        <v>67</v>
      </c>
      <c r="E215" t="s">
        <v>10</v>
      </c>
      <c r="F215" t="s">
        <v>627</v>
      </c>
      <c r="G215" t="s">
        <v>186</v>
      </c>
      <c r="H215" t="str">
        <f t="shared" si="13"/>
        <v>Coronel Fabriciano - MG</v>
      </c>
      <c r="I215" s="1" t="s">
        <v>318</v>
      </c>
      <c r="J215" s="3">
        <v>73</v>
      </c>
      <c r="K215" s="4">
        <f t="shared" si="14"/>
        <v>19.802517361111111</v>
      </c>
      <c r="L215" s="1" t="str">
        <f t="shared" si="15"/>
        <v>Peso ideal - parabéns</v>
      </c>
      <c r="M215" t="s">
        <v>14</v>
      </c>
    </row>
    <row r="216" spans="1:13" x14ac:dyDescent="0.25">
      <c r="A216">
        <v>215</v>
      </c>
      <c r="B216" t="s">
        <v>3476</v>
      </c>
      <c r="C216" s="2" t="s">
        <v>3277</v>
      </c>
      <c r="D216" s="2">
        <f t="shared" ca="1" si="12"/>
        <v>41</v>
      </c>
      <c r="E216" t="s">
        <v>10</v>
      </c>
      <c r="F216" t="s">
        <v>410</v>
      </c>
      <c r="G216" t="s">
        <v>310</v>
      </c>
      <c r="H216" t="str">
        <f t="shared" si="13"/>
        <v>Canoas - RS</v>
      </c>
      <c r="I216" s="1" t="s">
        <v>191</v>
      </c>
      <c r="J216" s="3">
        <v>56</v>
      </c>
      <c r="K216" s="4">
        <f t="shared" si="14"/>
        <v>21.874999999999996</v>
      </c>
      <c r="L216" s="1" t="str">
        <f t="shared" si="15"/>
        <v>Peso ideal - parabéns</v>
      </c>
      <c r="M216" t="s">
        <v>32</v>
      </c>
    </row>
    <row r="217" spans="1:13" x14ac:dyDescent="0.25">
      <c r="A217">
        <v>216</v>
      </c>
      <c r="B217" t="s">
        <v>2666</v>
      </c>
      <c r="C217" s="2" t="s">
        <v>2667</v>
      </c>
      <c r="D217" s="2">
        <f t="shared" ca="1" si="12"/>
        <v>62</v>
      </c>
      <c r="E217" t="s">
        <v>10</v>
      </c>
      <c r="F217" t="s">
        <v>564</v>
      </c>
      <c r="G217" t="s">
        <v>565</v>
      </c>
      <c r="H217" t="str">
        <f t="shared" si="13"/>
        <v>Rio Branco - AC</v>
      </c>
      <c r="I217" s="1" t="s">
        <v>104</v>
      </c>
      <c r="J217" s="3">
        <v>70</v>
      </c>
      <c r="K217" s="4">
        <f t="shared" si="14"/>
        <v>24.221453287197235</v>
      </c>
      <c r="L217" s="1" t="str">
        <f t="shared" si="15"/>
        <v>Peso ideal - parabéns</v>
      </c>
      <c r="M217" t="s">
        <v>20</v>
      </c>
    </row>
    <row r="218" spans="1:13" x14ac:dyDescent="0.25">
      <c r="A218">
        <v>217</v>
      </c>
      <c r="B218" t="s">
        <v>3853</v>
      </c>
      <c r="C218" s="2" t="s">
        <v>3854</v>
      </c>
      <c r="D218" s="2">
        <f t="shared" ca="1" si="12"/>
        <v>19</v>
      </c>
      <c r="E218" t="s">
        <v>10</v>
      </c>
      <c r="F218" t="s">
        <v>775</v>
      </c>
      <c r="G218" t="s">
        <v>51</v>
      </c>
      <c r="H218" t="str">
        <f t="shared" si="13"/>
        <v>Rio de Janeiro - RJ</v>
      </c>
      <c r="I218" s="1" t="s">
        <v>286</v>
      </c>
      <c r="J218" s="3">
        <v>82</v>
      </c>
      <c r="K218" s="4">
        <f t="shared" si="14"/>
        <v>30.119375573921033</v>
      </c>
      <c r="L218" s="1" t="str">
        <f t="shared" si="15"/>
        <v>Obesidade grau I</v>
      </c>
      <c r="M218" t="s">
        <v>26</v>
      </c>
    </row>
    <row r="219" spans="1:13" x14ac:dyDescent="0.25">
      <c r="A219">
        <v>218</v>
      </c>
      <c r="B219" t="s">
        <v>3043</v>
      </c>
      <c r="C219" s="2" t="s">
        <v>3044</v>
      </c>
      <c r="D219" s="2">
        <f t="shared" ca="1" si="12"/>
        <v>71</v>
      </c>
      <c r="E219" t="s">
        <v>10</v>
      </c>
      <c r="F219" t="s">
        <v>79</v>
      </c>
      <c r="G219" t="s">
        <v>46</v>
      </c>
      <c r="H219" t="str">
        <f t="shared" si="13"/>
        <v>Novo Gama - GO</v>
      </c>
      <c r="I219" s="1" t="s">
        <v>94</v>
      </c>
      <c r="J219" s="3">
        <v>53</v>
      </c>
      <c r="K219" s="4">
        <f t="shared" si="14"/>
        <v>17.70857696548498</v>
      </c>
      <c r="L219" s="1" t="str">
        <f t="shared" si="15"/>
        <v>Abaixo do peso</v>
      </c>
      <c r="M219" t="s">
        <v>76</v>
      </c>
    </row>
    <row r="220" spans="1:13" x14ac:dyDescent="0.25">
      <c r="A220">
        <v>219</v>
      </c>
      <c r="B220" t="s">
        <v>4112</v>
      </c>
      <c r="C220" s="2" t="s">
        <v>2526</v>
      </c>
      <c r="D220" s="2">
        <f t="shared" ca="1" si="12"/>
        <v>59</v>
      </c>
      <c r="E220" t="s">
        <v>10</v>
      </c>
      <c r="F220" t="s">
        <v>1131</v>
      </c>
      <c r="G220" t="s">
        <v>103</v>
      </c>
      <c r="H220" t="str">
        <f t="shared" si="13"/>
        <v>São Bernardo do Campo - SP</v>
      </c>
      <c r="I220" s="1" t="s">
        <v>639</v>
      </c>
      <c r="J220" s="3">
        <v>51</v>
      </c>
      <c r="K220" s="4">
        <f t="shared" si="14"/>
        <v>12.75</v>
      </c>
      <c r="L220" s="1" t="str">
        <f t="shared" si="15"/>
        <v>Muito abaixo do peso</v>
      </c>
      <c r="M220" t="s">
        <v>95</v>
      </c>
    </row>
    <row r="221" spans="1:13" x14ac:dyDescent="0.25">
      <c r="A221">
        <v>220</v>
      </c>
      <c r="B221" t="s">
        <v>2943</v>
      </c>
      <c r="C221" s="2" t="s">
        <v>2944</v>
      </c>
      <c r="D221" s="2">
        <f t="shared" ca="1" si="12"/>
        <v>69</v>
      </c>
      <c r="E221" t="s">
        <v>10</v>
      </c>
      <c r="F221" t="s">
        <v>313</v>
      </c>
      <c r="G221" t="s">
        <v>25</v>
      </c>
      <c r="H221" t="str">
        <f t="shared" si="13"/>
        <v>Parnamirim - RN</v>
      </c>
      <c r="I221" s="1" t="s">
        <v>416</v>
      </c>
      <c r="J221" s="3">
        <v>66</v>
      </c>
      <c r="K221" s="4">
        <f t="shared" si="14"/>
        <v>25.461980633463213</v>
      </c>
      <c r="L221" s="1" t="str">
        <f t="shared" si="15"/>
        <v>Levemente acima do peso</v>
      </c>
      <c r="M221" t="s">
        <v>95</v>
      </c>
    </row>
    <row r="222" spans="1:13" x14ac:dyDescent="0.25">
      <c r="A222">
        <v>221</v>
      </c>
      <c r="B222" t="s">
        <v>3083</v>
      </c>
      <c r="C222" s="2" t="s">
        <v>3084</v>
      </c>
      <c r="D222" s="2">
        <f t="shared" ca="1" si="12"/>
        <v>33</v>
      </c>
      <c r="E222" t="s">
        <v>10</v>
      </c>
      <c r="F222" t="s">
        <v>395</v>
      </c>
      <c r="G222" t="s">
        <v>36</v>
      </c>
      <c r="H222" t="str">
        <f t="shared" si="13"/>
        <v>Imperatriz - MA</v>
      </c>
      <c r="I222" s="1" t="s">
        <v>61</v>
      </c>
      <c r="J222" s="3">
        <v>78</v>
      </c>
      <c r="K222" s="4">
        <f t="shared" si="14"/>
        <v>21.835894851767868</v>
      </c>
      <c r="L222" s="1" t="str">
        <f t="shared" si="15"/>
        <v>Peso ideal - parabéns</v>
      </c>
      <c r="M222" t="s">
        <v>95</v>
      </c>
    </row>
    <row r="223" spans="1:13" x14ac:dyDescent="0.25">
      <c r="A223">
        <v>222</v>
      </c>
      <c r="B223" t="s">
        <v>3656</v>
      </c>
      <c r="C223" s="2" t="s">
        <v>3559</v>
      </c>
      <c r="D223" s="2">
        <f t="shared" ca="1" si="12"/>
        <v>44</v>
      </c>
      <c r="E223" t="s">
        <v>10</v>
      </c>
      <c r="F223" t="s">
        <v>244</v>
      </c>
      <c r="G223" t="s">
        <v>60</v>
      </c>
      <c r="H223" t="str">
        <f t="shared" si="13"/>
        <v>Araguaína - TO</v>
      </c>
      <c r="I223" s="1" t="s">
        <v>386</v>
      </c>
      <c r="J223" s="3">
        <v>50</v>
      </c>
      <c r="K223" s="4">
        <f t="shared" si="14"/>
        <v>18.144868631151112</v>
      </c>
      <c r="L223" s="1" t="str">
        <f t="shared" si="15"/>
        <v>Abaixo do peso</v>
      </c>
      <c r="M223" t="s">
        <v>76</v>
      </c>
    </row>
    <row r="224" spans="1:13" x14ac:dyDescent="0.25">
      <c r="A224">
        <v>223</v>
      </c>
      <c r="B224" t="s">
        <v>4062</v>
      </c>
      <c r="C224" s="2" t="s">
        <v>3306</v>
      </c>
      <c r="D224" s="2">
        <f t="shared" ca="1" si="12"/>
        <v>57</v>
      </c>
      <c r="E224" t="s">
        <v>10</v>
      </c>
      <c r="F224" t="s">
        <v>244</v>
      </c>
      <c r="G224" t="s">
        <v>60</v>
      </c>
      <c r="H224" t="str">
        <f t="shared" si="13"/>
        <v>Araguaína - TO</v>
      </c>
      <c r="I224" s="1" t="s">
        <v>194</v>
      </c>
      <c r="J224" s="3">
        <v>64</v>
      </c>
      <c r="K224" s="4">
        <f t="shared" si="14"/>
        <v>18.699780861943022</v>
      </c>
      <c r="L224" s="1" t="str">
        <f t="shared" si="15"/>
        <v>Peso ideal - parabéns</v>
      </c>
      <c r="M224" t="s">
        <v>76</v>
      </c>
    </row>
    <row r="225" spans="1:13" x14ac:dyDescent="0.25">
      <c r="A225">
        <v>224</v>
      </c>
      <c r="B225" t="s">
        <v>867</v>
      </c>
      <c r="C225" s="2" t="s">
        <v>868</v>
      </c>
      <c r="D225" s="2">
        <f t="shared" ca="1" si="12"/>
        <v>60</v>
      </c>
      <c r="E225" t="s">
        <v>10</v>
      </c>
      <c r="F225" t="s">
        <v>24</v>
      </c>
      <c r="G225" t="s">
        <v>25</v>
      </c>
      <c r="H225" t="str">
        <f t="shared" si="13"/>
        <v>Natal - RN</v>
      </c>
      <c r="I225" s="1" t="s">
        <v>155</v>
      </c>
      <c r="J225" s="3">
        <v>82</v>
      </c>
      <c r="K225" s="4">
        <f t="shared" si="14"/>
        <v>24.755464315903875</v>
      </c>
      <c r="L225" s="1" t="str">
        <f t="shared" si="15"/>
        <v>Peso ideal - parabéns</v>
      </c>
      <c r="M225" t="s">
        <v>26</v>
      </c>
    </row>
    <row r="226" spans="1:13" x14ac:dyDescent="0.25">
      <c r="A226">
        <v>225</v>
      </c>
      <c r="B226" t="s">
        <v>2189</v>
      </c>
      <c r="C226" s="2" t="s">
        <v>2190</v>
      </c>
      <c r="D226" s="2">
        <f t="shared" ca="1" si="12"/>
        <v>23</v>
      </c>
      <c r="E226" t="s">
        <v>10</v>
      </c>
      <c r="F226" t="s">
        <v>564</v>
      </c>
      <c r="G226" t="s">
        <v>565</v>
      </c>
      <c r="H226" t="str">
        <f t="shared" si="13"/>
        <v>Rio Branco - AC</v>
      </c>
      <c r="I226" s="1" t="s">
        <v>86</v>
      </c>
      <c r="J226" s="3">
        <v>102</v>
      </c>
      <c r="K226" s="4">
        <f t="shared" si="14"/>
        <v>31.134580751503311</v>
      </c>
      <c r="L226" s="1" t="str">
        <f t="shared" si="15"/>
        <v>Obesidade grau I</v>
      </c>
      <c r="M226" t="s">
        <v>20</v>
      </c>
    </row>
    <row r="227" spans="1:13" x14ac:dyDescent="0.25">
      <c r="A227">
        <v>226</v>
      </c>
      <c r="B227" t="s">
        <v>3396</v>
      </c>
      <c r="C227" s="2" t="s">
        <v>3397</v>
      </c>
      <c r="D227" s="2">
        <f t="shared" ca="1" si="12"/>
        <v>64</v>
      </c>
      <c r="E227" t="s">
        <v>10</v>
      </c>
      <c r="F227" t="s">
        <v>74</v>
      </c>
      <c r="G227" t="s">
        <v>75</v>
      </c>
      <c r="H227" t="str">
        <f t="shared" si="13"/>
        <v>Macapá - AP</v>
      </c>
      <c r="I227" s="1" t="s">
        <v>94</v>
      </c>
      <c r="J227" s="3">
        <v>52</v>
      </c>
      <c r="K227" s="4">
        <f t="shared" si="14"/>
        <v>17.374452871796585</v>
      </c>
      <c r="L227" s="1" t="str">
        <f t="shared" si="15"/>
        <v>Abaixo do peso</v>
      </c>
      <c r="M227" t="s">
        <v>14</v>
      </c>
    </row>
    <row r="228" spans="1:13" x14ac:dyDescent="0.25">
      <c r="A228">
        <v>227</v>
      </c>
      <c r="B228" t="s">
        <v>3643</v>
      </c>
      <c r="C228" s="2" t="s">
        <v>3644</v>
      </c>
      <c r="D228" s="2">
        <f t="shared" ca="1" si="12"/>
        <v>55</v>
      </c>
      <c r="E228" t="s">
        <v>10</v>
      </c>
      <c r="F228" t="s">
        <v>169</v>
      </c>
      <c r="G228" t="s">
        <v>170</v>
      </c>
      <c r="H228" t="str">
        <f t="shared" si="13"/>
        <v>Maceió - AL</v>
      </c>
      <c r="I228" s="1" t="s">
        <v>318</v>
      </c>
      <c r="J228" s="3">
        <v>102</v>
      </c>
      <c r="K228" s="4">
        <f t="shared" si="14"/>
        <v>27.669270833333336</v>
      </c>
      <c r="L228" s="1" t="str">
        <f t="shared" si="15"/>
        <v>Levemente acima do peso</v>
      </c>
      <c r="M228" t="s">
        <v>76</v>
      </c>
    </row>
    <row r="229" spans="1:13" x14ac:dyDescent="0.25">
      <c r="A229">
        <v>228</v>
      </c>
      <c r="B229" t="s">
        <v>345</v>
      </c>
      <c r="C229" s="2" t="s">
        <v>346</v>
      </c>
      <c r="D229" s="2">
        <f t="shared" ca="1" si="12"/>
        <v>65</v>
      </c>
      <c r="E229" t="s">
        <v>10</v>
      </c>
      <c r="F229" t="s">
        <v>116</v>
      </c>
      <c r="G229" t="s">
        <v>51</v>
      </c>
      <c r="H229" t="str">
        <f t="shared" si="13"/>
        <v>Cabo Frio - RJ</v>
      </c>
      <c r="I229" s="1" t="s">
        <v>160</v>
      </c>
      <c r="J229" s="3">
        <v>91</v>
      </c>
      <c r="K229" s="4">
        <f t="shared" si="14"/>
        <v>26.878544423440452</v>
      </c>
      <c r="L229" s="1" t="str">
        <f t="shared" si="15"/>
        <v>Levemente acima do peso</v>
      </c>
      <c r="M229" t="s">
        <v>76</v>
      </c>
    </row>
    <row r="230" spans="1:13" x14ac:dyDescent="0.25">
      <c r="A230">
        <v>229</v>
      </c>
      <c r="B230" t="s">
        <v>4085</v>
      </c>
      <c r="C230" s="2" t="s">
        <v>2839</v>
      </c>
      <c r="D230" s="2">
        <f t="shared" ca="1" si="12"/>
        <v>38</v>
      </c>
      <c r="E230" t="s">
        <v>10</v>
      </c>
      <c r="F230" t="s">
        <v>153</v>
      </c>
      <c r="G230" t="s">
        <v>154</v>
      </c>
      <c r="H230" t="str">
        <f t="shared" si="13"/>
        <v>Manaus - AM</v>
      </c>
      <c r="I230" s="1" t="s">
        <v>148</v>
      </c>
      <c r="J230" s="3">
        <v>79</v>
      </c>
      <c r="K230" s="4">
        <f t="shared" si="14"/>
        <v>20.775805391190008</v>
      </c>
      <c r="L230" s="1" t="str">
        <f t="shared" si="15"/>
        <v>Peso ideal - parabéns</v>
      </c>
      <c r="M230" t="s">
        <v>32</v>
      </c>
    </row>
    <row r="231" spans="1:13" x14ac:dyDescent="0.25">
      <c r="A231">
        <v>230</v>
      </c>
      <c r="B231" t="s">
        <v>4171</v>
      </c>
      <c r="C231" s="2" t="s">
        <v>4172</v>
      </c>
      <c r="D231" s="2">
        <f t="shared" ca="1" si="12"/>
        <v>47</v>
      </c>
      <c r="E231" t="s">
        <v>10</v>
      </c>
      <c r="F231" t="s">
        <v>395</v>
      </c>
      <c r="G231" t="s">
        <v>36</v>
      </c>
      <c r="H231" t="str">
        <f t="shared" si="13"/>
        <v>Imperatriz - MA</v>
      </c>
      <c r="I231" s="1" t="s">
        <v>400</v>
      </c>
      <c r="J231" s="3">
        <v>75</v>
      </c>
      <c r="K231" s="4">
        <f t="shared" si="14"/>
        <v>23.148148148148145</v>
      </c>
      <c r="L231" s="1" t="str">
        <f t="shared" si="15"/>
        <v>Peso ideal - parabéns</v>
      </c>
      <c r="M231" t="s">
        <v>26</v>
      </c>
    </row>
    <row r="232" spans="1:13" x14ac:dyDescent="0.25">
      <c r="A232">
        <v>231</v>
      </c>
      <c r="B232" t="s">
        <v>3564</v>
      </c>
      <c r="C232" s="2" t="s">
        <v>3565</v>
      </c>
      <c r="D232" s="2">
        <f t="shared" ca="1" si="12"/>
        <v>54</v>
      </c>
      <c r="E232" t="s">
        <v>10</v>
      </c>
      <c r="F232" t="s">
        <v>422</v>
      </c>
      <c r="G232" t="s">
        <v>65</v>
      </c>
      <c r="H232" t="str">
        <f t="shared" si="13"/>
        <v>Feira de Santana - BA</v>
      </c>
      <c r="I232" s="1" t="s">
        <v>416</v>
      </c>
      <c r="J232" s="3">
        <v>88</v>
      </c>
      <c r="K232" s="4">
        <f t="shared" si="14"/>
        <v>33.949307511284282</v>
      </c>
      <c r="L232" s="1" t="str">
        <f t="shared" si="15"/>
        <v>Obesidade grau I</v>
      </c>
      <c r="M232" t="s">
        <v>20</v>
      </c>
    </row>
    <row r="233" spans="1:13" x14ac:dyDescent="0.25">
      <c r="A233">
        <v>232</v>
      </c>
      <c r="B233" t="s">
        <v>965</v>
      </c>
      <c r="C233" s="2" t="s">
        <v>966</v>
      </c>
      <c r="D233" s="2">
        <f t="shared" ca="1" si="12"/>
        <v>54</v>
      </c>
      <c r="E233" t="s">
        <v>10</v>
      </c>
      <c r="F233" t="s">
        <v>178</v>
      </c>
      <c r="G233" t="s">
        <v>46</v>
      </c>
      <c r="H233" t="str">
        <f t="shared" si="13"/>
        <v>Santo Antônio do Descoberto - GO</v>
      </c>
      <c r="I233" s="1" t="s">
        <v>90</v>
      </c>
      <c r="J233" s="3">
        <v>97</v>
      </c>
      <c r="K233" s="4">
        <f t="shared" si="14"/>
        <v>32.787993510005414</v>
      </c>
      <c r="L233" s="1" t="str">
        <f t="shared" si="15"/>
        <v>Obesidade grau I</v>
      </c>
      <c r="M233" t="s">
        <v>26</v>
      </c>
    </row>
    <row r="234" spans="1:13" x14ac:dyDescent="0.25">
      <c r="A234">
        <v>233</v>
      </c>
      <c r="B234" t="s">
        <v>485</v>
      </c>
      <c r="C234" s="2" t="s">
        <v>486</v>
      </c>
      <c r="D234" s="2">
        <f t="shared" ca="1" si="12"/>
        <v>36</v>
      </c>
      <c r="E234" t="s">
        <v>10</v>
      </c>
      <c r="F234" t="s">
        <v>294</v>
      </c>
      <c r="G234" t="s">
        <v>112</v>
      </c>
      <c r="H234" t="str">
        <f t="shared" si="13"/>
        <v>Santarém - PA</v>
      </c>
      <c r="I234" s="1" t="s">
        <v>19</v>
      </c>
      <c r="J234" s="3">
        <v>50</v>
      </c>
      <c r="K234" s="4">
        <f t="shared" si="14"/>
        <v>15.959653994701394</v>
      </c>
      <c r="L234" s="1" t="str">
        <f t="shared" si="15"/>
        <v>Muito abaixo do peso</v>
      </c>
      <c r="M234" t="s">
        <v>14</v>
      </c>
    </row>
    <row r="235" spans="1:13" x14ac:dyDescent="0.25">
      <c r="A235">
        <v>234</v>
      </c>
      <c r="B235" t="s">
        <v>57</v>
      </c>
      <c r="C235" s="2" t="s">
        <v>58</v>
      </c>
      <c r="D235" s="2">
        <f t="shared" ca="1" si="12"/>
        <v>66</v>
      </c>
      <c r="E235" t="s">
        <v>10</v>
      </c>
      <c r="F235" t="s">
        <v>59</v>
      </c>
      <c r="G235" t="s">
        <v>60</v>
      </c>
      <c r="H235" t="str">
        <f t="shared" si="13"/>
        <v>Palmas - TO</v>
      </c>
      <c r="I235" s="1" t="s">
        <v>61</v>
      </c>
      <c r="J235" s="3">
        <v>93</v>
      </c>
      <c r="K235" s="4">
        <f t="shared" si="14"/>
        <v>26.035105400184765</v>
      </c>
      <c r="L235" s="1" t="str">
        <f t="shared" si="15"/>
        <v>Levemente acima do peso</v>
      </c>
      <c r="M235" t="s">
        <v>32</v>
      </c>
    </row>
    <row r="236" spans="1:13" x14ac:dyDescent="0.25">
      <c r="A236">
        <v>235</v>
      </c>
      <c r="B236" t="s">
        <v>253</v>
      </c>
      <c r="C236" s="2" t="s">
        <v>254</v>
      </c>
      <c r="D236" s="2">
        <f t="shared" ca="1" si="12"/>
        <v>67</v>
      </c>
      <c r="E236" t="s">
        <v>10</v>
      </c>
      <c r="F236" t="s">
        <v>141</v>
      </c>
      <c r="G236" t="s">
        <v>12</v>
      </c>
      <c r="H236" t="str">
        <f t="shared" si="13"/>
        <v>Iguatu - CE</v>
      </c>
      <c r="I236" s="1" t="s">
        <v>255</v>
      </c>
      <c r="J236" s="3">
        <v>80</v>
      </c>
      <c r="K236" s="4">
        <f t="shared" si="14"/>
        <v>20.201510062877198</v>
      </c>
      <c r="L236" s="1" t="str">
        <f t="shared" si="15"/>
        <v>Peso ideal - parabéns</v>
      </c>
      <c r="M236" t="s">
        <v>95</v>
      </c>
    </row>
    <row r="237" spans="1:13" x14ac:dyDescent="0.25">
      <c r="A237">
        <v>236</v>
      </c>
      <c r="B237" t="s">
        <v>2695</v>
      </c>
      <c r="C237" s="2" t="s">
        <v>2696</v>
      </c>
      <c r="D237" s="2">
        <f t="shared" ca="1" si="12"/>
        <v>64</v>
      </c>
      <c r="E237" t="s">
        <v>10</v>
      </c>
      <c r="F237" t="s">
        <v>169</v>
      </c>
      <c r="G237" t="s">
        <v>170</v>
      </c>
      <c r="H237" t="str">
        <f t="shared" si="13"/>
        <v>Maceió - AL</v>
      </c>
      <c r="I237" s="1" t="s">
        <v>255</v>
      </c>
      <c r="J237" s="3">
        <v>106</v>
      </c>
      <c r="K237" s="4">
        <f t="shared" si="14"/>
        <v>26.767000833312288</v>
      </c>
      <c r="L237" s="1" t="str">
        <f t="shared" si="15"/>
        <v>Levemente acima do peso</v>
      </c>
      <c r="M237" t="s">
        <v>20</v>
      </c>
    </row>
    <row r="238" spans="1:13" x14ac:dyDescent="0.25">
      <c r="A238">
        <v>237</v>
      </c>
      <c r="B238" t="s">
        <v>491</v>
      </c>
      <c r="C238" s="2" t="s">
        <v>492</v>
      </c>
      <c r="D238" s="2">
        <f t="shared" ca="1" si="12"/>
        <v>44</v>
      </c>
      <c r="E238" t="s">
        <v>10</v>
      </c>
      <c r="F238" t="s">
        <v>24</v>
      </c>
      <c r="G238" t="s">
        <v>25</v>
      </c>
      <c r="H238" t="str">
        <f t="shared" si="13"/>
        <v>Natal - RN</v>
      </c>
      <c r="I238" s="1" t="s">
        <v>318</v>
      </c>
      <c r="J238" s="3">
        <v>72</v>
      </c>
      <c r="K238" s="4">
        <f t="shared" si="14"/>
        <v>19.53125</v>
      </c>
      <c r="L238" s="1" t="str">
        <f t="shared" si="15"/>
        <v>Peso ideal - parabéns</v>
      </c>
      <c r="M238" t="s">
        <v>20</v>
      </c>
    </row>
    <row r="239" spans="1:13" x14ac:dyDescent="0.25">
      <c r="A239">
        <v>238</v>
      </c>
      <c r="B239" t="s">
        <v>1431</v>
      </c>
      <c r="C239" s="2" t="s">
        <v>1432</v>
      </c>
      <c r="D239" s="2">
        <f t="shared" ca="1" si="12"/>
        <v>59</v>
      </c>
      <c r="E239" t="s">
        <v>10</v>
      </c>
      <c r="F239" t="s">
        <v>647</v>
      </c>
      <c r="G239" t="s">
        <v>12</v>
      </c>
      <c r="H239" t="str">
        <f t="shared" si="13"/>
        <v>Quixadá - CE</v>
      </c>
      <c r="I239" s="1" t="s">
        <v>255</v>
      </c>
      <c r="J239" s="3">
        <v>81</v>
      </c>
      <c r="K239" s="4">
        <f t="shared" si="14"/>
        <v>20.454028938663164</v>
      </c>
      <c r="L239" s="1" t="str">
        <f t="shared" si="15"/>
        <v>Peso ideal - parabéns</v>
      </c>
      <c r="M239" t="s">
        <v>26</v>
      </c>
    </row>
    <row r="240" spans="1:13" x14ac:dyDescent="0.25">
      <c r="A240">
        <v>239</v>
      </c>
      <c r="B240" t="s">
        <v>755</v>
      </c>
      <c r="C240" s="2" t="s">
        <v>756</v>
      </c>
      <c r="D240" s="2">
        <f t="shared" ca="1" si="12"/>
        <v>64</v>
      </c>
      <c r="E240" t="s">
        <v>10</v>
      </c>
      <c r="F240" t="s">
        <v>757</v>
      </c>
      <c r="G240" t="s">
        <v>46</v>
      </c>
      <c r="H240" t="str">
        <f t="shared" si="13"/>
        <v>Catalão - GO</v>
      </c>
      <c r="I240" s="1" t="s">
        <v>262</v>
      </c>
      <c r="J240" s="3">
        <v>61</v>
      </c>
      <c r="K240" s="4">
        <f t="shared" si="14"/>
        <v>16.897506925207757</v>
      </c>
      <c r="L240" s="1" t="str">
        <f t="shared" si="15"/>
        <v>Muito abaixo do peso</v>
      </c>
      <c r="M240" t="s">
        <v>76</v>
      </c>
    </row>
    <row r="241" spans="1:13" x14ac:dyDescent="0.25">
      <c r="A241">
        <v>240</v>
      </c>
      <c r="B241" t="s">
        <v>3769</v>
      </c>
      <c r="C241" s="2" t="s">
        <v>3770</v>
      </c>
      <c r="D241" s="2">
        <f t="shared" ca="1" si="12"/>
        <v>74</v>
      </c>
      <c r="E241" t="s">
        <v>10</v>
      </c>
      <c r="F241" t="s">
        <v>240</v>
      </c>
      <c r="G241" t="s">
        <v>51</v>
      </c>
      <c r="H241" t="str">
        <f t="shared" si="13"/>
        <v>Petrópolis - RJ</v>
      </c>
      <c r="I241" s="1" t="s">
        <v>19</v>
      </c>
      <c r="J241" s="3">
        <v>55</v>
      </c>
      <c r="K241" s="4">
        <f t="shared" si="14"/>
        <v>17.555619394171533</v>
      </c>
      <c r="L241" s="1" t="str">
        <f t="shared" si="15"/>
        <v>Abaixo do peso</v>
      </c>
      <c r="M241" t="s">
        <v>20</v>
      </c>
    </row>
    <row r="242" spans="1:13" x14ac:dyDescent="0.25">
      <c r="A242">
        <v>241</v>
      </c>
      <c r="B242" t="s">
        <v>3769</v>
      </c>
      <c r="C242" s="2" t="s">
        <v>3770</v>
      </c>
      <c r="D242" s="2">
        <f t="shared" ca="1" si="12"/>
        <v>74</v>
      </c>
      <c r="E242" t="s">
        <v>10</v>
      </c>
      <c r="F242" t="s">
        <v>240</v>
      </c>
      <c r="G242" t="s">
        <v>51</v>
      </c>
      <c r="H242" t="str">
        <f t="shared" si="13"/>
        <v>Petrópolis - RJ</v>
      </c>
      <c r="I242" s="1" t="s">
        <v>19</v>
      </c>
      <c r="J242" s="3">
        <v>55</v>
      </c>
      <c r="K242" s="4">
        <f t="shared" si="14"/>
        <v>17.555619394171533</v>
      </c>
      <c r="L242" s="1" t="str">
        <f t="shared" si="15"/>
        <v>Abaixo do peso</v>
      </c>
      <c r="M242" t="s">
        <v>20</v>
      </c>
    </row>
    <row r="243" spans="1:13" x14ac:dyDescent="0.25">
      <c r="A243">
        <v>242</v>
      </c>
      <c r="B243" t="s">
        <v>3843</v>
      </c>
      <c r="C243" s="2" t="s">
        <v>3844</v>
      </c>
      <c r="D243" s="2">
        <f t="shared" ca="1" si="12"/>
        <v>38</v>
      </c>
      <c r="E243" t="s">
        <v>10</v>
      </c>
      <c r="F243" t="s">
        <v>208</v>
      </c>
      <c r="G243" t="s">
        <v>30</v>
      </c>
      <c r="H243" t="str">
        <f t="shared" si="13"/>
        <v>Ji-Paraná - RO</v>
      </c>
      <c r="I243" s="1" t="s">
        <v>104</v>
      </c>
      <c r="J243" s="3">
        <v>90</v>
      </c>
      <c r="K243" s="4">
        <f t="shared" si="14"/>
        <v>31.141868512110729</v>
      </c>
      <c r="L243" s="1" t="str">
        <f t="shared" si="15"/>
        <v>Obesidade grau I</v>
      </c>
      <c r="M243" t="s">
        <v>47</v>
      </c>
    </row>
    <row r="244" spans="1:13" x14ac:dyDescent="0.25">
      <c r="A244">
        <v>243</v>
      </c>
      <c r="B244" t="s">
        <v>2635</v>
      </c>
      <c r="C244" s="2" t="s">
        <v>2636</v>
      </c>
      <c r="D244" s="2">
        <f t="shared" ca="1" si="12"/>
        <v>61</v>
      </c>
      <c r="E244" t="s">
        <v>10</v>
      </c>
      <c r="F244" t="s">
        <v>107</v>
      </c>
      <c r="G244" t="s">
        <v>36</v>
      </c>
      <c r="H244" t="str">
        <f t="shared" si="13"/>
        <v>São Luís - MA</v>
      </c>
      <c r="I244" s="1" t="s">
        <v>281</v>
      </c>
      <c r="J244" s="3">
        <v>100</v>
      </c>
      <c r="K244" s="4">
        <f t="shared" si="14"/>
        <v>38.103947568968138</v>
      </c>
      <c r="L244" s="1" t="str">
        <f t="shared" si="15"/>
        <v>Obesidade grau II - severa</v>
      </c>
      <c r="M244" t="s">
        <v>76</v>
      </c>
    </row>
    <row r="245" spans="1:13" x14ac:dyDescent="0.25">
      <c r="A245">
        <v>244</v>
      </c>
      <c r="B245" t="s">
        <v>2453</v>
      </c>
      <c r="C245" s="2" t="s">
        <v>2454</v>
      </c>
      <c r="D245" s="2">
        <f t="shared" ca="1" si="12"/>
        <v>30</v>
      </c>
      <c r="E245" t="s">
        <v>10</v>
      </c>
      <c r="F245" t="s">
        <v>158</v>
      </c>
      <c r="G245" t="s">
        <v>159</v>
      </c>
      <c r="H245" t="str">
        <f t="shared" si="13"/>
        <v>Brasília - DF</v>
      </c>
      <c r="I245" s="1" t="s">
        <v>191</v>
      </c>
      <c r="J245" s="3">
        <v>92</v>
      </c>
      <c r="K245" s="4">
        <f t="shared" si="14"/>
        <v>35.937499999999993</v>
      </c>
      <c r="L245" s="1" t="str">
        <f t="shared" si="15"/>
        <v>Obesidade grau II - severa</v>
      </c>
      <c r="M245" t="s">
        <v>95</v>
      </c>
    </row>
    <row r="246" spans="1:13" x14ac:dyDescent="0.25">
      <c r="A246">
        <v>245</v>
      </c>
      <c r="B246" t="s">
        <v>2442</v>
      </c>
      <c r="C246" s="2" t="s">
        <v>2443</v>
      </c>
      <c r="D246" s="2">
        <f t="shared" ca="1" si="12"/>
        <v>46</v>
      </c>
      <c r="E246" t="s">
        <v>10</v>
      </c>
      <c r="F246" t="s">
        <v>169</v>
      </c>
      <c r="G246" t="s">
        <v>170</v>
      </c>
      <c r="H246" t="str">
        <f t="shared" si="13"/>
        <v>Maceió - AL</v>
      </c>
      <c r="I246" s="1" t="s">
        <v>61</v>
      </c>
      <c r="J246" s="3">
        <v>103</v>
      </c>
      <c r="K246" s="4">
        <f t="shared" si="14"/>
        <v>28.834579099129364</v>
      </c>
      <c r="L246" s="1" t="str">
        <f t="shared" si="15"/>
        <v>Levemente acima do peso</v>
      </c>
      <c r="M246" t="s">
        <v>20</v>
      </c>
    </row>
    <row r="247" spans="1:13" x14ac:dyDescent="0.25">
      <c r="A247">
        <v>246</v>
      </c>
      <c r="B247" t="s">
        <v>1646</v>
      </c>
      <c r="C247" s="2" t="s">
        <v>1647</v>
      </c>
      <c r="D247" s="2">
        <f t="shared" ca="1" si="12"/>
        <v>34</v>
      </c>
      <c r="E247" t="s">
        <v>10</v>
      </c>
      <c r="F247" t="s">
        <v>130</v>
      </c>
      <c r="G247" t="s">
        <v>131</v>
      </c>
      <c r="H247" t="str">
        <f t="shared" si="13"/>
        <v>Balneário Camboriú - SC</v>
      </c>
      <c r="I247" s="1" t="s">
        <v>37</v>
      </c>
      <c r="J247" s="3">
        <v>53</v>
      </c>
      <c r="K247" s="4">
        <f t="shared" si="14"/>
        <v>13.656626040351465</v>
      </c>
      <c r="L247" s="1" t="str">
        <f t="shared" si="15"/>
        <v>Muito abaixo do peso</v>
      </c>
      <c r="M247" t="s">
        <v>32</v>
      </c>
    </row>
    <row r="248" spans="1:13" x14ac:dyDescent="0.25">
      <c r="A248">
        <v>247</v>
      </c>
      <c r="B248" t="s">
        <v>3513</v>
      </c>
      <c r="C248" s="2" t="s">
        <v>3514</v>
      </c>
      <c r="D248" s="2">
        <f t="shared" ca="1" si="12"/>
        <v>28</v>
      </c>
      <c r="E248" t="s">
        <v>10</v>
      </c>
      <c r="F248" t="s">
        <v>208</v>
      </c>
      <c r="G248" t="s">
        <v>30</v>
      </c>
      <c r="H248" t="str">
        <f t="shared" si="13"/>
        <v>Ji-Paraná - RO</v>
      </c>
      <c r="I248" s="1" t="s">
        <v>155</v>
      </c>
      <c r="J248" s="3">
        <v>55</v>
      </c>
      <c r="K248" s="4">
        <f t="shared" si="14"/>
        <v>16.604274846033086</v>
      </c>
      <c r="L248" s="1" t="str">
        <f t="shared" si="15"/>
        <v>Muito abaixo do peso</v>
      </c>
      <c r="M248" t="s">
        <v>76</v>
      </c>
    </row>
    <row r="249" spans="1:13" x14ac:dyDescent="0.25">
      <c r="A249">
        <v>248</v>
      </c>
      <c r="B249" t="s">
        <v>4018</v>
      </c>
      <c r="C249" s="2" t="s">
        <v>4019</v>
      </c>
      <c r="D249" s="2">
        <f t="shared" ca="1" si="12"/>
        <v>21</v>
      </c>
      <c r="E249" t="s">
        <v>10</v>
      </c>
      <c r="F249" t="s">
        <v>244</v>
      </c>
      <c r="G249" t="s">
        <v>60</v>
      </c>
      <c r="H249" t="str">
        <f t="shared" si="13"/>
        <v>Araguaína - TO</v>
      </c>
      <c r="I249" s="1" t="s">
        <v>160</v>
      </c>
      <c r="J249" s="3">
        <v>90</v>
      </c>
      <c r="K249" s="4">
        <f t="shared" si="14"/>
        <v>26.583175803402646</v>
      </c>
      <c r="L249" s="1" t="str">
        <f t="shared" si="15"/>
        <v>Levemente acima do peso</v>
      </c>
      <c r="M249" t="s">
        <v>32</v>
      </c>
    </row>
    <row r="250" spans="1:13" x14ac:dyDescent="0.25">
      <c r="A250">
        <v>249</v>
      </c>
      <c r="B250" t="s">
        <v>3376</v>
      </c>
      <c r="C250" s="2" t="s">
        <v>3255</v>
      </c>
      <c r="D250" s="2">
        <f t="shared" ca="1" si="12"/>
        <v>59</v>
      </c>
      <c r="E250" t="s">
        <v>10</v>
      </c>
      <c r="F250" t="s">
        <v>3377</v>
      </c>
      <c r="G250" t="s">
        <v>103</v>
      </c>
      <c r="H250" t="str">
        <f t="shared" si="13"/>
        <v>Sumaré - SP</v>
      </c>
      <c r="I250" s="1" t="s">
        <v>255</v>
      </c>
      <c r="J250" s="3">
        <v>95</v>
      </c>
      <c r="K250" s="4">
        <f t="shared" si="14"/>
        <v>23.989293199666673</v>
      </c>
      <c r="L250" s="1" t="str">
        <f t="shared" si="15"/>
        <v>Peso ideal - parabéns</v>
      </c>
      <c r="M250" t="s">
        <v>32</v>
      </c>
    </row>
    <row r="251" spans="1:13" x14ac:dyDescent="0.25">
      <c r="A251">
        <v>250</v>
      </c>
      <c r="B251" t="s">
        <v>3062</v>
      </c>
      <c r="C251" s="2" t="s">
        <v>1026</v>
      </c>
      <c r="D251" s="2">
        <f t="shared" ca="1" si="12"/>
        <v>76</v>
      </c>
      <c r="E251" t="s">
        <v>10</v>
      </c>
      <c r="F251" t="s">
        <v>74</v>
      </c>
      <c r="G251" t="s">
        <v>75</v>
      </c>
      <c r="H251" t="str">
        <f t="shared" si="13"/>
        <v>Macapá - AP</v>
      </c>
      <c r="I251" s="1" t="s">
        <v>37</v>
      </c>
      <c r="J251" s="3">
        <v>71</v>
      </c>
      <c r="K251" s="4">
        <f t="shared" si="14"/>
        <v>18.294725450282151</v>
      </c>
      <c r="L251" s="1" t="str">
        <f t="shared" si="15"/>
        <v>Abaixo do peso</v>
      </c>
      <c r="M251" t="s">
        <v>26</v>
      </c>
    </row>
    <row r="252" spans="1:13" x14ac:dyDescent="0.25">
      <c r="A252">
        <v>251</v>
      </c>
      <c r="B252" t="s">
        <v>3796</v>
      </c>
      <c r="C252" s="2" t="s">
        <v>2944</v>
      </c>
      <c r="D252" s="2">
        <f t="shared" ca="1" si="12"/>
        <v>69</v>
      </c>
      <c r="E252" t="s">
        <v>10</v>
      </c>
      <c r="F252" t="s">
        <v>852</v>
      </c>
      <c r="G252" t="s">
        <v>186</v>
      </c>
      <c r="H252" t="str">
        <f t="shared" si="13"/>
        <v>Belo Horizonte - MG</v>
      </c>
      <c r="I252" s="1" t="s">
        <v>201</v>
      </c>
      <c r="J252" s="3">
        <v>90</v>
      </c>
      <c r="K252" s="4">
        <f t="shared" si="14"/>
        <v>23.427738442315704</v>
      </c>
      <c r="L252" s="1" t="str">
        <f t="shared" si="15"/>
        <v>Peso ideal - parabéns</v>
      </c>
      <c r="M252" t="s">
        <v>95</v>
      </c>
    </row>
    <row r="253" spans="1:13" x14ac:dyDescent="0.25">
      <c r="A253">
        <v>252</v>
      </c>
      <c r="B253" t="s">
        <v>3796</v>
      </c>
      <c r="C253" s="2" t="s">
        <v>2944</v>
      </c>
      <c r="D253" s="2">
        <f t="shared" ca="1" si="12"/>
        <v>69</v>
      </c>
      <c r="E253" t="s">
        <v>10</v>
      </c>
      <c r="F253" t="s">
        <v>852</v>
      </c>
      <c r="G253" t="s">
        <v>186</v>
      </c>
      <c r="H253" t="str">
        <f t="shared" si="13"/>
        <v>Belo Horizonte - MG</v>
      </c>
      <c r="I253" s="1" t="s">
        <v>201</v>
      </c>
      <c r="J253" s="3">
        <v>90</v>
      </c>
      <c r="K253" s="4">
        <f t="shared" si="14"/>
        <v>23.427738442315704</v>
      </c>
      <c r="L253" s="1" t="str">
        <f t="shared" si="15"/>
        <v>Peso ideal - parabéns</v>
      </c>
      <c r="M253" t="s">
        <v>95</v>
      </c>
    </row>
    <row r="254" spans="1:13" x14ac:dyDescent="0.25">
      <c r="A254">
        <v>253</v>
      </c>
      <c r="B254" t="s">
        <v>1540</v>
      </c>
      <c r="C254" s="2" t="s">
        <v>1541</v>
      </c>
      <c r="D254" s="2">
        <f t="shared" ca="1" si="12"/>
        <v>25</v>
      </c>
      <c r="E254" t="s">
        <v>23</v>
      </c>
      <c r="F254" t="s">
        <v>405</v>
      </c>
      <c r="G254" t="s">
        <v>170</v>
      </c>
      <c r="H254" t="str">
        <f t="shared" si="13"/>
        <v>Palmeira dos Índios - AL</v>
      </c>
      <c r="I254" s="1" t="s">
        <v>400</v>
      </c>
      <c r="J254" s="3">
        <v>90</v>
      </c>
      <c r="K254" s="4">
        <f t="shared" si="14"/>
        <v>27.777777777777775</v>
      </c>
      <c r="L254" s="1" t="str">
        <f t="shared" si="15"/>
        <v>Levemente acima do peso</v>
      </c>
      <c r="M254" t="s">
        <v>26</v>
      </c>
    </row>
    <row r="255" spans="1:13" x14ac:dyDescent="0.25">
      <c r="A255">
        <v>254</v>
      </c>
      <c r="B255" t="s">
        <v>3127</v>
      </c>
      <c r="C255" s="2" t="s">
        <v>3128</v>
      </c>
      <c r="D255" s="2">
        <f t="shared" ca="1" si="12"/>
        <v>52</v>
      </c>
      <c r="E255" t="s">
        <v>23</v>
      </c>
      <c r="F255" t="s">
        <v>3129</v>
      </c>
      <c r="G255" t="s">
        <v>175</v>
      </c>
      <c r="H255" t="str">
        <f t="shared" si="13"/>
        <v>Santa Cruz do Capibaribe - PE</v>
      </c>
      <c r="I255" s="1" t="s">
        <v>179</v>
      </c>
      <c r="J255" s="3">
        <v>57</v>
      </c>
      <c r="K255" s="4">
        <f t="shared" si="14"/>
        <v>18.826793499801823</v>
      </c>
      <c r="L255" s="1" t="str">
        <f t="shared" si="15"/>
        <v>Peso ideal - parabéns</v>
      </c>
      <c r="M255" t="s">
        <v>76</v>
      </c>
    </row>
    <row r="256" spans="1:13" x14ac:dyDescent="0.25">
      <c r="A256">
        <v>255</v>
      </c>
      <c r="B256" t="s">
        <v>234</v>
      </c>
      <c r="C256" s="2" t="s">
        <v>235</v>
      </c>
      <c r="D256" s="2">
        <f t="shared" ca="1" si="12"/>
        <v>28</v>
      </c>
      <c r="E256" t="s">
        <v>23</v>
      </c>
      <c r="F256" t="s">
        <v>236</v>
      </c>
      <c r="G256" t="s">
        <v>237</v>
      </c>
      <c r="H256" t="str">
        <f t="shared" si="13"/>
        <v>Teresina - PI</v>
      </c>
      <c r="I256" s="1" t="s">
        <v>104</v>
      </c>
      <c r="J256" s="3">
        <v>77</v>
      </c>
      <c r="K256" s="4">
        <f t="shared" si="14"/>
        <v>26.643598615916957</v>
      </c>
      <c r="L256" s="1" t="str">
        <f t="shared" si="15"/>
        <v>Levemente acima do peso</v>
      </c>
      <c r="M256" t="s">
        <v>95</v>
      </c>
    </row>
    <row r="257" spans="1:13" x14ac:dyDescent="0.25">
      <c r="A257">
        <v>256</v>
      </c>
      <c r="B257" t="s">
        <v>1568</v>
      </c>
      <c r="C257" s="2" t="s">
        <v>1569</v>
      </c>
      <c r="D257" s="2">
        <f t="shared" ca="1" si="12"/>
        <v>73</v>
      </c>
      <c r="E257" t="s">
        <v>23</v>
      </c>
      <c r="F257" t="s">
        <v>1570</v>
      </c>
      <c r="G257" t="s">
        <v>51</v>
      </c>
      <c r="H257" t="str">
        <f t="shared" si="13"/>
        <v>Macaé - RJ</v>
      </c>
      <c r="I257" s="1" t="s">
        <v>281</v>
      </c>
      <c r="J257" s="3">
        <v>77</v>
      </c>
      <c r="K257" s="4">
        <f t="shared" si="14"/>
        <v>29.340039628105465</v>
      </c>
      <c r="L257" s="1" t="str">
        <f t="shared" si="15"/>
        <v>Levemente acima do peso</v>
      </c>
      <c r="M257" t="s">
        <v>14</v>
      </c>
    </row>
    <row r="258" spans="1:13" x14ac:dyDescent="0.25">
      <c r="A258">
        <v>257</v>
      </c>
      <c r="B258" t="s">
        <v>3534</v>
      </c>
      <c r="C258" s="2" t="s">
        <v>1239</v>
      </c>
      <c r="D258" s="2">
        <f t="shared" ca="1" si="12"/>
        <v>67</v>
      </c>
      <c r="E258" t="s">
        <v>23</v>
      </c>
      <c r="F258" t="s">
        <v>3215</v>
      </c>
      <c r="G258" t="s">
        <v>55</v>
      </c>
      <c r="H258" t="str">
        <f t="shared" si="13"/>
        <v>Sarandi - PR</v>
      </c>
      <c r="I258" s="1" t="s">
        <v>194</v>
      </c>
      <c r="J258" s="3">
        <v>45</v>
      </c>
      <c r="K258" s="4">
        <f t="shared" si="14"/>
        <v>13.148283418553687</v>
      </c>
      <c r="L258" s="1" t="str">
        <f t="shared" si="15"/>
        <v>Muito abaixo do peso</v>
      </c>
      <c r="M258" t="s">
        <v>47</v>
      </c>
    </row>
    <row r="259" spans="1:13" x14ac:dyDescent="0.25">
      <c r="A259">
        <v>258</v>
      </c>
      <c r="B259" t="s">
        <v>3321</v>
      </c>
      <c r="C259" s="2" t="s">
        <v>2955</v>
      </c>
      <c r="D259" s="2">
        <f t="shared" ref="D259:D322" ca="1" si="16">YEAR(TODAY())-YEAR(C259)</f>
        <v>30</v>
      </c>
      <c r="E259" t="s">
        <v>23</v>
      </c>
      <c r="F259" t="s">
        <v>944</v>
      </c>
      <c r="G259" t="s">
        <v>55</v>
      </c>
      <c r="H259" t="str">
        <f t="shared" ref="H259:H322" si="17">CONCATENATE(F259," - ",G259)</f>
        <v>Cascavel - PR</v>
      </c>
      <c r="I259" s="1" t="s">
        <v>281</v>
      </c>
      <c r="J259" s="3">
        <v>51</v>
      </c>
      <c r="K259" s="4">
        <f t="shared" ref="K259:K322" si="18">J259/(I259*I259)</f>
        <v>19.433013260173752</v>
      </c>
      <c r="L259" s="1" t="str">
        <f t="shared" ref="L259:L322" si="19">IF(K259&gt;=40,"Obesidade grau III - mórbida",
IF(K259&gt;=35,"Obesidade grau II - severa",
IF(K259&gt;=30,"Obesidade grau I",
IF(K259&gt;=25,"Levemente acima do peso",
IF(K259&gt;=18.6,"Peso ideal - parabéns",
IF(K259&gt;=17,"Abaixo do peso",
"Muito abaixo do peso"))))))</f>
        <v>Peso ideal - parabéns</v>
      </c>
      <c r="M259" t="s">
        <v>26</v>
      </c>
    </row>
    <row r="260" spans="1:13" x14ac:dyDescent="0.25">
      <c r="A260">
        <v>259</v>
      </c>
      <c r="B260" t="s">
        <v>1144</v>
      </c>
      <c r="C260" s="2" t="s">
        <v>1145</v>
      </c>
      <c r="D260" s="2">
        <f t="shared" ca="1" si="16"/>
        <v>32</v>
      </c>
      <c r="E260" t="s">
        <v>23</v>
      </c>
      <c r="F260" t="s">
        <v>169</v>
      </c>
      <c r="G260" t="s">
        <v>170</v>
      </c>
      <c r="H260" t="str">
        <f t="shared" si="17"/>
        <v>Maceió - AL</v>
      </c>
      <c r="I260" s="1" t="s">
        <v>582</v>
      </c>
      <c r="J260" s="3">
        <v>82</v>
      </c>
      <c r="K260" s="4">
        <f t="shared" si="18"/>
        <v>33.694937541091385</v>
      </c>
      <c r="L260" s="1" t="str">
        <f t="shared" si="19"/>
        <v>Obesidade grau I</v>
      </c>
      <c r="M260" t="s">
        <v>76</v>
      </c>
    </row>
    <row r="261" spans="1:13" x14ac:dyDescent="0.25">
      <c r="A261">
        <v>260</v>
      </c>
      <c r="B261" t="s">
        <v>1965</v>
      </c>
      <c r="C261" s="2" t="s">
        <v>1966</v>
      </c>
      <c r="D261" s="2">
        <f t="shared" ca="1" si="16"/>
        <v>51</v>
      </c>
      <c r="E261" t="s">
        <v>23</v>
      </c>
      <c r="F261" t="s">
        <v>64</v>
      </c>
      <c r="G261" t="s">
        <v>65</v>
      </c>
      <c r="H261" t="str">
        <f t="shared" si="17"/>
        <v>Salvador - BA</v>
      </c>
      <c r="I261" s="1" t="s">
        <v>209</v>
      </c>
      <c r="J261" s="3">
        <v>55</v>
      </c>
      <c r="K261" s="4">
        <f t="shared" si="18"/>
        <v>23.19109461966605</v>
      </c>
      <c r="L261" s="1" t="str">
        <f t="shared" si="19"/>
        <v>Peso ideal - parabéns</v>
      </c>
      <c r="M261" t="s">
        <v>26</v>
      </c>
    </row>
    <row r="262" spans="1:13" x14ac:dyDescent="0.25">
      <c r="A262">
        <v>261</v>
      </c>
      <c r="B262" t="s">
        <v>2951</v>
      </c>
      <c r="C262" s="2" t="s">
        <v>2952</v>
      </c>
      <c r="D262" s="2">
        <f t="shared" ca="1" si="16"/>
        <v>62</v>
      </c>
      <c r="E262" t="s">
        <v>23</v>
      </c>
      <c r="F262" t="s">
        <v>294</v>
      </c>
      <c r="G262" t="s">
        <v>112</v>
      </c>
      <c r="H262" t="str">
        <f t="shared" si="17"/>
        <v>Santarém - PA</v>
      </c>
      <c r="I262" s="1" t="s">
        <v>386</v>
      </c>
      <c r="J262" s="3">
        <v>73</v>
      </c>
      <c r="K262" s="4">
        <f t="shared" si="18"/>
        <v>26.491508201480624</v>
      </c>
      <c r="L262" s="1" t="str">
        <f t="shared" si="19"/>
        <v>Levemente acima do peso</v>
      </c>
      <c r="M262" t="s">
        <v>20</v>
      </c>
    </row>
    <row r="263" spans="1:13" x14ac:dyDescent="0.25">
      <c r="A263">
        <v>262</v>
      </c>
      <c r="B263" t="s">
        <v>1230</v>
      </c>
      <c r="C263" s="2" t="s">
        <v>1231</v>
      </c>
      <c r="D263" s="2">
        <f t="shared" ca="1" si="16"/>
        <v>46</v>
      </c>
      <c r="E263" t="s">
        <v>23</v>
      </c>
      <c r="F263" t="s">
        <v>457</v>
      </c>
      <c r="G263" t="s">
        <v>41</v>
      </c>
      <c r="H263" t="str">
        <f t="shared" si="17"/>
        <v>João Pessoa - PB</v>
      </c>
      <c r="I263" s="1" t="s">
        <v>123</v>
      </c>
      <c r="J263" s="3">
        <v>64</v>
      </c>
      <c r="K263" s="4">
        <f t="shared" si="18"/>
        <v>20.66115702479339</v>
      </c>
      <c r="L263" s="1" t="str">
        <f t="shared" si="19"/>
        <v>Peso ideal - parabéns</v>
      </c>
      <c r="M263" t="s">
        <v>26</v>
      </c>
    </row>
    <row r="264" spans="1:13" x14ac:dyDescent="0.25">
      <c r="A264">
        <v>263</v>
      </c>
      <c r="B264" t="s">
        <v>2193</v>
      </c>
      <c r="C264" s="2" t="s">
        <v>2194</v>
      </c>
      <c r="D264" s="2">
        <f t="shared" ca="1" si="16"/>
        <v>72</v>
      </c>
      <c r="E264" t="s">
        <v>23</v>
      </c>
      <c r="F264" t="s">
        <v>775</v>
      </c>
      <c r="G264" t="s">
        <v>51</v>
      </c>
      <c r="H264" t="str">
        <f t="shared" si="17"/>
        <v>Rio de Janeiro - RJ</v>
      </c>
      <c r="I264" s="1" t="s">
        <v>171</v>
      </c>
      <c r="J264" s="3">
        <v>78</v>
      </c>
      <c r="K264" s="4">
        <f t="shared" si="18"/>
        <v>27.968016063681024</v>
      </c>
      <c r="L264" s="1" t="str">
        <f t="shared" si="19"/>
        <v>Levemente acima do peso</v>
      </c>
      <c r="M264" t="s">
        <v>95</v>
      </c>
    </row>
    <row r="265" spans="1:13" x14ac:dyDescent="0.25">
      <c r="A265">
        <v>264</v>
      </c>
      <c r="B265" t="s">
        <v>1590</v>
      </c>
      <c r="C265" s="2" t="s">
        <v>1591</v>
      </c>
      <c r="D265" s="2">
        <f t="shared" ca="1" si="16"/>
        <v>29</v>
      </c>
      <c r="E265" t="s">
        <v>23</v>
      </c>
      <c r="F265" t="s">
        <v>457</v>
      </c>
      <c r="G265" t="s">
        <v>41</v>
      </c>
      <c r="H265" t="str">
        <f t="shared" si="17"/>
        <v>João Pessoa - PB</v>
      </c>
      <c r="I265" s="1" t="s">
        <v>113</v>
      </c>
      <c r="J265" s="3">
        <v>87</v>
      </c>
      <c r="K265" s="4">
        <f t="shared" si="18"/>
        <v>32.744928299898383</v>
      </c>
      <c r="L265" s="1" t="str">
        <f t="shared" si="19"/>
        <v>Obesidade grau I</v>
      </c>
      <c r="M265" t="s">
        <v>26</v>
      </c>
    </row>
    <row r="266" spans="1:13" x14ac:dyDescent="0.25">
      <c r="A266">
        <v>265</v>
      </c>
      <c r="B266" t="s">
        <v>3153</v>
      </c>
      <c r="C266" s="2" t="s">
        <v>3154</v>
      </c>
      <c r="D266" s="2">
        <f t="shared" ca="1" si="16"/>
        <v>28</v>
      </c>
      <c r="E266" t="s">
        <v>23</v>
      </c>
      <c r="F266" t="s">
        <v>1083</v>
      </c>
      <c r="G266" t="s">
        <v>65</v>
      </c>
      <c r="H266" t="str">
        <f t="shared" si="17"/>
        <v>Itabuna - BA</v>
      </c>
      <c r="I266" s="1" t="s">
        <v>155</v>
      </c>
      <c r="J266" s="3">
        <v>67</v>
      </c>
      <c r="K266" s="4">
        <f t="shared" si="18"/>
        <v>20.227025721531216</v>
      </c>
      <c r="L266" s="1" t="str">
        <f t="shared" si="19"/>
        <v>Peso ideal - parabéns</v>
      </c>
      <c r="M266" t="s">
        <v>20</v>
      </c>
    </row>
    <row r="267" spans="1:13" x14ac:dyDescent="0.25">
      <c r="A267">
        <v>266</v>
      </c>
      <c r="B267" t="s">
        <v>3287</v>
      </c>
      <c r="C267" s="2" t="s">
        <v>3095</v>
      </c>
      <c r="D267" s="2">
        <f t="shared" ca="1" si="16"/>
        <v>66</v>
      </c>
      <c r="E267" t="s">
        <v>23</v>
      </c>
      <c r="F267" t="s">
        <v>158</v>
      </c>
      <c r="G267" t="s">
        <v>159</v>
      </c>
      <c r="H267" t="str">
        <f t="shared" si="17"/>
        <v>Brasília - DF</v>
      </c>
      <c r="I267" s="1" t="s">
        <v>13</v>
      </c>
      <c r="J267" s="3">
        <v>90</v>
      </c>
      <c r="K267" s="4">
        <f t="shared" si="18"/>
        <v>30.778701138811947</v>
      </c>
      <c r="L267" s="1" t="str">
        <f t="shared" si="19"/>
        <v>Obesidade grau I</v>
      </c>
      <c r="M267" t="s">
        <v>32</v>
      </c>
    </row>
    <row r="268" spans="1:13" x14ac:dyDescent="0.25">
      <c r="A268">
        <v>267</v>
      </c>
      <c r="B268" t="s">
        <v>2219</v>
      </c>
      <c r="C268" s="2" t="s">
        <v>2220</v>
      </c>
      <c r="D268" s="2">
        <f t="shared" ca="1" si="16"/>
        <v>54</v>
      </c>
      <c r="E268" t="s">
        <v>23</v>
      </c>
      <c r="F268" t="s">
        <v>297</v>
      </c>
      <c r="G268" t="s">
        <v>310</v>
      </c>
      <c r="H268" t="str">
        <f t="shared" si="17"/>
        <v>Santa Maria - RS</v>
      </c>
      <c r="I268" s="1" t="s">
        <v>575</v>
      </c>
      <c r="J268" s="3">
        <v>87</v>
      </c>
      <c r="K268" s="4">
        <f t="shared" si="18"/>
        <v>34.413195680550608</v>
      </c>
      <c r="L268" s="1" t="str">
        <f t="shared" si="19"/>
        <v>Obesidade grau I</v>
      </c>
      <c r="M268" t="s">
        <v>20</v>
      </c>
    </row>
    <row r="269" spans="1:13" x14ac:dyDescent="0.25">
      <c r="A269">
        <v>268</v>
      </c>
      <c r="B269" t="s">
        <v>769</v>
      </c>
      <c r="C269" s="2" t="s">
        <v>770</v>
      </c>
      <c r="D269" s="2">
        <f t="shared" ca="1" si="16"/>
        <v>57</v>
      </c>
      <c r="E269" t="s">
        <v>23</v>
      </c>
      <c r="F269" t="s">
        <v>771</v>
      </c>
      <c r="G269" t="s">
        <v>46</v>
      </c>
      <c r="H269" t="str">
        <f t="shared" si="17"/>
        <v>Cidade Ocidental - GO</v>
      </c>
      <c r="I269" s="1" t="s">
        <v>31</v>
      </c>
      <c r="J269" s="3">
        <v>56</v>
      </c>
      <c r="K269" s="4">
        <f t="shared" si="18"/>
        <v>20.820939916716245</v>
      </c>
      <c r="L269" s="1" t="str">
        <f t="shared" si="19"/>
        <v>Peso ideal - parabéns</v>
      </c>
      <c r="M269" t="s">
        <v>20</v>
      </c>
    </row>
    <row r="270" spans="1:13" x14ac:dyDescent="0.25">
      <c r="A270">
        <v>269</v>
      </c>
      <c r="B270" t="s">
        <v>3600</v>
      </c>
      <c r="C270" s="2" t="s">
        <v>1173</v>
      </c>
      <c r="D270" s="2">
        <f t="shared" ca="1" si="16"/>
        <v>46</v>
      </c>
      <c r="E270" t="s">
        <v>23</v>
      </c>
      <c r="F270" t="s">
        <v>313</v>
      </c>
      <c r="G270" t="s">
        <v>25</v>
      </c>
      <c r="H270" t="str">
        <f t="shared" si="17"/>
        <v>Parnamirim - RN</v>
      </c>
      <c r="I270" s="1" t="s">
        <v>281</v>
      </c>
      <c r="J270" s="3">
        <v>75</v>
      </c>
      <c r="K270" s="4">
        <f t="shared" si="18"/>
        <v>28.577960676726104</v>
      </c>
      <c r="L270" s="1" t="str">
        <f t="shared" si="19"/>
        <v>Levemente acima do peso</v>
      </c>
      <c r="M270" t="s">
        <v>95</v>
      </c>
    </row>
    <row r="271" spans="1:13" x14ac:dyDescent="0.25">
      <c r="A271">
        <v>270</v>
      </c>
      <c r="B271" t="s">
        <v>3195</v>
      </c>
      <c r="C271" s="2" t="s">
        <v>3196</v>
      </c>
      <c r="D271" s="2">
        <f t="shared" ca="1" si="16"/>
        <v>35</v>
      </c>
      <c r="E271" t="s">
        <v>23</v>
      </c>
      <c r="F271" t="s">
        <v>153</v>
      </c>
      <c r="G271" t="s">
        <v>154</v>
      </c>
      <c r="H271" t="str">
        <f t="shared" si="17"/>
        <v>Manaus - AM</v>
      </c>
      <c r="I271" s="1" t="s">
        <v>123</v>
      </c>
      <c r="J271" s="3">
        <v>84</v>
      </c>
      <c r="K271" s="4">
        <f t="shared" si="18"/>
        <v>27.117768595041323</v>
      </c>
      <c r="L271" s="1" t="str">
        <f t="shared" si="19"/>
        <v>Levemente acima do peso</v>
      </c>
      <c r="M271" t="s">
        <v>76</v>
      </c>
    </row>
    <row r="272" spans="1:13" x14ac:dyDescent="0.25">
      <c r="A272">
        <v>271</v>
      </c>
      <c r="B272" t="s">
        <v>3494</v>
      </c>
      <c r="C272" s="2" t="s">
        <v>3495</v>
      </c>
      <c r="D272" s="2">
        <f t="shared" ca="1" si="16"/>
        <v>48</v>
      </c>
      <c r="E272" t="s">
        <v>23</v>
      </c>
      <c r="F272" t="s">
        <v>446</v>
      </c>
      <c r="G272" t="s">
        <v>170</v>
      </c>
      <c r="H272" t="str">
        <f t="shared" si="17"/>
        <v>Arapiraca - AL</v>
      </c>
      <c r="I272" s="1" t="s">
        <v>104</v>
      </c>
      <c r="J272" s="3">
        <v>85</v>
      </c>
      <c r="K272" s="4">
        <f t="shared" si="18"/>
        <v>29.411764705882355</v>
      </c>
      <c r="L272" s="1" t="str">
        <f t="shared" si="19"/>
        <v>Levemente acima do peso</v>
      </c>
      <c r="M272" t="s">
        <v>95</v>
      </c>
    </row>
    <row r="273" spans="1:13" x14ac:dyDescent="0.25">
      <c r="A273">
        <v>272</v>
      </c>
      <c r="B273" t="s">
        <v>340</v>
      </c>
      <c r="C273" s="2" t="s">
        <v>341</v>
      </c>
      <c r="D273" s="2">
        <f t="shared" ca="1" si="16"/>
        <v>28</v>
      </c>
      <c r="E273" t="s">
        <v>23</v>
      </c>
      <c r="F273" t="s">
        <v>74</v>
      </c>
      <c r="G273" t="s">
        <v>75</v>
      </c>
      <c r="H273" t="str">
        <f t="shared" si="17"/>
        <v>Macapá - AP</v>
      </c>
      <c r="I273" s="1" t="s">
        <v>117</v>
      </c>
      <c r="J273" s="3">
        <v>90</v>
      </c>
      <c r="K273" s="4">
        <f t="shared" si="18"/>
        <v>28.405504355510669</v>
      </c>
      <c r="L273" s="1" t="str">
        <f t="shared" si="19"/>
        <v>Levemente acima do peso</v>
      </c>
      <c r="M273" t="s">
        <v>83</v>
      </c>
    </row>
    <row r="274" spans="1:13" x14ac:dyDescent="0.25">
      <c r="A274">
        <v>273</v>
      </c>
      <c r="B274" t="s">
        <v>1053</v>
      </c>
      <c r="C274" s="2" t="s">
        <v>1054</v>
      </c>
      <c r="D274" s="2">
        <f t="shared" ca="1" si="16"/>
        <v>78</v>
      </c>
      <c r="E274" t="s">
        <v>23</v>
      </c>
      <c r="F274" t="s">
        <v>1055</v>
      </c>
      <c r="G274" t="s">
        <v>30</v>
      </c>
      <c r="H274" t="str">
        <f t="shared" si="17"/>
        <v>Ariquemes - RO</v>
      </c>
      <c r="I274" s="1" t="s">
        <v>71</v>
      </c>
      <c r="J274" s="3">
        <v>59</v>
      </c>
      <c r="K274" s="4">
        <f t="shared" si="18"/>
        <v>17.617725223207618</v>
      </c>
      <c r="L274" s="1" t="str">
        <f t="shared" si="19"/>
        <v>Abaixo do peso</v>
      </c>
      <c r="M274" t="s">
        <v>47</v>
      </c>
    </row>
    <row r="275" spans="1:13" x14ac:dyDescent="0.25">
      <c r="A275">
        <v>274</v>
      </c>
      <c r="B275" t="s">
        <v>3032</v>
      </c>
      <c r="C275" s="2" t="s">
        <v>3033</v>
      </c>
      <c r="D275" s="2">
        <f t="shared" ca="1" si="16"/>
        <v>75</v>
      </c>
      <c r="E275" t="s">
        <v>10</v>
      </c>
      <c r="F275" t="s">
        <v>457</v>
      </c>
      <c r="G275" t="s">
        <v>41</v>
      </c>
      <c r="H275" t="str">
        <f t="shared" si="17"/>
        <v>João Pessoa - PB</v>
      </c>
      <c r="I275" s="1" t="s">
        <v>694</v>
      </c>
      <c r="J275" s="3">
        <v>88</v>
      </c>
      <c r="K275" s="4">
        <f t="shared" si="18"/>
        <v>25.436466643542602</v>
      </c>
      <c r="L275" s="1" t="str">
        <f t="shared" si="19"/>
        <v>Levemente acima do peso</v>
      </c>
      <c r="M275" t="s">
        <v>20</v>
      </c>
    </row>
    <row r="276" spans="1:13" x14ac:dyDescent="0.25">
      <c r="A276">
        <v>275</v>
      </c>
      <c r="B276" t="s">
        <v>223</v>
      </c>
      <c r="C276" s="2" t="s">
        <v>224</v>
      </c>
      <c r="D276" s="2">
        <f t="shared" ca="1" si="16"/>
        <v>52</v>
      </c>
      <c r="E276" t="s">
        <v>10</v>
      </c>
      <c r="F276" t="s">
        <v>225</v>
      </c>
      <c r="G276" t="s">
        <v>18</v>
      </c>
      <c r="H276" t="str">
        <f t="shared" si="17"/>
        <v>Corumbá - MS</v>
      </c>
      <c r="I276" s="1" t="s">
        <v>226</v>
      </c>
      <c r="J276" s="3">
        <v>108</v>
      </c>
      <c r="K276" s="4">
        <f t="shared" si="18"/>
        <v>27.548209366391184</v>
      </c>
      <c r="L276" s="1" t="str">
        <f t="shared" si="19"/>
        <v>Levemente acima do peso</v>
      </c>
      <c r="M276" t="s">
        <v>95</v>
      </c>
    </row>
    <row r="277" spans="1:13" x14ac:dyDescent="0.25">
      <c r="A277">
        <v>276</v>
      </c>
      <c r="B277" t="s">
        <v>1295</v>
      </c>
      <c r="C277" s="2" t="s">
        <v>1282</v>
      </c>
      <c r="D277" s="2">
        <f t="shared" ca="1" si="16"/>
        <v>21</v>
      </c>
      <c r="E277" t="s">
        <v>10</v>
      </c>
      <c r="F277" t="s">
        <v>354</v>
      </c>
      <c r="G277" t="s">
        <v>30</v>
      </c>
      <c r="H277" t="str">
        <f t="shared" si="17"/>
        <v>Porto Velho - RO</v>
      </c>
      <c r="I277" s="1" t="s">
        <v>286</v>
      </c>
      <c r="J277" s="3">
        <v>70</v>
      </c>
      <c r="K277" s="4">
        <f t="shared" si="18"/>
        <v>25.711662075298442</v>
      </c>
      <c r="L277" s="1" t="str">
        <f t="shared" si="19"/>
        <v>Levemente acima do peso</v>
      </c>
      <c r="M277" t="s">
        <v>14</v>
      </c>
    </row>
    <row r="278" spans="1:13" x14ac:dyDescent="0.25">
      <c r="A278">
        <v>277</v>
      </c>
      <c r="B278" t="s">
        <v>4089</v>
      </c>
      <c r="C278" s="2" t="s">
        <v>4090</v>
      </c>
      <c r="D278" s="2">
        <f t="shared" ca="1" si="16"/>
        <v>27</v>
      </c>
      <c r="E278" t="s">
        <v>10</v>
      </c>
      <c r="F278" t="s">
        <v>736</v>
      </c>
      <c r="G278" t="s">
        <v>190</v>
      </c>
      <c r="H278" t="str">
        <f t="shared" si="17"/>
        <v>Sinop - MT</v>
      </c>
      <c r="I278" s="1" t="s">
        <v>286</v>
      </c>
      <c r="J278" s="3">
        <v>65</v>
      </c>
      <c r="K278" s="4">
        <f t="shared" si="18"/>
        <v>23.875114784205696</v>
      </c>
      <c r="L278" s="1" t="str">
        <f t="shared" si="19"/>
        <v>Peso ideal - parabéns</v>
      </c>
      <c r="M278" t="s">
        <v>76</v>
      </c>
    </row>
    <row r="279" spans="1:13" x14ac:dyDescent="0.25">
      <c r="A279">
        <v>278</v>
      </c>
      <c r="B279" t="s">
        <v>1124</v>
      </c>
      <c r="C279" s="2" t="s">
        <v>1125</v>
      </c>
      <c r="D279" s="2">
        <f t="shared" ca="1" si="16"/>
        <v>58</v>
      </c>
      <c r="E279" t="s">
        <v>10</v>
      </c>
      <c r="F279" t="s">
        <v>1126</v>
      </c>
      <c r="G279" t="s">
        <v>186</v>
      </c>
      <c r="H279" t="str">
        <f t="shared" si="17"/>
        <v>Pará de Minas - MG</v>
      </c>
      <c r="I279" s="1" t="s">
        <v>123</v>
      </c>
      <c r="J279" s="3">
        <v>64</v>
      </c>
      <c r="K279" s="4">
        <f t="shared" si="18"/>
        <v>20.66115702479339</v>
      </c>
      <c r="L279" s="1" t="str">
        <f t="shared" si="19"/>
        <v>Peso ideal - parabéns</v>
      </c>
      <c r="M279" t="s">
        <v>20</v>
      </c>
    </row>
    <row r="280" spans="1:13" x14ac:dyDescent="0.25">
      <c r="A280">
        <v>279</v>
      </c>
      <c r="B280" t="s">
        <v>3732</v>
      </c>
      <c r="C280" s="2" t="s">
        <v>3733</v>
      </c>
      <c r="D280" s="2">
        <f t="shared" ca="1" si="16"/>
        <v>56</v>
      </c>
      <c r="E280" t="s">
        <v>23</v>
      </c>
      <c r="F280" t="s">
        <v>462</v>
      </c>
      <c r="G280" t="s">
        <v>36</v>
      </c>
      <c r="H280" t="str">
        <f t="shared" si="17"/>
        <v>Caxias - MA</v>
      </c>
      <c r="I280" s="1" t="s">
        <v>209</v>
      </c>
      <c r="J280" s="3">
        <v>83</v>
      </c>
      <c r="K280" s="4">
        <f t="shared" si="18"/>
        <v>34.997470062405128</v>
      </c>
      <c r="L280" s="1" t="str">
        <f t="shared" si="19"/>
        <v>Obesidade grau I</v>
      </c>
      <c r="M280" t="s">
        <v>26</v>
      </c>
    </row>
    <row r="281" spans="1:13" x14ac:dyDescent="0.25">
      <c r="A281">
        <v>280</v>
      </c>
      <c r="B281" t="s">
        <v>1236</v>
      </c>
      <c r="C281" s="2" t="s">
        <v>1237</v>
      </c>
      <c r="D281" s="2">
        <f t="shared" ca="1" si="16"/>
        <v>45</v>
      </c>
      <c r="E281" t="s">
        <v>23</v>
      </c>
      <c r="F281" t="s">
        <v>153</v>
      </c>
      <c r="G281" t="s">
        <v>154</v>
      </c>
      <c r="H281" t="str">
        <f t="shared" si="17"/>
        <v>Manaus - AM</v>
      </c>
      <c r="I281" s="1" t="s">
        <v>117</v>
      </c>
      <c r="J281" s="3">
        <v>52</v>
      </c>
      <c r="K281" s="4">
        <f t="shared" si="18"/>
        <v>16.412069183183942</v>
      </c>
      <c r="L281" s="1" t="str">
        <f t="shared" si="19"/>
        <v>Muito abaixo do peso</v>
      </c>
      <c r="M281" t="s">
        <v>83</v>
      </c>
    </row>
    <row r="282" spans="1:13" x14ac:dyDescent="0.25">
      <c r="A282">
        <v>281</v>
      </c>
      <c r="B282" t="s">
        <v>2686</v>
      </c>
      <c r="C282" s="2" t="s">
        <v>2687</v>
      </c>
      <c r="D282" s="2">
        <f t="shared" ca="1" si="16"/>
        <v>28</v>
      </c>
      <c r="E282" t="s">
        <v>23</v>
      </c>
      <c r="F282" t="s">
        <v>2688</v>
      </c>
      <c r="G282" t="s">
        <v>55</v>
      </c>
      <c r="H282" t="str">
        <f t="shared" si="17"/>
        <v>Fazenda Rio Grande - PR</v>
      </c>
      <c r="I282" s="1" t="s">
        <v>31</v>
      </c>
      <c r="J282" s="3">
        <v>58</v>
      </c>
      <c r="K282" s="4">
        <f t="shared" si="18"/>
        <v>21.564544913741823</v>
      </c>
      <c r="L282" s="1" t="str">
        <f t="shared" si="19"/>
        <v>Peso ideal - parabéns</v>
      </c>
      <c r="M282" t="s">
        <v>76</v>
      </c>
    </row>
    <row r="283" spans="1:13" x14ac:dyDescent="0.25">
      <c r="A283">
        <v>282</v>
      </c>
      <c r="B283" t="s">
        <v>3329</v>
      </c>
      <c r="C283" s="2" t="s">
        <v>3271</v>
      </c>
      <c r="D283" s="2">
        <f t="shared" ca="1" si="16"/>
        <v>71</v>
      </c>
      <c r="E283" t="s">
        <v>23</v>
      </c>
      <c r="F283" t="s">
        <v>59</v>
      </c>
      <c r="G283" t="s">
        <v>60</v>
      </c>
      <c r="H283" t="str">
        <f t="shared" si="17"/>
        <v>Palmas - TO</v>
      </c>
      <c r="I283" s="1" t="s">
        <v>302</v>
      </c>
      <c r="J283" s="3">
        <v>80</v>
      </c>
      <c r="K283" s="4">
        <f t="shared" si="18"/>
        <v>35.086180430682866</v>
      </c>
      <c r="L283" s="1" t="str">
        <f t="shared" si="19"/>
        <v>Obesidade grau II - severa</v>
      </c>
      <c r="M283" t="s">
        <v>26</v>
      </c>
    </row>
    <row r="284" spans="1:13" x14ac:dyDescent="0.25">
      <c r="A284">
        <v>283</v>
      </c>
      <c r="B284" t="s">
        <v>1785</v>
      </c>
      <c r="C284" s="2" t="s">
        <v>527</v>
      </c>
      <c r="D284" s="2">
        <f t="shared" ca="1" si="16"/>
        <v>72</v>
      </c>
      <c r="E284" t="s">
        <v>23</v>
      </c>
      <c r="F284" t="s">
        <v>1657</v>
      </c>
      <c r="G284" t="s">
        <v>273</v>
      </c>
      <c r="H284" t="str">
        <f t="shared" si="17"/>
        <v>São Mateus - ES</v>
      </c>
      <c r="I284" s="1" t="s">
        <v>42</v>
      </c>
      <c r="J284" s="3">
        <v>64</v>
      </c>
      <c r="K284" s="4">
        <f t="shared" si="18"/>
        <v>19.97440779001904</v>
      </c>
      <c r="L284" s="1" t="str">
        <f t="shared" si="19"/>
        <v>Peso ideal - parabéns</v>
      </c>
      <c r="M284" t="s">
        <v>83</v>
      </c>
    </row>
    <row r="285" spans="1:13" x14ac:dyDescent="0.25">
      <c r="A285">
        <v>284</v>
      </c>
      <c r="B285" t="s">
        <v>2850</v>
      </c>
      <c r="C285" s="2" t="s">
        <v>2851</v>
      </c>
      <c r="D285" s="2">
        <f t="shared" ca="1" si="16"/>
        <v>21</v>
      </c>
      <c r="E285" t="s">
        <v>23</v>
      </c>
      <c r="F285" t="s">
        <v>873</v>
      </c>
      <c r="G285" t="s">
        <v>51</v>
      </c>
      <c r="H285" t="str">
        <f t="shared" si="17"/>
        <v>Duque de Caxias - RJ</v>
      </c>
      <c r="I285" s="1" t="s">
        <v>19</v>
      </c>
      <c r="J285" s="3">
        <v>65</v>
      </c>
      <c r="K285" s="4">
        <f t="shared" si="18"/>
        <v>20.747550193111813</v>
      </c>
      <c r="L285" s="1" t="str">
        <f t="shared" si="19"/>
        <v>Peso ideal - parabéns</v>
      </c>
      <c r="M285" t="s">
        <v>20</v>
      </c>
    </row>
    <row r="286" spans="1:13" x14ac:dyDescent="0.25">
      <c r="A286">
        <v>285</v>
      </c>
      <c r="B286" t="s">
        <v>4070</v>
      </c>
      <c r="C286" s="2" t="s">
        <v>4071</v>
      </c>
      <c r="D286" s="2">
        <f t="shared" ca="1" si="16"/>
        <v>59</v>
      </c>
      <c r="E286" t="s">
        <v>23</v>
      </c>
      <c r="F286" t="s">
        <v>64</v>
      </c>
      <c r="G286" t="s">
        <v>65</v>
      </c>
      <c r="H286" t="str">
        <f t="shared" si="17"/>
        <v>Salvador - BA</v>
      </c>
      <c r="I286" s="1" t="s">
        <v>155</v>
      </c>
      <c r="J286" s="3">
        <v>72</v>
      </c>
      <c r="K286" s="4">
        <f t="shared" si="18"/>
        <v>21.736505252988767</v>
      </c>
      <c r="L286" s="1" t="str">
        <f t="shared" si="19"/>
        <v>Peso ideal - parabéns</v>
      </c>
      <c r="M286" t="s">
        <v>26</v>
      </c>
    </row>
    <row r="287" spans="1:13" x14ac:dyDescent="0.25">
      <c r="A287">
        <v>286</v>
      </c>
      <c r="B287" t="s">
        <v>3472</v>
      </c>
      <c r="C287" s="2" t="s">
        <v>3473</v>
      </c>
      <c r="D287" s="2">
        <f t="shared" ca="1" si="16"/>
        <v>43</v>
      </c>
      <c r="E287" t="s">
        <v>10</v>
      </c>
      <c r="F287" t="s">
        <v>54</v>
      </c>
      <c r="G287" t="s">
        <v>55</v>
      </c>
      <c r="H287" t="str">
        <f t="shared" si="17"/>
        <v>Ponta Grossa - PR</v>
      </c>
      <c r="I287" s="1" t="s">
        <v>694</v>
      </c>
      <c r="J287" s="3">
        <v>95</v>
      </c>
      <c r="K287" s="4">
        <f t="shared" si="18"/>
        <v>27.459821944733491</v>
      </c>
      <c r="L287" s="1" t="str">
        <f t="shared" si="19"/>
        <v>Levemente acima do peso</v>
      </c>
      <c r="M287" t="s">
        <v>95</v>
      </c>
    </row>
    <row r="288" spans="1:13" x14ac:dyDescent="0.25">
      <c r="A288">
        <v>287</v>
      </c>
      <c r="B288" t="s">
        <v>3622</v>
      </c>
      <c r="C288" s="2" t="s">
        <v>3039</v>
      </c>
      <c r="D288" s="2">
        <f t="shared" ca="1" si="16"/>
        <v>79</v>
      </c>
      <c r="E288" t="s">
        <v>10</v>
      </c>
      <c r="F288" t="s">
        <v>733</v>
      </c>
      <c r="G288" t="s">
        <v>310</v>
      </c>
      <c r="H288" t="str">
        <f t="shared" si="17"/>
        <v>Porto Alegre - RS</v>
      </c>
      <c r="I288" s="1" t="s">
        <v>318</v>
      </c>
      <c r="J288" s="3">
        <v>62</v>
      </c>
      <c r="K288" s="4">
        <f t="shared" si="18"/>
        <v>16.818576388888889</v>
      </c>
      <c r="L288" s="1" t="str">
        <f t="shared" si="19"/>
        <v>Muito abaixo do peso</v>
      </c>
      <c r="M288" t="s">
        <v>20</v>
      </c>
    </row>
    <row r="289" spans="1:13" x14ac:dyDescent="0.25">
      <c r="A289">
        <v>288</v>
      </c>
      <c r="B289" t="s">
        <v>2409</v>
      </c>
      <c r="C289" s="2" t="s">
        <v>2410</v>
      </c>
      <c r="D289" s="2">
        <f t="shared" ca="1" si="16"/>
        <v>80</v>
      </c>
      <c r="E289" t="s">
        <v>10</v>
      </c>
      <c r="F289" t="s">
        <v>2411</v>
      </c>
      <c r="G289" t="s">
        <v>103</v>
      </c>
      <c r="H289" t="str">
        <f t="shared" si="17"/>
        <v>Presidente Prudente - SP</v>
      </c>
      <c r="I289" s="1" t="s">
        <v>160</v>
      </c>
      <c r="J289" s="3">
        <v>86</v>
      </c>
      <c r="K289" s="4">
        <f t="shared" si="18"/>
        <v>25.401701323251416</v>
      </c>
      <c r="L289" s="1" t="str">
        <f t="shared" si="19"/>
        <v>Levemente acima do peso</v>
      </c>
      <c r="M289" t="s">
        <v>14</v>
      </c>
    </row>
    <row r="290" spans="1:13" x14ac:dyDescent="0.25">
      <c r="A290">
        <v>289</v>
      </c>
      <c r="B290" t="s">
        <v>3187</v>
      </c>
      <c r="C290" s="2" t="s">
        <v>3188</v>
      </c>
      <c r="D290" s="2">
        <f t="shared" ca="1" si="16"/>
        <v>67</v>
      </c>
      <c r="E290" t="s">
        <v>10</v>
      </c>
      <c r="F290" t="s">
        <v>69</v>
      </c>
      <c r="G290" t="s">
        <v>70</v>
      </c>
      <c r="H290" t="str">
        <f t="shared" si="17"/>
        <v>Aracaju - SE</v>
      </c>
      <c r="I290" s="1" t="s">
        <v>286</v>
      </c>
      <c r="J290" s="3">
        <v>51</v>
      </c>
      <c r="K290" s="4">
        <f t="shared" si="18"/>
        <v>18.732782369146008</v>
      </c>
      <c r="L290" s="1" t="str">
        <f t="shared" si="19"/>
        <v>Peso ideal - parabéns</v>
      </c>
      <c r="M290" t="s">
        <v>83</v>
      </c>
    </row>
    <row r="291" spans="1:13" x14ac:dyDescent="0.25">
      <c r="A291">
        <v>290</v>
      </c>
      <c r="B291" t="s">
        <v>1437</v>
      </c>
      <c r="C291" s="2" t="s">
        <v>1438</v>
      </c>
      <c r="D291" s="2">
        <f t="shared" ca="1" si="16"/>
        <v>35</v>
      </c>
      <c r="E291" t="s">
        <v>10</v>
      </c>
      <c r="F291" t="s">
        <v>204</v>
      </c>
      <c r="G291" t="s">
        <v>112</v>
      </c>
      <c r="H291" t="str">
        <f t="shared" si="17"/>
        <v>Belém - PA</v>
      </c>
      <c r="I291" s="1" t="s">
        <v>155</v>
      </c>
      <c r="J291" s="3">
        <v>90</v>
      </c>
      <c r="K291" s="4">
        <f t="shared" si="18"/>
        <v>27.170631566235961</v>
      </c>
      <c r="L291" s="1" t="str">
        <f t="shared" si="19"/>
        <v>Levemente acima do peso</v>
      </c>
      <c r="M291" t="s">
        <v>95</v>
      </c>
    </row>
    <row r="292" spans="1:13" x14ac:dyDescent="0.25">
      <c r="A292">
        <v>291</v>
      </c>
      <c r="B292" t="s">
        <v>80</v>
      </c>
      <c r="C292" s="2" t="s">
        <v>81</v>
      </c>
      <c r="D292" s="2">
        <f t="shared" ca="1" si="16"/>
        <v>23</v>
      </c>
      <c r="E292" t="s">
        <v>10</v>
      </c>
      <c r="F292" t="s">
        <v>82</v>
      </c>
      <c r="G292" t="s">
        <v>12</v>
      </c>
      <c r="H292" t="str">
        <f t="shared" si="17"/>
        <v>Salgado dos Machados - CE</v>
      </c>
      <c r="I292" s="1" t="s">
        <v>56</v>
      </c>
      <c r="J292" s="3">
        <v>86</v>
      </c>
      <c r="K292" s="4">
        <f t="shared" si="18"/>
        <v>30.110990511536716</v>
      </c>
      <c r="L292" s="1" t="str">
        <f t="shared" si="19"/>
        <v>Obesidade grau I</v>
      </c>
      <c r="M292" t="s">
        <v>83</v>
      </c>
    </row>
    <row r="293" spans="1:13" x14ac:dyDescent="0.25">
      <c r="A293">
        <v>292</v>
      </c>
      <c r="B293" t="s">
        <v>2585</v>
      </c>
      <c r="C293" s="2" t="s">
        <v>2586</v>
      </c>
      <c r="D293" s="2">
        <f t="shared" ca="1" si="16"/>
        <v>51</v>
      </c>
      <c r="E293" t="s">
        <v>10</v>
      </c>
      <c r="F293" t="s">
        <v>733</v>
      </c>
      <c r="G293" t="s">
        <v>310</v>
      </c>
      <c r="H293" t="str">
        <f t="shared" si="17"/>
        <v>Porto Alegre - RS</v>
      </c>
      <c r="I293" s="1" t="s">
        <v>104</v>
      </c>
      <c r="J293" s="3">
        <v>92</v>
      </c>
      <c r="K293" s="4">
        <f t="shared" si="18"/>
        <v>31.833910034602081</v>
      </c>
      <c r="L293" s="1" t="str">
        <f t="shared" si="19"/>
        <v>Obesidade grau I</v>
      </c>
      <c r="M293" t="s">
        <v>47</v>
      </c>
    </row>
    <row r="294" spans="1:13" x14ac:dyDescent="0.25">
      <c r="A294">
        <v>293</v>
      </c>
      <c r="B294" t="s">
        <v>1266</v>
      </c>
      <c r="C294" s="2" t="s">
        <v>1267</v>
      </c>
      <c r="D294" s="2">
        <f t="shared" ca="1" si="16"/>
        <v>65</v>
      </c>
      <c r="E294" t="s">
        <v>10</v>
      </c>
      <c r="F294" t="s">
        <v>280</v>
      </c>
      <c r="G294" t="s">
        <v>175</v>
      </c>
      <c r="H294" t="str">
        <f t="shared" si="17"/>
        <v>Recife - PE</v>
      </c>
      <c r="I294" s="1" t="s">
        <v>386</v>
      </c>
      <c r="J294" s="3">
        <v>60</v>
      </c>
      <c r="K294" s="4">
        <f t="shared" si="18"/>
        <v>21.773842357381334</v>
      </c>
      <c r="L294" s="1" t="str">
        <f t="shared" si="19"/>
        <v>Peso ideal - parabéns</v>
      </c>
      <c r="M294" t="s">
        <v>14</v>
      </c>
    </row>
    <row r="295" spans="1:13" x14ac:dyDescent="0.25">
      <c r="A295">
        <v>294</v>
      </c>
      <c r="B295" t="s">
        <v>2540</v>
      </c>
      <c r="C295" s="2" t="s">
        <v>2541</v>
      </c>
      <c r="D295" s="2">
        <f t="shared" ca="1" si="16"/>
        <v>33</v>
      </c>
      <c r="E295" t="s">
        <v>10</v>
      </c>
      <c r="F295" t="s">
        <v>24</v>
      </c>
      <c r="G295" t="s">
        <v>25</v>
      </c>
      <c r="H295" t="str">
        <f t="shared" si="17"/>
        <v>Natal - RN</v>
      </c>
      <c r="I295" s="1" t="s">
        <v>71</v>
      </c>
      <c r="J295" s="3">
        <v>67</v>
      </c>
      <c r="K295" s="4">
        <f t="shared" si="18"/>
        <v>20.006569321269669</v>
      </c>
      <c r="L295" s="1" t="str">
        <f t="shared" si="19"/>
        <v>Peso ideal - parabéns</v>
      </c>
      <c r="M295" t="s">
        <v>26</v>
      </c>
    </row>
    <row r="296" spans="1:13" x14ac:dyDescent="0.25">
      <c r="A296">
        <v>295</v>
      </c>
      <c r="B296" t="s">
        <v>2629</v>
      </c>
      <c r="C296" s="2" t="s">
        <v>2630</v>
      </c>
      <c r="D296" s="2">
        <f t="shared" ca="1" si="16"/>
        <v>72</v>
      </c>
      <c r="E296" t="s">
        <v>10</v>
      </c>
      <c r="F296" t="s">
        <v>1283</v>
      </c>
      <c r="G296" t="s">
        <v>112</v>
      </c>
      <c r="H296" t="str">
        <f t="shared" si="17"/>
        <v>Castanhal - PA</v>
      </c>
      <c r="I296" s="1" t="s">
        <v>31</v>
      </c>
      <c r="J296" s="3">
        <v>83</v>
      </c>
      <c r="K296" s="4">
        <f t="shared" si="18"/>
        <v>30.859607376561577</v>
      </c>
      <c r="L296" s="1" t="str">
        <f t="shared" si="19"/>
        <v>Obesidade grau I</v>
      </c>
      <c r="M296" t="s">
        <v>26</v>
      </c>
    </row>
    <row r="297" spans="1:13" x14ac:dyDescent="0.25">
      <c r="A297">
        <v>296</v>
      </c>
      <c r="B297" t="s">
        <v>3085</v>
      </c>
      <c r="C297" s="2" t="s">
        <v>3086</v>
      </c>
      <c r="D297" s="2">
        <f t="shared" ca="1" si="16"/>
        <v>75</v>
      </c>
      <c r="E297" t="s">
        <v>10</v>
      </c>
      <c r="F297" t="s">
        <v>11</v>
      </c>
      <c r="G297" t="s">
        <v>12</v>
      </c>
      <c r="H297" t="str">
        <f t="shared" si="17"/>
        <v>Caucaia - CE</v>
      </c>
      <c r="I297" s="1" t="s">
        <v>56</v>
      </c>
      <c r="J297" s="3">
        <v>51</v>
      </c>
      <c r="K297" s="4">
        <f t="shared" si="18"/>
        <v>17.856517628934565</v>
      </c>
      <c r="L297" s="1" t="str">
        <f t="shared" si="19"/>
        <v>Abaixo do peso</v>
      </c>
      <c r="M297" t="s">
        <v>14</v>
      </c>
    </row>
    <row r="298" spans="1:13" x14ac:dyDescent="0.25">
      <c r="A298">
        <v>297</v>
      </c>
      <c r="B298" t="s">
        <v>3539</v>
      </c>
      <c r="C298" s="2" t="s">
        <v>3540</v>
      </c>
      <c r="D298" s="2">
        <f t="shared" ca="1" si="16"/>
        <v>39</v>
      </c>
      <c r="E298" t="s">
        <v>10</v>
      </c>
      <c r="F298" t="s">
        <v>126</v>
      </c>
      <c r="G298" t="s">
        <v>127</v>
      </c>
      <c r="H298" t="str">
        <f t="shared" si="17"/>
        <v>Boa Vista - RR</v>
      </c>
      <c r="I298" s="1" t="s">
        <v>447</v>
      </c>
      <c r="J298" s="3">
        <v>108</v>
      </c>
      <c r="K298" s="4">
        <f t="shared" si="18"/>
        <v>35.265306122448976</v>
      </c>
      <c r="L298" s="1" t="str">
        <f t="shared" si="19"/>
        <v>Obesidade grau II - severa</v>
      </c>
      <c r="M298" t="s">
        <v>14</v>
      </c>
    </row>
    <row r="299" spans="1:13" x14ac:dyDescent="0.25">
      <c r="A299">
        <v>298</v>
      </c>
      <c r="B299" t="s">
        <v>2204</v>
      </c>
      <c r="C299" s="2" t="s">
        <v>2205</v>
      </c>
      <c r="D299" s="2">
        <f t="shared" ca="1" si="16"/>
        <v>24</v>
      </c>
      <c r="E299" t="s">
        <v>10</v>
      </c>
      <c r="F299" t="s">
        <v>667</v>
      </c>
      <c r="G299" t="s">
        <v>186</v>
      </c>
      <c r="H299" t="str">
        <f t="shared" si="17"/>
        <v>Ponte Nova - MG</v>
      </c>
      <c r="I299" s="1" t="s">
        <v>201</v>
      </c>
      <c r="J299" s="3">
        <v>56</v>
      </c>
      <c r="K299" s="4">
        <f t="shared" si="18"/>
        <v>14.577259475218661</v>
      </c>
      <c r="L299" s="1" t="str">
        <f t="shared" si="19"/>
        <v>Muito abaixo do peso</v>
      </c>
      <c r="M299" t="s">
        <v>47</v>
      </c>
    </row>
    <row r="300" spans="1:13" x14ac:dyDescent="0.25">
      <c r="A300">
        <v>299</v>
      </c>
      <c r="B300" t="s">
        <v>2368</v>
      </c>
      <c r="C300" s="2" t="s">
        <v>2369</v>
      </c>
      <c r="D300" s="2">
        <f t="shared" ca="1" si="16"/>
        <v>79</v>
      </c>
      <c r="E300" t="s">
        <v>10</v>
      </c>
      <c r="F300" t="s">
        <v>24</v>
      </c>
      <c r="G300" t="s">
        <v>25</v>
      </c>
      <c r="H300" t="str">
        <f t="shared" si="17"/>
        <v>Natal - RN</v>
      </c>
      <c r="I300" s="1" t="s">
        <v>42</v>
      </c>
      <c r="J300" s="3">
        <v>90</v>
      </c>
      <c r="K300" s="4">
        <f t="shared" si="18"/>
        <v>28.089010954714272</v>
      </c>
      <c r="L300" s="1" t="str">
        <f t="shared" si="19"/>
        <v>Levemente acima do peso</v>
      </c>
      <c r="M300" t="s">
        <v>32</v>
      </c>
    </row>
    <row r="301" spans="1:13" x14ac:dyDescent="0.25">
      <c r="A301">
        <v>300</v>
      </c>
      <c r="B301" t="s">
        <v>990</v>
      </c>
      <c r="C301" s="2" t="s">
        <v>991</v>
      </c>
      <c r="D301" s="2">
        <f t="shared" ca="1" si="16"/>
        <v>38</v>
      </c>
      <c r="E301" t="s">
        <v>10</v>
      </c>
      <c r="F301" t="s">
        <v>992</v>
      </c>
      <c r="G301" t="s">
        <v>310</v>
      </c>
      <c r="H301" t="str">
        <f t="shared" si="17"/>
        <v>Erechim - RS</v>
      </c>
      <c r="I301" s="1" t="s">
        <v>179</v>
      </c>
      <c r="J301" s="3">
        <v>80</v>
      </c>
      <c r="K301" s="4">
        <f t="shared" si="18"/>
        <v>26.423569824283259</v>
      </c>
      <c r="L301" s="1" t="str">
        <f t="shared" si="19"/>
        <v>Levemente acima do peso</v>
      </c>
      <c r="M301" t="s">
        <v>14</v>
      </c>
    </row>
    <row r="302" spans="1:13" x14ac:dyDescent="0.25">
      <c r="A302">
        <v>301</v>
      </c>
      <c r="B302" t="s">
        <v>2647</v>
      </c>
      <c r="C302" s="2" t="s">
        <v>2648</v>
      </c>
      <c r="D302" s="2">
        <f t="shared" ca="1" si="16"/>
        <v>32</v>
      </c>
      <c r="E302" t="s">
        <v>10</v>
      </c>
      <c r="F302" t="s">
        <v>169</v>
      </c>
      <c r="G302" t="s">
        <v>170</v>
      </c>
      <c r="H302" t="str">
        <f t="shared" si="17"/>
        <v>Maceió - AL</v>
      </c>
      <c r="I302" s="1" t="s">
        <v>262</v>
      </c>
      <c r="J302" s="3">
        <v>56</v>
      </c>
      <c r="K302" s="4">
        <f t="shared" si="18"/>
        <v>15.51246537396122</v>
      </c>
      <c r="L302" s="1" t="str">
        <f t="shared" si="19"/>
        <v>Muito abaixo do peso</v>
      </c>
      <c r="M302" t="s">
        <v>47</v>
      </c>
    </row>
    <row r="303" spans="1:13" x14ac:dyDescent="0.25">
      <c r="A303">
        <v>302</v>
      </c>
      <c r="B303" t="s">
        <v>91</v>
      </c>
      <c r="C303" s="2" t="s">
        <v>92</v>
      </c>
      <c r="D303" s="2">
        <f t="shared" ca="1" si="16"/>
        <v>35</v>
      </c>
      <c r="E303" t="s">
        <v>10</v>
      </c>
      <c r="F303" t="s">
        <v>93</v>
      </c>
      <c r="G303" t="s">
        <v>51</v>
      </c>
      <c r="H303" t="str">
        <f t="shared" si="17"/>
        <v>Teresópolis - RJ</v>
      </c>
      <c r="I303" s="1" t="s">
        <v>94</v>
      </c>
      <c r="J303" s="3">
        <v>59</v>
      </c>
      <c r="K303" s="4">
        <f t="shared" si="18"/>
        <v>19.713321527615356</v>
      </c>
      <c r="L303" s="1" t="str">
        <f t="shared" si="19"/>
        <v>Peso ideal - parabéns</v>
      </c>
      <c r="M303" t="s">
        <v>95</v>
      </c>
    </row>
    <row r="304" spans="1:13" x14ac:dyDescent="0.25">
      <c r="A304">
        <v>303</v>
      </c>
      <c r="B304" t="s">
        <v>644</v>
      </c>
      <c r="C304" s="2" t="s">
        <v>645</v>
      </c>
      <c r="D304" s="2">
        <f t="shared" ca="1" si="16"/>
        <v>55</v>
      </c>
      <c r="E304" t="s">
        <v>10</v>
      </c>
      <c r="F304" t="s">
        <v>98</v>
      </c>
      <c r="G304" t="s">
        <v>65</v>
      </c>
      <c r="H304" t="str">
        <f t="shared" si="17"/>
        <v>Vitória da Conquista - BA</v>
      </c>
      <c r="I304" s="1" t="s">
        <v>386</v>
      </c>
      <c r="J304" s="3">
        <v>81</v>
      </c>
      <c r="K304" s="4">
        <f t="shared" si="18"/>
        <v>29.3946871824648</v>
      </c>
      <c r="L304" s="1" t="str">
        <f t="shared" si="19"/>
        <v>Levemente acima do peso</v>
      </c>
      <c r="M304" t="s">
        <v>95</v>
      </c>
    </row>
    <row r="305" spans="1:13" x14ac:dyDescent="0.25">
      <c r="A305">
        <v>304</v>
      </c>
      <c r="B305" t="s">
        <v>4063</v>
      </c>
      <c r="C305" s="2" t="s">
        <v>4064</v>
      </c>
      <c r="D305" s="2">
        <f t="shared" ca="1" si="16"/>
        <v>79</v>
      </c>
      <c r="E305" t="s">
        <v>10</v>
      </c>
      <c r="F305" t="s">
        <v>383</v>
      </c>
      <c r="G305" t="s">
        <v>237</v>
      </c>
      <c r="H305" t="str">
        <f t="shared" si="17"/>
        <v>Parnaíba - PI</v>
      </c>
      <c r="I305" s="1" t="s">
        <v>286</v>
      </c>
      <c r="J305" s="3">
        <v>100</v>
      </c>
      <c r="K305" s="4">
        <f t="shared" si="18"/>
        <v>36.730945821854917</v>
      </c>
      <c r="L305" s="1" t="str">
        <f t="shared" si="19"/>
        <v>Obesidade grau II - severa</v>
      </c>
      <c r="M305" t="s">
        <v>26</v>
      </c>
    </row>
    <row r="306" spans="1:13" x14ac:dyDescent="0.25">
      <c r="A306">
        <v>305</v>
      </c>
      <c r="B306" t="s">
        <v>469</v>
      </c>
      <c r="C306" s="2" t="s">
        <v>470</v>
      </c>
      <c r="D306" s="2">
        <f t="shared" ca="1" si="16"/>
        <v>48</v>
      </c>
      <c r="E306" t="s">
        <v>10</v>
      </c>
      <c r="F306" t="s">
        <v>236</v>
      </c>
      <c r="G306" t="s">
        <v>237</v>
      </c>
      <c r="H306" t="str">
        <f t="shared" si="17"/>
        <v>Teresina - PI</v>
      </c>
      <c r="I306" s="1" t="s">
        <v>386</v>
      </c>
      <c r="J306" s="3">
        <v>54</v>
      </c>
      <c r="K306" s="4">
        <f t="shared" si="18"/>
        <v>19.596458121643199</v>
      </c>
      <c r="L306" s="1" t="str">
        <f t="shared" si="19"/>
        <v>Peso ideal - parabéns</v>
      </c>
      <c r="M306" t="s">
        <v>95</v>
      </c>
    </row>
    <row r="307" spans="1:13" x14ac:dyDescent="0.25">
      <c r="A307">
        <v>306</v>
      </c>
      <c r="B307" t="s">
        <v>977</v>
      </c>
      <c r="C307" s="2" t="s">
        <v>978</v>
      </c>
      <c r="D307" s="2">
        <f t="shared" ca="1" si="16"/>
        <v>69</v>
      </c>
      <c r="E307" t="s">
        <v>10</v>
      </c>
      <c r="F307" t="s">
        <v>979</v>
      </c>
      <c r="G307" t="s">
        <v>51</v>
      </c>
      <c r="H307" t="str">
        <f t="shared" si="17"/>
        <v>São Gonçalo - RJ</v>
      </c>
      <c r="I307" s="1" t="s">
        <v>416</v>
      </c>
      <c r="J307" s="3">
        <v>95</v>
      </c>
      <c r="K307" s="4">
        <f t="shared" si="18"/>
        <v>36.649820608772806</v>
      </c>
      <c r="L307" s="1" t="str">
        <f t="shared" si="19"/>
        <v>Obesidade grau II - severa</v>
      </c>
      <c r="M307" t="s">
        <v>20</v>
      </c>
    </row>
    <row r="308" spans="1:13" x14ac:dyDescent="0.25">
      <c r="A308">
        <v>307</v>
      </c>
      <c r="B308" t="s">
        <v>1714</v>
      </c>
      <c r="C308" s="2" t="s">
        <v>1715</v>
      </c>
      <c r="D308" s="2">
        <f t="shared" ca="1" si="16"/>
        <v>36</v>
      </c>
      <c r="E308" t="s">
        <v>10</v>
      </c>
      <c r="F308" t="s">
        <v>59</v>
      </c>
      <c r="G308" t="s">
        <v>60</v>
      </c>
      <c r="H308" t="str">
        <f t="shared" si="17"/>
        <v>Palmas - TO</v>
      </c>
      <c r="I308" s="1" t="s">
        <v>226</v>
      </c>
      <c r="J308" s="3">
        <v>93</v>
      </c>
      <c r="K308" s="4">
        <f t="shared" si="18"/>
        <v>23.722069176614632</v>
      </c>
      <c r="L308" s="1" t="str">
        <f t="shared" si="19"/>
        <v>Peso ideal - parabéns</v>
      </c>
      <c r="M308" t="s">
        <v>95</v>
      </c>
    </row>
    <row r="309" spans="1:13" x14ac:dyDescent="0.25">
      <c r="A309">
        <v>308</v>
      </c>
      <c r="B309" t="s">
        <v>3541</v>
      </c>
      <c r="C309" s="2" t="s">
        <v>3542</v>
      </c>
      <c r="D309" s="2">
        <f t="shared" ca="1" si="16"/>
        <v>55</v>
      </c>
      <c r="E309" t="s">
        <v>10</v>
      </c>
      <c r="F309" t="s">
        <v>135</v>
      </c>
      <c r="G309" t="s">
        <v>75</v>
      </c>
      <c r="H309" t="str">
        <f t="shared" si="17"/>
        <v>Santana - AP</v>
      </c>
      <c r="I309" s="1" t="s">
        <v>37</v>
      </c>
      <c r="J309" s="3">
        <v>85</v>
      </c>
      <c r="K309" s="4">
        <f t="shared" si="18"/>
        <v>21.902136102450463</v>
      </c>
      <c r="L309" s="1" t="str">
        <f t="shared" si="19"/>
        <v>Peso ideal - parabéns</v>
      </c>
      <c r="M309" t="s">
        <v>47</v>
      </c>
    </row>
    <row r="310" spans="1:13" x14ac:dyDescent="0.25">
      <c r="A310">
        <v>309</v>
      </c>
      <c r="B310" t="s">
        <v>918</v>
      </c>
      <c r="C310" s="2" t="s">
        <v>919</v>
      </c>
      <c r="D310" s="2">
        <f t="shared" ca="1" si="16"/>
        <v>20</v>
      </c>
      <c r="E310" t="s">
        <v>10</v>
      </c>
      <c r="F310" t="s">
        <v>153</v>
      </c>
      <c r="G310" t="s">
        <v>154</v>
      </c>
      <c r="H310" t="str">
        <f t="shared" si="17"/>
        <v>Manaus - AM</v>
      </c>
      <c r="I310" s="1" t="s">
        <v>694</v>
      </c>
      <c r="J310" s="3">
        <v>105</v>
      </c>
      <c r="K310" s="4">
        <f t="shared" si="18"/>
        <v>30.350329517863333</v>
      </c>
      <c r="L310" s="1" t="str">
        <f t="shared" si="19"/>
        <v>Obesidade grau I</v>
      </c>
      <c r="M310" t="s">
        <v>95</v>
      </c>
    </row>
    <row r="311" spans="1:13" x14ac:dyDescent="0.25">
      <c r="A311">
        <v>310</v>
      </c>
      <c r="B311" t="s">
        <v>3841</v>
      </c>
      <c r="C311" s="2" t="s">
        <v>3679</v>
      </c>
      <c r="D311" s="2">
        <f t="shared" ca="1" si="16"/>
        <v>77</v>
      </c>
      <c r="E311" t="s">
        <v>10</v>
      </c>
      <c r="F311" t="s">
        <v>1055</v>
      </c>
      <c r="G311" t="s">
        <v>30</v>
      </c>
      <c r="H311" t="str">
        <f t="shared" si="17"/>
        <v>Ariquemes - RO</v>
      </c>
      <c r="I311" s="1" t="s">
        <v>318</v>
      </c>
      <c r="J311" s="3">
        <v>69</v>
      </c>
      <c r="K311" s="4">
        <f t="shared" si="18"/>
        <v>18.717447916666668</v>
      </c>
      <c r="L311" s="1" t="str">
        <f t="shared" si="19"/>
        <v>Peso ideal - parabéns</v>
      </c>
      <c r="M311" t="s">
        <v>47</v>
      </c>
    </row>
    <row r="312" spans="1:13" x14ac:dyDescent="0.25">
      <c r="A312">
        <v>311</v>
      </c>
      <c r="B312" t="s">
        <v>3224</v>
      </c>
      <c r="C312" s="2" t="s">
        <v>3203</v>
      </c>
      <c r="D312" s="2">
        <f t="shared" ca="1" si="16"/>
        <v>70</v>
      </c>
      <c r="E312" t="s">
        <v>10</v>
      </c>
      <c r="F312" t="s">
        <v>11</v>
      </c>
      <c r="G312" t="s">
        <v>12</v>
      </c>
      <c r="H312" t="str">
        <f t="shared" si="17"/>
        <v>Caucaia - CE</v>
      </c>
      <c r="I312" s="1" t="s">
        <v>123</v>
      </c>
      <c r="J312" s="3">
        <v>60</v>
      </c>
      <c r="K312" s="4">
        <f t="shared" si="18"/>
        <v>19.369834710743802</v>
      </c>
      <c r="L312" s="1" t="str">
        <f t="shared" si="19"/>
        <v>Peso ideal - parabéns</v>
      </c>
      <c r="M312" t="s">
        <v>47</v>
      </c>
    </row>
    <row r="313" spans="1:13" x14ac:dyDescent="0.25">
      <c r="A313">
        <v>312</v>
      </c>
      <c r="B313" t="s">
        <v>825</v>
      </c>
      <c r="C313" s="2" t="s">
        <v>826</v>
      </c>
      <c r="D313" s="2">
        <f t="shared" ca="1" si="16"/>
        <v>58</v>
      </c>
      <c r="E313" t="s">
        <v>10</v>
      </c>
      <c r="F313" t="s">
        <v>126</v>
      </c>
      <c r="G313" t="s">
        <v>127</v>
      </c>
      <c r="H313" t="str">
        <f t="shared" si="17"/>
        <v>Boa Vista - RR</v>
      </c>
      <c r="I313" s="1" t="s">
        <v>194</v>
      </c>
      <c r="J313" s="3">
        <v>71</v>
      </c>
      <c r="K313" s="4">
        <f t="shared" si="18"/>
        <v>20.74506939371804</v>
      </c>
      <c r="L313" s="1" t="str">
        <f t="shared" si="19"/>
        <v>Peso ideal - parabéns</v>
      </c>
      <c r="M313" t="s">
        <v>47</v>
      </c>
    </row>
    <row r="314" spans="1:13" x14ac:dyDescent="0.25">
      <c r="A314">
        <v>313</v>
      </c>
      <c r="B314" t="s">
        <v>2977</v>
      </c>
      <c r="C314" s="2" t="s">
        <v>2978</v>
      </c>
      <c r="D314" s="2">
        <f t="shared" ca="1" si="16"/>
        <v>69</v>
      </c>
      <c r="E314" t="s">
        <v>10</v>
      </c>
      <c r="F314" t="s">
        <v>158</v>
      </c>
      <c r="G314" t="s">
        <v>159</v>
      </c>
      <c r="H314" t="str">
        <f t="shared" si="17"/>
        <v>Brasília - DF</v>
      </c>
      <c r="I314" s="1" t="s">
        <v>86</v>
      </c>
      <c r="J314" s="3">
        <v>62</v>
      </c>
      <c r="K314" s="4">
        <f t="shared" si="18"/>
        <v>18.924941241109856</v>
      </c>
      <c r="L314" s="1" t="str">
        <f t="shared" si="19"/>
        <v>Peso ideal - parabéns</v>
      </c>
      <c r="M314" t="s">
        <v>95</v>
      </c>
    </row>
    <row r="315" spans="1:13" x14ac:dyDescent="0.25">
      <c r="A315">
        <v>314</v>
      </c>
      <c r="B315" t="s">
        <v>3616</v>
      </c>
      <c r="C315" s="2" t="s">
        <v>3617</v>
      </c>
      <c r="D315" s="2">
        <f t="shared" ca="1" si="16"/>
        <v>60</v>
      </c>
      <c r="E315" t="s">
        <v>10</v>
      </c>
      <c r="F315" t="s">
        <v>45</v>
      </c>
      <c r="G315" t="s">
        <v>46</v>
      </c>
      <c r="H315" t="str">
        <f t="shared" si="17"/>
        <v>Goiânia - GO</v>
      </c>
      <c r="I315" s="1" t="s">
        <v>113</v>
      </c>
      <c r="J315" s="3">
        <v>68</v>
      </c>
      <c r="K315" s="4">
        <f t="shared" si="18"/>
        <v>25.59373706198954</v>
      </c>
      <c r="L315" s="1" t="str">
        <f t="shared" si="19"/>
        <v>Levemente acima do peso</v>
      </c>
      <c r="M315" t="s">
        <v>95</v>
      </c>
    </row>
    <row r="316" spans="1:13" x14ac:dyDescent="0.25">
      <c r="A316">
        <v>315</v>
      </c>
      <c r="B316" t="s">
        <v>4044</v>
      </c>
      <c r="C316" s="2" t="s">
        <v>4041</v>
      </c>
      <c r="D316" s="2">
        <f t="shared" ca="1" si="16"/>
        <v>81</v>
      </c>
      <c r="E316" t="s">
        <v>10</v>
      </c>
      <c r="F316" t="s">
        <v>468</v>
      </c>
      <c r="G316" t="s">
        <v>310</v>
      </c>
      <c r="H316" t="str">
        <f t="shared" si="17"/>
        <v>Alvorada - RS</v>
      </c>
      <c r="I316" s="1" t="s">
        <v>160</v>
      </c>
      <c r="J316" s="3">
        <v>100</v>
      </c>
      <c r="K316" s="4">
        <f t="shared" si="18"/>
        <v>29.536862003780715</v>
      </c>
      <c r="L316" s="1" t="str">
        <f t="shared" si="19"/>
        <v>Levemente acima do peso</v>
      </c>
      <c r="M316" t="s">
        <v>83</v>
      </c>
    </row>
    <row r="317" spans="1:13" x14ac:dyDescent="0.25">
      <c r="A317">
        <v>316</v>
      </c>
      <c r="B317" t="s">
        <v>1469</v>
      </c>
      <c r="C317" s="2" t="s">
        <v>1470</v>
      </c>
      <c r="D317" s="2">
        <f t="shared" ca="1" si="16"/>
        <v>32</v>
      </c>
      <c r="E317" t="s">
        <v>10</v>
      </c>
      <c r="F317" t="s">
        <v>126</v>
      </c>
      <c r="G317" t="s">
        <v>127</v>
      </c>
      <c r="H317" t="str">
        <f t="shared" si="17"/>
        <v>Boa Vista - RR</v>
      </c>
      <c r="I317" s="1" t="s">
        <v>37</v>
      </c>
      <c r="J317" s="3">
        <v>69</v>
      </c>
      <c r="K317" s="4">
        <f t="shared" si="18"/>
        <v>17.779381071400962</v>
      </c>
      <c r="L317" s="1" t="str">
        <f t="shared" si="19"/>
        <v>Abaixo do peso</v>
      </c>
      <c r="M317" t="s">
        <v>20</v>
      </c>
    </row>
    <row r="318" spans="1:13" x14ac:dyDescent="0.25">
      <c r="A318">
        <v>317</v>
      </c>
      <c r="B318" t="s">
        <v>1667</v>
      </c>
      <c r="C318" s="2" t="s">
        <v>1668</v>
      </c>
      <c r="D318" s="2">
        <f t="shared" ca="1" si="16"/>
        <v>45</v>
      </c>
      <c r="E318" t="s">
        <v>10</v>
      </c>
      <c r="F318" t="s">
        <v>89</v>
      </c>
      <c r="G318" t="s">
        <v>12</v>
      </c>
      <c r="H318" t="str">
        <f t="shared" si="17"/>
        <v>Fortaleza - CE</v>
      </c>
      <c r="I318" s="1" t="s">
        <v>194</v>
      </c>
      <c r="J318" s="3">
        <v>57</v>
      </c>
      <c r="K318" s="4">
        <f t="shared" si="18"/>
        <v>16.654492330168004</v>
      </c>
      <c r="L318" s="1" t="str">
        <f t="shared" si="19"/>
        <v>Muito abaixo do peso</v>
      </c>
      <c r="M318" t="s">
        <v>76</v>
      </c>
    </row>
    <row r="319" spans="1:13" x14ac:dyDescent="0.25">
      <c r="A319">
        <v>318</v>
      </c>
      <c r="B319" t="s">
        <v>4015</v>
      </c>
      <c r="C319" s="2" t="s">
        <v>4016</v>
      </c>
      <c r="D319" s="2">
        <f t="shared" ca="1" si="16"/>
        <v>51</v>
      </c>
      <c r="E319" t="s">
        <v>10</v>
      </c>
      <c r="F319" t="s">
        <v>64</v>
      </c>
      <c r="G319" t="s">
        <v>65</v>
      </c>
      <c r="H319" t="str">
        <f t="shared" si="17"/>
        <v>Salvador - BA</v>
      </c>
      <c r="I319" s="1" t="s">
        <v>132</v>
      </c>
      <c r="J319" s="3">
        <v>93</v>
      </c>
      <c r="K319" s="4">
        <f t="shared" si="18"/>
        <v>26.594984128799791</v>
      </c>
      <c r="L319" s="1" t="str">
        <f t="shared" si="19"/>
        <v>Levemente acima do peso</v>
      </c>
      <c r="M319" t="s">
        <v>47</v>
      </c>
    </row>
    <row r="320" spans="1:13" x14ac:dyDescent="0.25">
      <c r="A320">
        <v>319</v>
      </c>
      <c r="B320" t="s">
        <v>2998</v>
      </c>
      <c r="C320" s="2" t="s">
        <v>2924</v>
      </c>
      <c r="D320" s="2">
        <f t="shared" ca="1" si="16"/>
        <v>74</v>
      </c>
      <c r="E320" t="s">
        <v>10</v>
      </c>
      <c r="F320" t="s">
        <v>2999</v>
      </c>
      <c r="G320" t="s">
        <v>36</v>
      </c>
      <c r="H320" t="str">
        <f t="shared" si="17"/>
        <v>Bacabeira - MA</v>
      </c>
      <c r="I320" s="1" t="s">
        <v>281</v>
      </c>
      <c r="J320" s="3">
        <v>69</v>
      </c>
      <c r="K320" s="4">
        <f t="shared" si="18"/>
        <v>26.291723822588015</v>
      </c>
      <c r="L320" s="1" t="str">
        <f t="shared" si="19"/>
        <v>Levemente acima do peso</v>
      </c>
      <c r="M320" t="s">
        <v>20</v>
      </c>
    </row>
    <row r="321" spans="1:13" x14ac:dyDescent="0.25">
      <c r="A321">
        <v>320</v>
      </c>
      <c r="B321" t="s">
        <v>2569</v>
      </c>
      <c r="C321" s="2" t="s">
        <v>2570</v>
      </c>
      <c r="D321" s="2">
        <f t="shared" ca="1" si="16"/>
        <v>80</v>
      </c>
      <c r="E321" t="s">
        <v>10</v>
      </c>
      <c r="F321" t="s">
        <v>74</v>
      </c>
      <c r="G321" t="s">
        <v>75</v>
      </c>
      <c r="H321" t="str">
        <f t="shared" si="17"/>
        <v>Macapá - AP</v>
      </c>
      <c r="I321" s="1" t="s">
        <v>94</v>
      </c>
      <c r="J321" s="3">
        <v>55</v>
      </c>
      <c r="K321" s="4">
        <f t="shared" si="18"/>
        <v>18.376825152861773</v>
      </c>
      <c r="L321" s="1" t="str">
        <f t="shared" si="19"/>
        <v>Abaixo do peso</v>
      </c>
      <c r="M321" t="s">
        <v>76</v>
      </c>
    </row>
    <row r="322" spans="1:13" x14ac:dyDescent="0.25">
      <c r="A322">
        <v>321</v>
      </c>
      <c r="B322" t="s">
        <v>712</v>
      </c>
      <c r="C322" s="2" t="s">
        <v>713</v>
      </c>
      <c r="D322" s="2">
        <f t="shared" ca="1" si="16"/>
        <v>53</v>
      </c>
      <c r="E322" t="s">
        <v>10</v>
      </c>
      <c r="F322" t="s">
        <v>313</v>
      </c>
      <c r="G322" t="s">
        <v>25</v>
      </c>
      <c r="H322" t="str">
        <f t="shared" si="17"/>
        <v>Parnamirim - RN</v>
      </c>
      <c r="I322" s="1" t="s">
        <v>447</v>
      </c>
      <c r="J322" s="3">
        <v>58</v>
      </c>
      <c r="K322" s="4">
        <f t="shared" si="18"/>
        <v>18.938775510204081</v>
      </c>
      <c r="L322" s="1" t="str">
        <f t="shared" si="19"/>
        <v>Peso ideal - parabéns</v>
      </c>
      <c r="M322" t="s">
        <v>26</v>
      </c>
    </row>
    <row r="323" spans="1:13" x14ac:dyDescent="0.25">
      <c r="A323">
        <v>322</v>
      </c>
      <c r="B323" t="s">
        <v>371</v>
      </c>
      <c r="C323" s="2" t="s">
        <v>372</v>
      </c>
      <c r="D323" s="2">
        <f t="shared" ref="D323:D386" ca="1" si="20">YEAR(TODAY())-YEAR(C323)</f>
        <v>57</v>
      </c>
      <c r="E323" t="s">
        <v>10</v>
      </c>
      <c r="F323" t="s">
        <v>244</v>
      </c>
      <c r="G323" t="s">
        <v>60</v>
      </c>
      <c r="H323" t="str">
        <f t="shared" ref="H323:H386" si="21">CONCATENATE(F323," - ",G323)</f>
        <v>Araguaína - TO</v>
      </c>
      <c r="I323" s="1" t="s">
        <v>160</v>
      </c>
      <c r="J323" s="3">
        <v>96</v>
      </c>
      <c r="K323" s="4">
        <f t="shared" ref="K323:K386" si="22">J323/(I323*I323)</f>
        <v>28.355387523629489</v>
      </c>
      <c r="L323" s="1" t="str">
        <f t="shared" ref="L323:L386" si="23">IF(K323&gt;=40,"Obesidade grau III - mórbida",
IF(K323&gt;=35,"Obesidade grau II - severa",
IF(K323&gt;=30,"Obesidade grau I",
IF(K323&gt;=25,"Levemente acima do peso",
IF(K323&gt;=18.6,"Peso ideal - parabéns",
IF(K323&gt;=17,"Abaixo do peso",
"Muito abaixo do peso"))))))</f>
        <v>Levemente acima do peso</v>
      </c>
      <c r="M323" t="s">
        <v>47</v>
      </c>
    </row>
    <row r="324" spans="1:13" x14ac:dyDescent="0.25">
      <c r="A324">
        <v>323</v>
      </c>
      <c r="B324" t="s">
        <v>4185</v>
      </c>
      <c r="C324" s="2" t="s">
        <v>899</v>
      </c>
      <c r="D324" s="2">
        <f t="shared" ca="1" si="20"/>
        <v>37</v>
      </c>
      <c r="E324" t="s">
        <v>10</v>
      </c>
      <c r="F324" t="s">
        <v>17</v>
      </c>
      <c r="G324" t="s">
        <v>18</v>
      </c>
      <c r="H324" t="str">
        <f t="shared" si="21"/>
        <v>Campo Grande - MS</v>
      </c>
      <c r="I324" s="1" t="s">
        <v>286</v>
      </c>
      <c r="J324" s="3">
        <v>54</v>
      </c>
      <c r="K324" s="4">
        <f t="shared" si="22"/>
        <v>19.834710743801654</v>
      </c>
      <c r="L324" s="1" t="str">
        <f t="shared" si="23"/>
        <v>Peso ideal - parabéns</v>
      </c>
      <c r="M324" t="s">
        <v>47</v>
      </c>
    </row>
    <row r="325" spans="1:13" x14ac:dyDescent="0.25">
      <c r="A325">
        <v>324</v>
      </c>
      <c r="B325" t="s">
        <v>2678</v>
      </c>
      <c r="C325" s="2" t="s">
        <v>2679</v>
      </c>
      <c r="D325" s="2">
        <f t="shared" ca="1" si="20"/>
        <v>53</v>
      </c>
      <c r="E325" t="s">
        <v>10</v>
      </c>
      <c r="F325" t="s">
        <v>158</v>
      </c>
      <c r="G325" t="s">
        <v>159</v>
      </c>
      <c r="H325" t="str">
        <f t="shared" si="21"/>
        <v>Brasília - DF</v>
      </c>
      <c r="I325" s="1" t="s">
        <v>132</v>
      </c>
      <c r="J325" s="3">
        <v>77</v>
      </c>
      <c r="K325" s="4">
        <f t="shared" si="22"/>
        <v>22.019502988361115</v>
      </c>
      <c r="L325" s="1" t="str">
        <f t="shared" si="23"/>
        <v>Peso ideal - parabéns</v>
      </c>
      <c r="M325" t="s">
        <v>83</v>
      </c>
    </row>
    <row r="326" spans="1:13" x14ac:dyDescent="0.25">
      <c r="A326">
        <v>325</v>
      </c>
      <c r="B326" t="s">
        <v>1872</v>
      </c>
      <c r="C326" s="2" t="s">
        <v>1873</v>
      </c>
      <c r="D326" s="2">
        <f t="shared" ca="1" si="20"/>
        <v>32</v>
      </c>
      <c r="E326" t="s">
        <v>10</v>
      </c>
      <c r="F326" t="s">
        <v>250</v>
      </c>
      <c r="G326" t="s">
        <v>103</v>
      </c>
      <c r="H326" t="str">
        <f t="shared" si="21"/>
        <v>Limeira - SP</v>
      </c>
      <c r="I326" s="1" t="s">
        <v>108</v>
      </c>
      <c r="J326" s="3">
        <v>87</v>
      </c>
      <c r="K326" s="4">
        <f t="shared" si="22"/>
        <v>23.848030481620569</v>
      </c>
      <c r="L326" s="1" t="str">
        <f t="shared" si="23"/>
        <v>Peso ideal - parabéns</v>
      </c>
      <c r="M326" t="s">
        <v>32</v>
      </c>
    </row>
    <row r="327" spans="1:13" x14ac:dyDescent="0.25">
      <c r="A327">
        <v>326</v>
      </c>
      <c r="B327" t="s">
        <v>3115</v>
      </c>
      <c r="C327" s="2" t="s">
        <v>3116</v>
      </c>
      <c r="D327" s="2">
        <f t="shared" ca="1" si="20"/>
        <v>43</v>
      </c>
      <c r="E327" t="s">
        <v>23</v>
      </c>
      <c r="F327" t="s">
        <v>775</v>
      </c>
      <c r="G327" t="s">
        <v>51</v>
      </c>
      <c r="H327" t="str">
        <f t="shared" si="21"/>
        <v>Rio de Janeiro - RJ</v>
      </c>
      <c r="I327" s="1" t="s">
        <v>31</v>
      </c>
      <c r="J327" s="3">
        <v>55</v>
      </c>
      <c r="K327" s="4">
        <f t="shared" si="22"/>
        <v>20.449137418203453</v>
      </c>
      <c r="L327" s="1" t="str">
        <f t="shared" si="23"/>
        <v>Peso ideal - parabéns</v>
      </c>
      <c r="M327" t="s">
        <v>76</v>
      </c>
    </row>
    <row r="328" spans="1:13" x14ac:dyDescent="0.25">
      <c r="A328">
        <v>327</v>
      </c>
      <c r="B328" t="s">
        <v>2794</v>
      </c>
      <c r="C328" s="2" t="s">
        <v>2795</v>
      </c>
      <c r="D328" s="2">
        <f t="shared" ca="1" si="20"/>
        <v>35</v>
      </c>
      <c r="E328" t="s">
        <v>23</v>
      </c>
      <c r="F328" t="s">
        <v>17</v>
      </c>
      <c r="G328" t="s">
        <v>18</v>
      </c>
      <c r="H328" t="str">
        <f t="shared" si="21"/>
        <v>Campo Grande - MS</v>
      </c>
      <c r="I328" s="1" t="s">
        <v>179</v>
      </c>
      <c r="J328" s="3">
        <v>86</v>
      </c>
      <c r="K328" s="4">
        <f t="shared" si="22"/>
        <v>28.405337561104506</v>
      </c>
      <c r="L328" s="1" t="str">
        <f t="shared" si="23"/>
        <v>Levemente acima do peso</v>
      </c>
      <c r="M328" t="s">
        <v>95</v>
      </c>
    </row>
    <row r="329" spans="1:13" x14ac:dyDescent="0.25">
      <c r="A329">
        <v>328</v>
      </c>
      <c r="B329" t="s">
        <v>1480</v>
      </c>
      <c r="C329" s="2" t="s">
        <v>1481</v>
      </c>
      <c r="D329" s="2">
        <f t="shared" ca="1" si="20"/>
        <v>44</v>
      </c>
      <c r="E329" t="s">
        <v>23</v>
      </c>
      <c r="F329" t="s">
        <v>354</v>
      </c>
      <c r="G329" t="s">
        <v>30</v>
      </c>
      <c r="H329" t="str">
        <f t="shared" si="21"/>
        <v>Porto Velho - RO</v>
      </c>
      <c r="I329" s="1" t="s">
        <v>416</v>
      </c>
      <c r="J329" s="3">
        <v>51</v>
      </c>
      <c r="K329" s="4">
        <f t="shared" si="22"/>
        <v>19.675166853130666</v>
      </c>
      <c r="L329" s="1" t="str">
        <f t="shared" si="23"/>
        <v>Peso ideal - parabéns</v>
      </c>
      <c r="M329" t="s">
        <v>14</v>
      </c>
    </row>
    <row r="330" spans="1:13" x14ac:dyDescent="0.25">
      <c r="A330">
        <v>329</v>
      </c>
      <c r="B330" t="s">
        <v>1424</v>
      </c>
      <c r="C330" s="2" t="s">
        <v>1425</v>
      </c>
      <c r="D330" s="2">
        <f t="shared" ca="1" si="20"/>
        <v>25</v>
      </c>
      <c r="E330" t="s">
        <v>23</v>
      </c>
      <c r="F330" t="s">
        <v>59</v>
      </c>
      <c r="G330" t="s">
        <v>60</v>
      </c>
      <c r="H330" t="str">
        <f t="shared" si="21"/>
        <v>Palmas - TO</v>
      </c>
      <c r="I330" s="1" t="s">
        <v>386</v>
      </c>
      <c r="J330" s="3">
        <v>59</v>
      </c>
      <c r="K330" s="4">
        <f t="shared" si="22"/>
        <v>21.410944984758313</v>
      </c>
      <c r="L330" s="1" t="str">
        <f t="shared" si="23"/>
        <v>Peso ideal - parabéns</v>
      </c>
      <c r="M330" t="s">
        <v>83</v>
      </c>
    </row>
    <row r="331" spans="1:13" x14ac:dyDescent="0.25">
      <c r="A331">
        <v>330</v>
      </c>
      <c r="B331" t="s">
        <v>3899</v>
      </c>
      <c r="C331" s="2" t="s">
        <v>3900</v>
      </c>
      <c r="D331" s="2">
        <f t="shared" ca="1" si="20"/>
        <v>67</v>
      </c>
      <c r="E331" t="s">
        <v>23</v>
      </c>
      <c r="F331" t="s">
        <v>126</v>
      </c>
      <c r="G331" t="s">
        <v>127</v>
      </c>
      <c r="H331" t="str">
        <f t="shared" si="21"/>
        <v>Boa Vista - RR</v>
      </c>
      <c r="I331" s="1" t="s">
        <v>71</v>
      </c>
      <c r="J331" s="3">
        <v>71</v>
      </c>
      <c r="K331" s="4">
        <f t="shared" si="22"/>
        <v>21.200991370300692</v>
      </c>
      <c r="L331" s="1" t="str">
        <f t="shared" si="23"/>
        <v>Peso ideal - parabéns</v>
      </c>
      <c r="M331" t="s">
        <v>20</v>
      </c>
    </row>
    <row r="332" spans="1:13" x14ac:dyDescent="0.25">
      <c r="A332">
        <v>331</v>
      </c>
      <c r="B332" t="s">
        <v>2013</v>
      </c>
      <c r="C332" s="2" t="s">
        <v>2014</v>
      </c>
      <c r="D332" s="2">
        <f t="shared" ca="1" si="20"/>
        <v>32</v>
      </c>
      <c r="E332" t="s">
        <v>23</v>
      </c>
      <c r="F332" t="s">
        <v>1490</v>
      </c>
      <c r="G332" t="s">
        <v>273</v>
      </c>
      <c r="H332" t="str">
        <f t="shared" si="21"/>
        <v>Cachoeiro de Itapemirim - ES</v>
      </c>
      <c r="I332" s="1" t="s">
        <v>582</v>
      </c>
      <c r="J332" s="3">
        <v>68</v>
      </c>
      <c r="K332" s="4">
        <f t="shared" si="22"/>
        <v>27.94214332675871</v>
      </c>
      <c r="L332" s="1" t="str">
        <f t="shared" si="23"/>
        <v>Levemente acima do peso</v>
      </c>
      <c r="M332" t="s">
        <v>83</v>
      </c>
    </row>
    <row r="333" spans="1:13" x14ac:dyDescent="0.25">
      <c r="A333">
        <v>332</v>
      </c>
      <c r="B333" t="s">
        <v>4081</v>
      </c>
      <c r="C333" s="2" t="s">
        <v>4082</v>
      </c>
      <c r="D333" s="2">
        <f t="shared" ca="1" si="20"/>
        <v>72</v>
      </c>
      <c r="E333" t="s">
        <v>23</v>
      </c>
      <c r="F333" t="s">
        <v>204</v>
      </c>
      <c r="G333" t="s">
        <v>112</v>
      </c>
      <c r="H333" t="str">
        <f t="shared" si="21"/>
        <v>Belém - PA</v>
      </c>
      <c r="I333" s="1" t="s">
        <v>400</v>
      </c>
      <c r="J333" s="3">
        <v>63</v>
      </c>
      <c r="K333" s="4">
        <f t="shared" si="22"/>
        <v>19.444444444444443</v>
      </c>
      <c r="L333" s="1" t="str">
        <f t="shared" si="23"/>
        <v>Peso ideal - parabéns</v>
      </c>
      <c r="M333" t="s">
        <v>20</v>
      </c>
    </row>
    <row r="334" spans="1:13" x14ac:dyDescent="0.25">
      <c r="A334">
        <v>333</v>
      </c>
      <c r="B334" t="s">
        <v>1408</v>
      </c>
      <c r="C334" s="2" t="s">
        <v>1409</v>
      </c>
      <c r="D334" s="2">
        <f t="shared" ca="1" si="20"/>
        <v>67</v>
      </c>
      <c r="E334" t="s">
        <v>23</v>
      </c>
      <c r="F334" t="s">
        <v>111</v>
      </c>
      <c r="G334" t="s">
        <v>112</v>
      </c>
      <c r="H334" t="str">
        <f t="shared" si="21"/>
        <v>Tucuruí - PA</v>
      </c>
      <c r="I334" s="1" t="s">
        <v>90</v>
      </c>
      <c r="J334" s="3">
        <v>85</v>
      </c>
      <c r="K334" s="4">
        <f t="shared" si="22"/>
        <v>28.731746890210928</v>
      </c>
      <c r="L334" s="1" t="str">
        <f t="shared" si="23"/>
        <v>Levemente acima do peso</v>
      </c>
      <c r="M334" t="s">
        <v>14</v>
      </c>
    </row>
    <row r="335" spans="1:13" x14ac:dyDescent="0.25">
      <c r="A335">
        <v>334</v>
      </c>
      <c r="B335" t="s">
        <v>4138</v>
      </c>
      <c r="C335" s="2" t="s">
        <v>3725</v>
      </c>
      <c r="D335" s="2">
        <f t="shared" ca="1" si="20"/>
        <v>48</v>
      </c>
      <c r="E335" t="s">
        <v>23</v>
      </c>
      <c r="F335" t="s">
        <v>1732</v>
      </c>
      <c r="G335" t="s">
        <v>175</v>
      </c>
      <c r="H335" t="str">
        <f t="shared" si="21"/>
        <v>São Lourenço da Mata - PE</v>
      </c>
      <c r="I335" s="1" t="s">
        <v>360</v>
      </c>
      <c r="J335" s="3">
        <v>57</v>
      </c>
      <c r="K335" s="4">
        <f t="shared" si="22"/>
        <v>22.832879346258608</v>
      </c>
      <c r="L335" s="1" t="str">
        <f t="shared" si="23"/>
        <v>Peso ideal - parabéns</v>
      </c>
      <c r="M335" t="s">
        <v>32</v>
      </c>
    </row>
    <row r="336" spans="1:13" x14ac:dyDescent="0.25">
      <c r="A336">
        <v>335</v>
      </c>
      <c r="B336" t="s">
        <v>2123</v>
      </c>
      <c r="C336" s="2" t="s">
        <v>2124</v>
      </c>
      <c r="D336" s="2">
        <f t="shared" ca="1" si="20"/>
        <v>66</v>
      </c>
      <c r="E336" t="s">
        <v>23</v>
      </c>
      <c r="F336" t="s">
        <v>1310</v>
      </c>
      <c r="G336" t="s">
        <v>51</v>
      </c>
      <c r="H336" t="str">
        <f t="shared" si="21"/>
        <v>Campos dos Goytacazes - RJ</v>
      </c>
      <c r="I336" s="1" t="s">
        <v>286</v>
      </c>
      <c r="J336" s="3">
        <v>69</v>
      </c>
      <c r="K336" s="4">
        <f t="shared" si="22"/>
        <v>25.344352617079892</v>
      </c>
      <c r="L336" s="1" t="str">
        <f t="shared" si="23"/>
        <v>Levemente acima do peso</v>
      </c>
      <c r="M336" t="s">
        <v>83</v>
      </c>
    </row>
    <row r="337" spans="1:13" x14ac:dyDescent="0.25">
      <c r="A337">
        <v>336</v>
      </c>
      <c r="B337" t="s">
        <v>4022</v>
      </c>
      <c r="C337" s="2" t="s">
        <v>2889</v>
      </c>
      <c r="D337" s="2">
        <f t="shared" ca="1" si="20"/>
        <v>74</v>
      </c>
      <c r="E337" t="s">
        <v>10</v>
      </c>
      <c r="F337" t="s">
        <v>69</v>
      </c>
      <c r="G337" t="s">
        <v>70</v>
      </c>
      <c r="H337" t="str">
        <f t="shared" si="21"/>
        <v>Aracaju - SE</v>
      </c>
      <c r="I337" s="1" t="s">
        <v>281</v>
      </c>
      <c r="J337" s="3">
        <v>110</v>
      </c>
      <c r="K337" s="4">
        <f t="shared" si="22"/>
        <v>41.914342325864951</v>
      </c>
      <c r="L337" s="1" t="str">
        <f t="shared" si="23"/>
        <v>Obesidade grau III - mórbida</v>
      </c>
      <c r="M337" t="s">
        <v>14</v>
      </c>
    </row>
    <row r="338" spans="1:13" x14ac:dyDescent="0.25">
      <c r="A338">
        <v>337</v>
      </c>
      <c r="B338" t="s">
        <v>608</v>
      </c>
      <c r="C338" s="2" t="s">
        <v>609</v>
      </c>
      <c r="D338" s="2">
        <f t="shared" ca="1" si="20"/>
        <v>41</v>
      </c>
      <c r="E338" t="s">
        <v>10</v>
      </c>
      <c r="F338" t="s">
        <v>267</v>
      </c>
      <c r="G338" t="s">
        <v>103</v>
      </c>
      <c r="H338" t="str">
        <f t="shared" si="21"/>
        <v>São Paulo - SP</v>
      </c>
      <c r="I338" s="1" t="s">
        <v>160</v>
      </c>
      <c r="J338" s="3">
        <v>99</v>
      </c>
      <c r="K338" s="4">
        <f t="shared" si="22"/>
        <v>29.24149338374291</v>
      </c>
      <c r="L338" s="1" t="str">
        <f t="shared" si="23"/>
        <v>Levemente acima do peso</v>
      </c>
      <c r="M338" t="s">
        <v>95</v>
      </c>
    </row>
    <row r="339" spans="1:13" x14ac:dyDescent="0.25">
      <c r="A339">
        <v>338</v>
      </c>
      <c r="B339" t="s">
        <v>1945</v>
      </c>
      <c r="C339" s="2" t="s">
        <v>1946</v>
      </c>
      <c r="D339" s="2">
        <f t="shared" ca="1" si="20"/>
        <v>41</v>
      </c>
      <c r="E339" t="s">
        <v>10</v>
      </c>
      <c r="F339" t="s">
        <v>107</v>
      </c>
      <c r="G339" t="s">
        <v>36</v>
      </c>
      <c r="H339" t="str">
        <f t="shared" si="21"/>
        <v>São Luís - MA</v>
      </c>
      <c r="I339" s="1" t="s">
        <v>19</v>
      </c>
      <c r="J339" s="3">
        <v>110</v>
      </c>
      <c r="K339" s="4">
        <f t="shared" si="22"/>
        <v>35.111238788343066</v>
      </c>
      <c r="L339" s="1" t="str">
        <f t="shared" si="23"/>
        <v>Obesidade grau II - severa</v>
      </c>
      <c r="M339" t="s">
        <v>95</v>
      </c>
    </row>
    <row r="340" spans="1:13" x14ac:dyDescent="0.25">
      <c r="A340">
        <v>339</v>
      </c>
      <c r="B340" t="s">
        <v>1744</v>
      </c>
      <c r="C340" s="2" t="s">
        <v>1745</v>
      </c>
      <c r="D340" s="2">
        <f t="shared" ca="1" si="20"/>
        <v>42</v>
      </c>
      <c r="E340" t="s">
        <v>10</v>
      </c>
      <c r="F340" t="s">
        <v>852</v>
      </c>
      <c r="G340" t="s">
        <v>186</v>
      </c>
      <c r="H340" t="str">
        <f t="shared" si="21"/>
        <v>Belo Horizonte - MG</v>
      </c>
      <c r="I340" s="1" t="s">
        <v>99</v>
      </c>
      <c r="J340" s="3">
        <v>91</v>
      </c>
      <c r="K340" s="4">
        <f t="shared" si="22"/>
        <v>24.178977574662557</v>
      </c>
      <c r="L340" s="1" t="str">
        <f t="shared" si="23"/>
        <v>Peso ideal - parabéns</v>
      </c>
      <c r="M340" t="s">
        <v>76</v>
      </c>
    </row>
    <row r="341" spans="1:13" x14ac:dyDescent="0.25">
      <c r="A341">
        <v>340</v>
      </c>
      <c r="B341" t="s">
        <v>2426</v>
      </c>
      <c r="C341" s="2" t="s">
        <v>2427</v>
      </c>
      <c r="D341" s="2">
        <f t="shared" ca="1" si="20"/>
        <v>67</v>
      </c>
      <c r="E341" t="s">
        <v>10</v>
      </c>
      <c r="F341" t="s">
        <v>2428</v>
      </c>
      <c r="G341" t="s">
        <v>175</v>
      </c>
      <c r="H341" t="str">
        <f t="shared" si="21"/>
        <v>Vitória de Santo Antão - PE</v>
      </c>
      <c r="I341" s="1" t="s">
        <v>155</v>
      </c>
      <c r="J341" s="3">
        <v>104</v>
      </c>
      <c r="K341" s="4">
        <f t="shared" si="22"/>
        <v>31.397174254317108</v>
      </c>
      <c r="L341" s="1" t="str">
        <f t="shared" si="23"/>
        <v>Obesidade grau I</v>
      </c>
      <c r="M341" t="s">
        <v>83</v>
      </c>
    </row>
    <row r="342" spans="1:13" x14ac:dyDescent="0.25">
      <c r="A342">
        <v>341</v>
      </c>
      <c r="B342" t="s">
        <v>1823</v>
      </c>
      <c r="C342" s="2" t="s">
        <v>1824</v>
      </c>
      <c r="D342" s="2">
        <f t="shared" ca="1" si="20"/>
        <v>57</v>
      </c>
      <c r="E342" t="s">
        <v>10</v>
      </c>
      <c r="F342" t="s">
        <v>457</v>
      </c>
      <c r="G342" t="s">
        <v>41</v>
      </c>
      <c r="H342" t="str">
        <f t="shared" si="21"/>
        <v>João Pessoa - PB</v>
      </c>
      <c r="I342" s="1" t="s">
        <v>318</v>
      </c>
      <c r="J342" s="3">
        <v>78</v>
      </c>
      <c r="K342" s="4">
        <f t="shared" si="22"/>
        <v>21.158854166666668</v>
      </c>
      <c r="L342" s="1" t="str">
        <f t="shared" si="23"/>
        <v>Peso ideal - parabéns</v>
      </c>
      <c r="M342" t="s">
        <v>47</v>
      </c>
    </row>
    <row r="343" spans="1:13" x14ac:dyDescent="0.25">
      <c r="A343">
        <v>342</v>
      </c>
      <c r="B343" t="s">
        <v>2641</v>
      </c>
      <c r="C343" s="2" t="s">
        <v>2642</v>
      </c>
      <c r="D343" s="2">
        <f t="shared" ca="1" si="20"/>
        <v>55</v>
      </c>
      <c r="E343" t="s">
        <v>10</v>
      </c>
      <c r="F343" t="s">
        <v>1589</v>
      </c>
      <c r="G343" t="s">
        <v>51</v>
      </c>
      <c r="H343" t="str">
        <f t="shared" si="21"/>
        <v>São João de Meriti - RJ</v>
      </c>
      <c r="I343" s="1" t="s">
        <v>19</v>
      </c>
      <c r="J343" s="3">
        <v>107</v>
      </c>
      <c r="K343" s="4">
        <f t="shared" si="22"/>
        <v>34.153659548660983</v>
      </c>
      <c r="L343" s="1" t="str">
        <f t="shared" si="23"/>
        <v>Obesidade grau I</v>
      </c>
      <c r="M343" t="s">
        <v>32</v>
      </c>
    </row>
    <row r="344" spans="1:13" x14ac:dyDescent="0.25">
      <c r="A344">
        <v>343</v>
      </c>
      <c r="B344" t="s">
        <v>4190</v>
      </c>
      <c r="C344" s="2" t="s">
        <v>3673</v>
      </c>
      <c r="D344" s="2">
        <f t="shared" ca="1" si="20"/>
        <v>36</v>
      </c>
      <c r="E344" t="s">
        <v>10</v>
      </c>
      <c r="F344" t="s">
        <v>169</v>
      </c>
      <c r="G344" t="s">
        <v>170</v>
      </c>
      <c r="H344" t="str">
        <f t="shared" si="21"/>
        <v>Maceió - AL</v>
      </c>
      <c r="I344" s="1" t="s">
        <v>19</v>
      </c>
      <c r="J344" s="3">
        <v>103</v>
      </c>
      <c r="K344" s="4">
        <f t="shared" si="22"/>
        <v>32.876887229084872</v>
      </c>
      <c r="L344" s="1" t="str">
        <f t="shared" si="23"/>
        <v>Obesidade grau I</v>
      </c>
      <c r="M344" t="s">
        <v>20</v>
      </c>
    </row>
    <row r="345" spans="1:13" x14ac:dyDescent="0.25">
      <c r="A345">
        <v>344</v>
      </c>
      <c r="B345" t="s">
        <v>2767</v>
      </c>
      <c r="C345" s="2" t="s">
        <v>2768</v>
      </c>
      <c r="D345" s="2">
        <f t="shared" ca="1" si="20"/>
        <v>46</v>
      </c>
      <c r="E345" t="s">
        <v>10</v>
      </c>
      <c r="F345" t="s">
        <v>944</v>
      </c>
      <c r="G345" t="s">
        <v>55</v>
      </c>
      <c r="H345" t="str">
        <f t="shared" si="21"/>
        <v>Cascavel - PR</v>
      </c>
      <c r="I345" s="1" t="s">
        <v>90</v>
      </c>
      <c r="J345" s="3">
        <v>82</v>
      </c>
      <c r="K345" s="4">
        <f t="shared" si="22"/>
        <v>27.717685235262305</v>
      </c>
      <c r="L345" s="1" t="str">
        <f t="shared" si="23"/>
        <v>Levemente acima do peso</v>
      </c>
      <c r="M345" t="s">
        <v>32</v>
      </c>
    </row>
    <row r="346" spans="1:13" x14ac:dyDescent="0.25">
      <c r="A346">
        <v>345</v>
      </c>
      <c r="B346" t="s">
        <v>619</v>
      </c>
      <c r="C346" s="2" t="s">
        <v>620</v>
      </c>
      <c r="D346" s="2">
        <f t="shared" ca="1" si="20"/>
        <v>34</v>
      </c>
      <c r="E346" t="s">
        <v>10</v>
      </c>
      <c r="F346" t="s">
        <v>182</v>
      </c>
      <c r="G346" t="s">
        <v>55</v>
      </c>
      <c r="H346" t="str">
        <f t="shared" si="21"/>
        <v>Curitiba - PR</v>
      </c>
      <c r="I346" s="1" t="s">
        <v>201</v>
      </c>
      <c r="J346" s="3">
        <v>85</v>
      </c>
      <c r="K346" s="4">
        <f t="shared" si="22"/>
        <v>22.12619741774261</v>
      </c>
      <c r="L346" s="1" t="str">
        <f t="shared" si="23"/>
        <v>Peso ideal - parabéns</v>
      </c>
      <c r="M346" t="s">
        <v>47</v>
      </c>
    </row>
    <row r="347" spans="1:13" x14ac:dyDescent="0.25">
      <c r="A347">
        <v>346</v>
      </c>
      <c r="B347" t="s">
        <v>2730</v>
      </c>
      <c r="C347" s="2" t="s">
        <v>2731</v>
      </c>
      <c r="D347" s="2">
        <f t="shared" ca="1" si="20"/>
        <v>77</v>
      </c>
      <c r="E347" t="s">
        <v>10</v>
      </c>
      <c r="F347" t="s">
        <v>189</v>
      </c>
      <c r="G347" t="s">
        <v>190</v>
      </c>
      <c r="H347" t="str">
        <f t="shared" si="21"/>
        <v>Cuiabá - MT</v>
      </c>
      <c r="I347" s="1" t="s">
        <v>171</v>
      </c>
      <c r="J347" s="3">
        <v>89</v>
      </c>
      <c r="K347" s="4">
        <f t="shared" si="22"/>
        <v>31.912223457277065</v>
      </c>
      <c r="L347" s="1" t="str">
        <f t="shared" si="23"/>
        <v>Obesidade grau I</v>
      </c>
      <c r="M347" t="s">
        <v>32</v>
      </c>
    </row>
    <row r="348" spans="1:13" x14ac:dyDescent="0.25">
      <c r="A348">
        <v>347</v>
      </c>
      <c r="B348" t="s">
        <v>3741</v>
      </c>
      <c r="C348" s="2" t="s">
        <v>3742</v>
      </c>
      <c r="D348" s="2">
        <f t="shared" ca="1" si="20"/>
        <v>38</v>
      </c>
      <c r="E348" t="s">
        <v>10</v>
      </c>
      <c r="F348" t="s">
        <v>1184</v>
      </c>
      <c r="G348" t="s">
        <v>273</v>
      </c>
      <c r="H348" t="str">
        <f t="shared" si="21"/>
        <v>Linhares - ES</v>
      </c>
      <c r="I348" s="1" t="s">
        <v>226</v>
      </c>
      <c r="J348" s="3">
        <v>105</v>
      </c>
      <c r="K348" s="4">
        <f t="shared" si="22"/>
        <v>26.782981328435874</v>
      </c>
      <c r="L348" s="1" t="str">
        <f t="shared" si="23"/>
        <v>Levemente acima do peso</v>
      </c>
      <c r="M348" t="s">
        <v>76</v>
      </c>
    </row>
    <row r="349" spans="1:13" x14ac:dyDescent="0.25">
      <c r="A349">
        <v>348</v>
      </c>
      <c r="B349" t="s">
        <v>3857</v>
      </c>
      <c r="C349" s="2" t="s">
        <v>3243</v>
      </c>
      <c r="D349" s="2">
        <f t="shared" ca="1" si="20"/>
        <v>22</v>
      </c>
      <c r="E349" t="s">
        <v>10</v>
      </c>
      <c r="F349" t="s">
        <v>313</v>
      </c>
      <c r="G349" t="s">
        <v>25</v>
      </c>
      <c r="H349" t="str">
        <f t="shared" si="21"/>
        <v>Parnamirim - RN</v>
      </c>
      <c r="I349" s="1" t="s">
        <v>286</v>
      </c>
      <c r="J349" s="3">
        <v>102</v>
      </c>
      <c r="K349" s="4">
        <f t="shared" si="22"/>
        <v>37.465564738292017</v>
      </c>
      <c r="L349" s="1" t="str">
        <f t="shared" si="23"/>
        <v>Obesidade grau II - severa</v>
      </c>
      <c r="M349" t="s">
        <v>47</v>
      </c>
    </row>
    <row r="350" spans="1:13" x14ac:dyDescent="0.25">
      <c r="A350">
        <v>349</v>
      </c>
      <c r="B350" t="s">
        <v>3628</v>
      </c>
      <c r="C350" s="2" t="s">
        <v>3629</v>
      </c>
      <c r="D350" s="2">
        <f t="shared" ca="1" si="20"/>
        <v>53</v>
      </c>
      <c r="E350" t="s">
        <v>10</v>
      </c>
      <c r="F350" t="s">
        <v>29</v>
      </c>
      <c r="G350" t="s">
        <v>30</v>
      </c>
      <c r="H350" t="str">
        <f t="shared" si="21"/>
        <v>Cacoal - RO</v>
      </c>
      <c r="I350" s="1" t="s">
        <v>42</v>
      </c>
      <c r="J350" s="3">
        <v>89</v>
      </c>
      <c r="K350" s="4">
        <f t="shared" si="22"/>
        <v>27.776910832995224</v>
      </c>
      <c r="L350" s="1" t="str">
        <f t="shared" si="23"/>
        <v>Levemente acima do peso</v>
      </c>
      <c r="M350" t="s">
        <v>26</v>
      </c>
    </row>
    <row r="351" spans="1:13" x14ac:dyDescent="0.25">
      <c r="A351">
        <v>350</v>
      </c>
      <c r="B351" t="s">
        <v>4069</v>
      </c>
      <c r="C351" s="2" t="s">
        <v>2992</v>
      </c>
      <c r="D351" s="2">
        <f t="shared" ca="1" si="20"/>
        <v>60</v>
      </c>
      <c r="E351" t="s">
        <v>10</v>
      </c>
      <c r="F351" t="s">
        <v>564</v>
      </c>
      <c r="G351" t="s">
        <v>565</v>
      </c>
      <c r="H351" t="str">
        <f t="shared" si="21"/>
        <v>Rio Branco - AC</v>
      </c>
      <c r="I351" s="1" t="s">
        <v>66</v>
      </c>
      <c r="J351" s="3">
        <v>99</v>
      </c>
      <c r="K351" s="4">
        <f t="shared" si="22"/>
        <v>28.010411951109102</v>
      </c>
      <c r="L351" s="1" t="str">
        <f t="shared" si="23"/>
        <v>Levemente acima do peso</v>
      </c>
      <c r="M351" t="s">
        <v>14</v>
      </c>
    </row>
    <row r="352" spans="1:13" x14ac:dyDescent="0.25">
      <c r="A352">
        <v>351</v>
      </c>
      <c r="B352" t="s">
        <v>284</v>
      </c>
      <c r="C352" s="2" t="s">
        <v>285</v>
      </c>
      <c r="D352" s="2">
        <f t="shared" ca="1" si="20"/>
        <v>39</v>
      </c>
      <c r="E352" t="s">
        <v>10</v>
      </c>
      <c r="F352" t="s">
        <v>89</v>
      </c>
      <c r="G352" t="s">
        <v>12</v>
      </c>
      <c r="H352" t="str">
        <f t="shared" si="21"/>
        <v>Fortaleza - CE</v>
      </c>
      <c r="I352" s="1" t="s">
        <v>286</v>
      </c>
      <c r="J352" s="3">
        <v>107</v>
      </c>
      <c r="K352" s="4">
        <f t="shared" si="22"/>
        <v>39.302112029384759</v>
      </c>
      <c r="L352" s="1" t="str">
        <f t="shared" si="23"/>
        <v>Obesidade grau II - severa</v>
      </c>
      <c r="M352" t="s">
        <v>32</v>
      </c>
    </row>
    <row r="353" spans="1:13" x14ac:dyDescent="0.25">
      <c r="A353">
        <v>352</v>
      </c>
      <c r="B353" t="s">
        <v>3240</v>
      </c>
      <c r="C353" s="2" t="s">
        <v>3241</v>
      </c>
      <c r="D353" s="2">
        <f t="shared" ca="1" si="20"/>
        <v>43</v>
      </c>
      <c r="E353" t="s">
        <v>10</v>
      </c>
      <c r="F353" t="s">
        <v>241</v>
      </c>
      <c r="G353" t="s">
        <v>190</v>
      </c>
      <c r="H353" t="str">
        <f t="shared" si="21"/>
        <v>Várzea Grande - MT</v>
      </c>
      <c r="I353" s="1" t="s">
        <v>66</v>
      </c>
      <c r="J353" s="3">
        <v>101</v>
      </c>
      <c r="K353" s="4">
        <f t="shared" si="22"/>
        <v>28.576278859212316</v>
      </c>
      <c r="L353" s="1" t="str">
        <f t="shared" si="23"/>
        <v>Levemente acima do peso</v>
      </c>
      <c r="M353" t="s">
        <v>32</v>
      </c>
    </row>
    <row r="354" spans="1:13" x14ac:dyDescent="0.25">
      <c r="A354">
        <v>353</v>
      </c>
      <c r="B354" t="s">
        <v>3467</v>
      </c>
      <c r="C354" s="2" t="s">
        <v>3468</v>
      </c>
      <c r="D354" s="2">
        <f t="shared" ca="1" si="20"/>
        <v>62</v>
      </c>
      <c r="E354" t="s">
        <v>10</v>
      </c>
      <c r="F354" t="s">
        <v>3469</v>
      </c>
      <c r="G354" t="s">
        <v>103</v>
      </c>
      <c r="H354" t="str">
        <f t="shared" si="21"/>
        <v>Itaquaquecetuba - SP</v>
      </c>
      <c r="I354" s="1" t="s">
        <v>132</v>
      </c>
      <c r="J354" s="3">
        <v>55</v>
      </c>
      <c r="K354" s="4">
        <f t="shared" si="22"/>
        <v>15.72821642025794</v>
      </c>
      <c r="L354" s="1" t="str">
        <f t="shared" si="23"/>
        <v>Muito abaixo do peso</v>
      </c>
      <c r="M354" t="s">
        <v>14</v>
      </c>
    </row>
    <row r="355" spans="1:13" x14ac:dyDescent="0.25">
      <c r="A355">
        <v>354</v>
      </c>
      <c r="B355" t="s">
        <v>3852</v>
      </c>
      <c r="C355" s="2" t="s">
        <v>3252</v>
      </c>
      <c r="D355" s="2">
        <f t="shared" ca="1" si="20"/>
        <v>34</v>
      </c>
      <c r="E355" t="s">
        <v>10</v>
      </c>
      <c r="F355" t="s">
        <v>79</v>
      </c>
      <c r="G355" t="s">
        <v>46</v>
      </c>
      <c r="H355" t="str">
        <f t="shared" si="21"/>
        <v>Novo Gama - GO</v>
      </c>
      <c r="I355" s="1" t="s">
        <v>386</v>
      </c>
      <c r="J355" s="3">
        <v>108</v>
      </c>
      <c r="K355" s="4">
        <f t="shared" si="22"/>
        <v>39.192916243286398</v>
      </c>
      <c r="L355" s="1" t="str">
        <f t="shared" si="23"/>
        <v>Obesidade grau II - severa</v>
      </c>
      <c r="M355" t="s">
        <v>20</v>
      </c>
    </row>
    <row r="356" spans="1:13" x14ac:dyDescent="0.25">
      <c r="A356">
        <v>355</v>
      </c>
      <c r="B356" t="s">
        <v>2459</v>
      </c>
      <c r="C356" s="2" t="s">
        <v>2460</v>
      </c>
      <c r="D356" s="2">
        <f t="shared" ca="1" si="20"/>
        <v>76</v>
      </c>
      <c r="E356" t="s">
        <v>10</v>
      </c>
      <c r="F356" t="s">
        <v>2461</v>
      </c>
      <c r="G356" t="s">
        <v>36</v>
      </c>
      <c r="H356" t="str">
        <f t="shared" si="21"/>
        <v>São Francisco do Brejão - MA</v>
      </c>
      <c r="I356" s="1" t="s">
        <v>66</v>
      </c>
      <c r="J356" s="3">
        <v>94</v>
      </c>
      <c r="K356" s="4">
        <f t="shared" si="22"/>
        <v>26.595744680851066</v>
      </c>
      <c r="L356" s="1" t="str">
        <f t="shared" si="23"/>
        <v>Levemente acima do peso</v>
      </c>
      <c r="M356" t="s">
        <v>47</v>
      </c>
    </row>
    <row r="357" spans="1:13" x14ac:dyDescent="0.25">
      <c r="A357">
        <v>356</v>
      </c>
      <c r="B357" t="s">
        <v>2715</v>
      </c>
      <c r="C357" s="2" t="s">
        <v>2716</v>
      </c>
      <c r="D357" s="2">
        <f t="shared" ca="1" si="20"/>
        <v>20</v>
      </c>
      <c r="E357" t="s">
        <v>10</v>
      </c>
      <c r="F357" t="s">
        <v>1126</v>
      </c>
      <c r="G357" t="s">
        <v>186</v>
      </c>
      <c r="H357" t="str">
        <f t="shared" si="21"/>
        <v>Pará de Minas - MG</v>
      </c>
      <c r="I357" s="1" t="s">
        <v>90</v>
      </c>
      <c r="J357" s="3">
        <v>78</v>
      </c>
      <c r="K357" s="4">
        <f t="shared" si="22"/>
        <v>26.365603028664147</v>
      </c>
      <c r="L357" s="1" t="str">
        <f t="shared" si="23"/>
        <v>Levemente acima do peso</v>
      </c>
      <c r="M357" t="s">
        <v>76</v>
      </c>
    </row>
    <row r="358" spans="1:13" x14ac:dyDescent="0.25">
      <c r="A358">
        <v>357</v>
      </c>
      <c r="B358" t="s">
        <v>551</v>
      </c>
      <c r="C358" s="2" t="s">
        <v>552</v>
      </c>
      <c r="D358" s="2">
        <f t="shared" ca="1" si="20"/>
        <v>64</v>
      </c>
      <c r="E358" t="s">
        <v>23</v>
      </c>
      <c r="F358" t="s">
        <v>357</v>
      </c>
      <c r="G358" t="s">
        <v>131</v>
      </c>
      <c r="H358" t="str">
        <f t="shared" si="21"/>
        <v>São José - SC</v>
      </c>
      <c r="I358" s="1" t="s">
        <v>104</v>
      </c>
      <c r="J358" s="3">
        <v>55</v>
      </c>
      <c r="K358" s="4">
        <f t="shared" si="22"/>
        <v>19.031141868512112</v>
      </c>
      <c r="L358" s="1" t="str">
        <f t="shared" si="23"/>
        <v>Peso ideal - parabéns</v>
      </c>
      <c r="M358" t="s">
        <v>32</v>
      </c>
    </row>
    <row r="359" spans="1:13" x14ac:dyDescent="0.25">
      <c r="A359">
        <v>358</v>
      </c>
      <c r="B359" t="s">
        <v>3505</v>
      </c>
      <c r="C359" s="2" t="s">
        <v>3506</v>
      </c>
      <c r="D359" s="2">
        <f t="shared" ca="1" si="20"/>
        <v>36</v>
      </c>
      <c r="E359" t="s">
        <v>23</v>
      </c>
      <c r="F359" t="s">
        <v>153</v>
      </c>
      <c r="G359" t="s">
        <v>154</v>
      </c>
      <c r="H359" t="str">
        <f t="shared" si="21"/>
        <v>Manaus - AM</v>
      </c>
      <c r="I359" s="1" t="s">
        <v>166</v>
      </c>
      <c r="J359" s="3">
        <v>49</v>
      </c>
      <c r="K359" s="4">
        <f t="shared" si="22"/>
        <v>17.361111111111114</v>
      </c>
      <c r="L359" s="1" t="str">
        <f t="shared" si="23"/>
        <v>Abaixo do peso</v>
      </c>
      <c r="M359" t="s">
        <v>95</v>
      </c>
    </row>
    <row r="360" spans="1:13" x14ac:dyDescent="0.25">
      <c r="A360">
        <v>359</v>
      </c>
      <c r="B360" t="s">
        <v>2142</v>
      </c>
      <c r="C360" s="2" t="s">
        <v>2143</v>
      </c>
      <c r="D360" s="2">
        <f t="shared" ca="1" si="20"/>
        <v>59</v>
      </c>
      <c r="E360" t="s">
        <v>23</v>
      </c>
      <c r="F360" t="s">
        <v>1748</v>
      </c>
      <c r="G360" t="s">
        <v>12</v>
      </c>
      <c r="H360" t="str">
        <f t="shared" si="21"/>
        <v>Maracanaú - CE</v>
      </c>
      <c r="I360" s="1" t="s">
        <v>71</v>
      </c>
      <c r="J360" s="3">
        <v>81</v>
      </c>
      <c r="K360" s="4">
        <f t="shared" si="22"/>
        <v>24.187046492878256</v>
      </c>
      <c r="L360" s="1" t="str">
        <f t="shared" si="23"/>
        <v>Peso ideal - parabéns</v>
      </c>
      <c r="M360" t="s">
        <v>32</v>
      </c>
    </row>
    <row r="361" spans="1:13" x14ac:dyDescent="0.25">
      <c r="A361">
        <v>360</v>
      </c>
      <c r="B361" t="s">
        <v>3974</v>
      </c>
      <c r="C361" s="2" t="s">
        <v>3975</v>
      </c>
      <c r="D361" s="2">
        <f t="shared" ca="1" si="20"/>
        <v>53</v>
      </c>
      <c r="E361" t="s">
        <v>23</v>
      </c>
      <c r="F361" t="s">
        <v>3976</v>
      </c>
      <c r="G361" t="s">
        <v>103</v>
      </c>
      <c r="H361" t="str">
        <f t="shared" si="21"/>
        <v>Sorocaba - SP</v>
      </c>
      <c r="I361" s="1" t="s">
        <v>247</v>
      </c>
      <c r="J361" s="3">
        <v>47</v>
      </c>
      <c r="K361" s="4">
        <f t="shared" si="22"/>
        <v>20.888888888888889</v>
      </c>
      <c r="L361" s="1" t="str">
        <f t="shared" si="23"/>
        <v>Peso ideal - parabéns</v>
      </c>
      <c r="M361" t="s">
        <v>20</v>
      </c>
    </row>
    <row r="362" spans="1:13" x14ac:dyDescent="0.25">
      <c r="A362">
        <v>361</v>
      </c>
      <c r="B362" t="s">
        <v>739</v>
      </c>
      <c r="C362" s="2" t="s">
        <v>740</v>
      </c>
      <c r="D362" s="2">
        <f t="shared" ca="1" si="20"/>
        <v>38</v>
      </c>
      <c r="E362" t="s">
        <v>23</v>
      </c>
      <c r="F362" t="s">
        <v>741</v>
      </c>
      <c r="G362" t="s">
        <v>51</v>
      </c>
      <c r="H362" t="str">
        <f t="shared" si="21"/>
        <v>Niterói - RJ</v>
      </c>
      <c r="I362" s="1" t="s">
        <v>179</v>
      </c>
      <c r="J362" s="3">
        <v>69</v>
      </c>
      <c r="K362" s="4">
        <f t="shared" si="22"/>
        <v>22.790328973444311</v>
      </c>
      <c r="L362" s="1" t="str">
        <f t="shared" si="23"/>
        <v>Peso ideal - parabéns</v>
      </c>
      <c r="M362" t="s">
        <v>95</v>
      </c>
    </row>
    <row r="363" spans="1:13" x14ac:dyDescent="0.25">
      <c r="A363">
        <v>362</v>
      </c>
      <c r="B363" t="s">
        <v>628</v>
      </c>
      <c r="C363" s="2" t="s">
        <v>629</v>
      </c>
      <c r="D363" s="2">
        <f t="shared" ca="1" si="20"/>
        <v>43</v>
      </c>
      <c r="E363" t="s">
        <v>23</v>
      </c>
      <c r="F363" t="s">
        <v>446</v>
      </c>
      <c r="G363" t="s">
        <v>170</v>
      </c>
      <c r="H363" t="str">
        <f t="shared" si="21"/>
        <v>Arapiraca - AL</v>
      </c>
      <c r="I363" s="1" t="s">
        <v>19</v>
      </c>
      <c r="J363" s="3">
        <v>77</v>
      </c>
      <c r="K363" s="4">
        <f t="shared" si="22"/>
        <v>24.577867151840145</v>
      </c>
      <c r="L363" s="1" t="str">
        <f t="shared" si="23"/>
        <v>Peso ideal - parabéns</v>
      </c>
      <c r="M363" t="s">
        <v>32</v>
      </c>
    </row>
    <row r="364" spans="1:13" x14ac:dyDescent="0.25">
      <c r="A364">
        <v>363</v>
      </c>
      <c r="B364" t="s">
        <v>3688</v>
      </c>
      <c r="C364" s="2" t="s">
        <v>3689</v>
      </c>
      <c r="D364" s="2">
        <f t="shared" ca="1" si="20"/>
        <v>43</v>
      </c>
      <c r="E364" t="s">
        <v>23</v>
      </c>
      <c r="F364" t="s">
        <v>107</v>
      </c>
      <c r="G364" t="s">
        <v>36</v>
      </c>
      <c r="H364" t="str">
        <f t="shared" si="21"/>
        <v>São Luís - MA</v>
      </c>
      <c r="I364" s="1" t="s">
        <v>281</v>
      </c>
      <c r="J364" s="3">
        <v>49</v>
      </c>
      <c r="K364" s="4">
        <f t="shared" si="22"/>
        <v>18.670934308794386</v>
      </c>
      <c r="L364" s="1" t="str">
        <f t="shared" si="23"/>
        <v>Peso ideal - parabéns</v>
      </c>
      <c r="M364" t="s">
        <v>95</v>
      </c>
    </row>
    <row r="365" spans="1:13" x14ac:dyDescent="0.25">
      <c r="A365">
        <v>364</v>
      </c>
      <c r="B365" t="s">
        <v>3888</v>
      </c>
      <c r="C365" s="2" t="s">
        <v>3844</v>
      </c>
      <c r="D365" s="2">
        <f t="shared" ca="1" si="20"/>
        <v>38</v>
      </c>
      <c r="E365" t="s">
        <v>23</v>
      </c>
      <c r="F365" t="s">
        <v>1342</v>
      </c>
      <c r="G365" t="s">
        <v>273</v>
      </c>
      <c r="H365" t="str">
        <f t="shared" si="21"/>
        <v>Colatina - ES</v>
      </c>
      <c r="I365" s="1" t="s">
        <v>179</v>
      </c>
      <c r="J365" s="3">
        <v>49</v>
      </c>
      <c r="K365" s="4">
        <f t="shared" si="22"/>
        <v>16.184436517373499</v>
      </c>
      <c r="L365" s="1" t="str">
        <f t="shared" si="23"/>
        <v>Muito abaixo do peso</v>
      </c>
      <c r="M365" t="s">
        <v>95</v>
      </c>
    </row>
    <row r="366" spans="1:13" x14ac:dyDescent="0.25">
      <c r="A366">
        <v>365</v>
      </c>
      <c r="B366" t="s">
        <v>3201</v>
      </c>
      <c r="C366" s="2" t="s">
        <v>2869</v>
      </c>
      <c r="D366" s="2">
        <f t="shared" ca="1" si="20"/>
        <v>65</v>
      </c>
      <c r="E366" t="s">
        <v>23</v>
      </c>
      <c r="F366" t="s">
        <v>135</v>
      </c>
      <c r="G366" t="s">
        <v>75</v>
      </c>
      <c r="H366" t="str">
        <f t="shared" si="21"/>
        <v>Santana - AP</v>
      </c>
      <c r="I366" s="1" t="s">
        <v>281</v>
      </c>
      <c r="J366" s="3">
        <v>75</v>
      </c>
      <c r="K366" s="4">
        <f t="shared" si="22"/>
        <v>28.577960676726104</v>
      </c>
      <c r="L366" s="1" t="str">
        <f t="shared" si="23"/>
        <v>Levemente acima do peso</v>
      </c>
      <c r="M366" t="s">
        <v>83</v>
      </c>
    </row>
    <row r="367" spans="1:13" x14ac:dyDescent="0.25">
      <c r="A367">
        <v>366</v>
      </c>
      <c r="B367" t="s">
        <v>3301</v>
      </c>
      <c r="C367" s="2" t="s">
        <v>3302</v>
      </c>
      <c r="D367" s="2">
        <f t="shared" ca="1" si="20"/>
        <v>36</v>
      </c>
      <c r="E367" t="s">
        <v>23</v>
      </c>
      <c r="F367" t="s">
        <v>3303</v>
      </c>
      <c r="G367" t="s">
        <v>186</v>
      </c>
      <c r="H367" t="str">
        <f t="shared" si="21"/>
        <v>Juiz de Fora - MG</v>
      </c>
      <c r="I367" s="1" t="s">
        <v>42</v>
      </c>
      <c r="J367" s="3">
        <v>52</v>
      </c>
      <c r="K367" s="4">
        <f t="shared" si="22"/>
        <v>16.229206329390468</v>
      </c>
      <c r="L367" s="1" t="str">
        <f t="shared" si="23"/>
        <v>Muito abaixo do peso</v>
      </c>
      <c r="M367" t="s">
        <v>76</v>
      </c>
    </row>
    <row r="368" spans="1:13" x14ac:dyDescent="0.25">
      <c r="A368">
        <v>367</v>
      </c>
      <c r="B368" t="s">
        <v>350</v>
      </c>
      <c r="C368" s="2" t="s">
        <v>351</v>
      </c>
      <c r="D368" s="2">
        <f t="shared" ca="1" si="20"/>
        <v>33</v>
      </c>
      <c r="E368" t="s">
        <v>23</v>
      </c>
      <c r="F368" t="s">
        <v>126</v>
      </c>
      <c r="G368" t="s">
        <v>127</v>
      </c>
      <c r="H368" t="str">
        <f t="shared" si="21"/>
        <v>Boa Vista - RR</v>
      </c>
      <c r="I368" s="1" t="s">
        <v>247</v>
      </c>
      <c r="J368" s="3">
        <v>84</v>
      </c>
      <c r="K368" s="4">
        <f t="shared" si="22"/>
        <v>37.333333333333336</v>
      </c>
      <c r="L368" s="1" t="str">
        <f t="shared" si="23"/>
        <v>Obesidade grau II - severa</v>
      </c>
      <c r="M368" t="s">
        <v>20</v>
      </c>
    </row>
    <row r="369" spans="1:13" x14ac:dyDescent="0.25">
      <c r="A369">
        <v>368</v>
      </c>
      <c r="B369" t="s">
        <v>891</v>
      </c>
      <c r="C369" s="2" t="s">
        <v>892</v>
      </c>
      <c r="D369" s="2">
        <f t="shared" ca="1" si="20"/>
        <v>27</v>
      </c>
      <c r="E369" t="s">
        <v>23</v>
      </c>
      <c r="F369" t="s">
        <v>383</v>
      </c>
      <c r="G369" t="s">
        <v>237</v>
      </c>
      <c r="H369" t="str">
        <f t="shared" si="21"/>
        <v>Parnaíba - PI</v>
      </c>
      <c r="I369" s="1" t="s">
        <v>205</v>
      </c>
      <c r="J369" s="3">
        <v>56</v>
      </c>
      <c r="K369" s="4">
        <f t="shared" si="22"/>
        <v>23.92242299970097</v>
      </c>
      <c r="L369" s="1" t="str">
        <f t="shared" si="23"/>
        <v>Peso ideal - parabéns</v>
      </c>
      <c r="M369" t="s">
        <v>47</v>
      </c>
    </row>
    <row r="370" spans="1:13" x14ac:dyDescent="0.25">
      <c r="A370">
        <v>369</v>
      </c>
      <c r="B370" t="s">
        <v>1566</v>
      </c>
      <c r="C370" s="2" t="s">
        <v>1567</v>
      </c>
      <c r="D370" s="2">
        <f t="shared" ca="1" si="20"/>
        <v>57</v>
      </c>
      <c r="E370" t="s">
        <v>23</v>
      </c>
      <c r="F370" t="s">
        <v>941</v>
      </c>
      <c r="G370" t="s">
        <v>131</v>
      </c>
      <c r="H370" t="str">
        <f t="shared" si="21"/>
        <v>Itajaí - SC</v>
      </c>
      <c r="I370" s="1" t="s">
        <v>286</v>
      </c>
      <c r="J370" s="3">
        <v>46</v>
      </c>
      <c r="K370" s="4">
        <f t="shared" si="22"/>
        <v>16.896235078053262</v>
      </c>
      <c r="L370" s="1" t="str">
        <f t="shared" si="23"/>
        <v>Muito abaixo do peso</v>
      </c>
      <c r="M370" t="s">
        <v>20</v>
      </c>
    </row>
    <row r="371" spans="1:13" x14ac:dyDescent="0.25">
      <c r="A371">
        <v>370</v>
      </c>
      <c r="B371" t="s">
        <v>3889</v>
      </c>
      <c r="C371" s="2" t="s">
        <v>3101</v>
      </c>
      <c r="D371" s="2">
        <f t="shared" ca="1" si="20"/>
        <v>22</v>
      </c>
      <c r="E371" t="s">
        <v>23</v>
      </c>
      <c r="F371" t="s">
        <v>107</v>
      </c>
      <c r="G371" t="s">
        <v>36</v>
      </c>
      <c r="H371" t="str">
        <f t="shared" si="21"/>
        <v>São Luís - MA</v>
      </c>
      <c r="I371" s="1" t="s">
        <v>117</v>
      </c>
      <c r="J371" s="3">
        <v>82</v>
      </c>
      <c r="K371" s="4">
        <f t="shared" si="22"/>
        <v>25.880570635020831</v>
      </c>
      <c r="L371" s="1" t="str">
        <f t="shared" si="23"/>
        <v>Levemente acima do peso</v>
      </c>
      <c r="M371" t="s">
        <v>32</v>
      </c>
    </row>
    <row r="372" spans="1:13" x14ac:dyDescent="0.25">
      <c r="A372">
        <v>371</v>
      </c>
      <c r="B372" t="s">
        <v>2372</v>
      </c>
      <c r="C372" s="2" t="s">
        <v>2373</v>
      </c>
      <c r="D372" s="2">
        <f t="shared" ca="1" si="20"/>
        <v>45</v>
      </c>
      <c r="E372" t="s">
        <v>23</v>
      </c>
      <c r="F372" t="s">
        <v>775</v>
      </c>
      <c r="G372" t="s">
        <v>51</v>
      </c>
      <c r="H372" t="str">
        <f t="shared" si="21"/>
        <v>Rio de Janeiro - RJ</v>
      </c>
      <c r="I372" s="1" t="s">
        <v>213</v>
      </c>
      <c r="J372" s="3">
        <v>71</v>
      </c>
      <c r="K372" s="4">
        <f t="shared" si="22"/>
        <v>30.730609418282548</v>
      </c>
      <c r="L372" s="1" t="str">
        <f t="shared" si="23"/>
        <v>Obesidade grau I</v>
      </c>
      <c r="M372" t="s">
        <v>76</v>
      </c>
    </row>
    <row r="373" spans="1:13" x14ac:dyDescent="0.25">
      <c r="A373">
        <v>372</v>
      </c>
      <c r="B373" t="s">
        <v>3074</v>
      </c>
      <c r="C373" s="2" t="s">
        <v>2863</v>
      </c>
      <c r="D373" s="2">
        <f t="shared" ca="1" si="20"/>
        <v>79</v>
      </c>
      <c r="E373" t="s">
        <v>23</v>
      </c>
      <c r="F373" t="s">
        <v>724</v>
      </c>
      <c r="G373" t="s">
        <v>310</v>
      </c>
      <c r="H373" t="str">
        <f t="shared" si="21"/>
        <v>Pelotas - RS</v>
      </c>
      <c r="I373" s="1" t="s">
        <v>117</v>
      </c>
      <c r="J373" s="3">
        <v>54</v>
      </c>
      <c r="K373" s="4">
        <f t="shared" si="22"/>
        <v>17.043302613306402</v>
      </c>
      <c r="L373" s="1" t="str">
        <f t="shared" si="23"/>
        <v>Abaixo do peso</v>
      </c>
      <c r="M373" t="s">
        <v>47</v>
      </c>
    </row>
    <row r="374" spans="1:13" x14ac:dyDescent="0.25">
      <c r="A374">
        <v>373</v>
      </c>
      <c r="B374" t="s">
        <v>1809</v>
      </c>
      <c r="C374" s="2" t="s">
        <v>1810</v>
      </c>
      <c r="D374" s="2">
        <f t="shared" ca="1" si="20"/>
        <v>32</v>
      </c>
      <c r="E374" t="s">
        <v>23</v>
      </c>
      <c r="F374" t="s">
        <v>462</v>
      </c>
      <c r="G374" t="s">
        <v>36</v>
      </c>
      <c r="H374" t="str">
        <f t="shared" si="21"/>
        <v>Caxias - MA</v>
      </c>
      <c r="I374" s="1" t="s">
        <v>205</v>
      </c>
      <c r="J374" s="3">
        <v>53</v>
      </c>
      <c r="K374" s="4">
        <f t="shared" si="22"/>
        <v>22.64086462471699</v>
      </c>
      <c r="L374" s="1" t="str">
        <f t="shared" si="23"/>
        <v>Peso ideal - parabéns</v>
      </c>
      <c r="M374" t="s">
        <v>20</v>
      </c>
    </row>
    <row r="375" spans="1:13" x14ac:dyDescent="0.25">
      <c r="A375">
        <v>374</v>
      </c>
      <c r="B375" t="s">
        <v>3772</v>
      </c>
      <c r="C375" s="2" t="s">
        <v>3773</v>
      </c>
      <c r="D375" s="2">
        <f t="shared" ca="1" si="20"/>
        <v>51</v>
      </c>
      <c r="E375" t="s">
        <v>23</v>
      </c>
      <c r="F375" t="s">
        <v>126</v>
      </c>
      <c r="G375" t="s">
        <v>127</v>
      </c>
      <c r="H375" t="str">
        <f t="shared" si="21"/>
        <v>Boa Vista - RR</v>
      </c>
      <c r="I375" s="1" t="s">
        <v>86</v>
      </c>
      <c r="J375" s="3">
        <v>49</v>
      </c>
      <c r="K375" s="4">
        <f t="shared" si="22"/>
        <v>14.956808400231983</v>
      </c>
      <c r="L375" s="1" t="str">
        <f t="shared" si="23"/>
        <v>Muito abaixo do peso</v>
      </c>
      <c r="M375" t="s">
        <v>32</v>
      </c>
    </row>
    <row r="376" spans="1:13" x14ac:dyDescent="0.25">
      <c r="A376">
        <v>375</v>
      </c>
      <c r="B376" t="s">
        <v>3772</v>
      </c>
      <c r="C376" s="2" t="s">
        <v>3773</v>
      </c>
      <c r="D376" s="2">
        <f t="shared" ca="1" si="20"/>
        <v>51</v>
      </c>
      <c r="E376" t="s">
        <v>23</v>
      </c>
      <c r="F376" t="s">
        <v>126</v>
      </c>
      <c r="G376" t="s">
        <v>127</v>
      </c>
      <c r="H376" t="str">
        <f t="shared" si="21"/>
        <v>Boa Vista - RR</v>
      </c>
      <c r="I376" s="1" t="s">
        <v>86</v>
      </c>
      <c r="J376" s="3">
        <v>49</v>
      </c>
      <c r="K376" s="4">
        <f t="shared" si="22"/>
        <v>14.956808400231983</v>
      </c>
      <c r="L376" s="1" t="str">
        <f t="shared" si="23"/>
        <v>Muito abaixo do peso</v>
      </c>
      <c r="M376" t="s">
        <v>32</v>
      </c>
    </row>
    <row r="377" spans="1:13" x14ac:dyDescent="0.25">
      <c r="A377">
        <v>376</v>
      </c>
      <c r="B377" t="s">
        <v>2605</v>
      </c>
      <c r="C377" s="2" t="s">
        <v>2606</v>
      </c>
      <c r="D377" s="2">
        <f t="shared" ca="1" si="20"/>
        <v>75</v>
      </c>
      <c r="E377" t="s">
        <v>23</v>
      </c>
      <c r="F377" t="s">
        <v>182</v>
      </c>
      <c r="G377" t="s">
        <v>55</v>
      </c>
      <c r="H377" t="str">
        <f t="shared" si="21"/>
        <v>Curitiba - PR</v>
      </c>
      <c r="I377" s="1" t="s">
        <v>13</v>
      </c>
      <c r="J377" s="3">
        <v>57</v>
      </c>
      <c r="K377" s="4">
        <f t="shared" si="22"/>
        <v>19.493177387914233</v>
      </c>
      <c r="L377" s="1" t="str">
        <f t="shared" si="23"/>
        <v>Peso ideal - parabéns</v>
      </c>
      <c r="M377" t="s">
        <v>20</v>
      </c>
    </row>
    <row r="378" spans="1:13" x14ac:dyDescent="0.25">
      <c r="A378">
        <v>377</v>
      </c>
      <c r="B378" t="s">
        <v>4144</v>
      </c>
      <c r="C378" s="2" t="s">
        <v>3076</v>
      </c>
      <c r="D378" s="2">
        <f t="shared" ca="1" si="20"/>
        <v>39</v>
      </c>
      <c r="E378" t="s">
        <v>23</v>
      </c>
      <c r="F378" t="s">
        <v>509</v>
      </c>
      <c r="G378" t="s">
        <v>186</v>
      </c>
      <c r="H378" t="str">
        <f t="shared" si="21"/>
        <v>Contagem - MG</v>
      </c>
      <c r="I378" s="1" t="s">
        <v>191</v>
      </c>
      <c r="J378" s="3">
        <v>60</v>
      </c>
      <c r="K378" s="4">
        <f t="shared" si="22"/>
        <v>23.437499999999996</v>
      </c>
      <c r="L378" s="1" t="str">
        <f t="shared" si="23"/>
        <v>Peso ideal - parabéns</v>
      </c>
      <c r="M378" t="s">
        <v>76</v>
      </c>
    </row>
    <row r="379" spans="1:13" x14ac:dyDescent="0.25">
      <c r="A379">
        <v>378</v>
      </c>
      <c r="B379" t="s">
        <v>1994</v>
      </c>
      <c r="C379" s="2" t="s">
        <v>1995</v>
      </c>
      <c r="D379" s="2">
        <f t="shared" ca="1" si="20"/>
        <v>48</v>
      </c>
      <c r="E379" t="s">
        <v>23</v>
      </c>
      <c r="F379" t="s">
        <v>436</v>
      </c>
      <c r="G379" t="s">
        <v>273</v>
      </c>
      <c r="H379" t="str">
        <f t="shared" si="21"/>
        <v>Aracruz - ES</v>
      </c>
      <c r="I379" s="1" t="s">
        <v>205</v>
      </c>
      <c r="J379" s="3">
        <v>49</v>
      </c>
      <c r="K379" s="4">
        <f t="shared" si="22"/>
        <v>20.932120124738347</v>
      </c>
      <c r="L379" s="1" t="str">
        <f t="shared" si="23"/>
        <v>Peso ideal - parabéns</v>
      </c>
      <c r="M379" t="s">
        <v>76</v>
      </c>
    </row>
    <row r="380" spans="1:13" x14ac:dyDescent="0.25">
      <c r="A380">
        <v>379</v>
      </c>
      <c r="B380" t="s">
        <v>2370</v>
      </c>
      <c r="C380" s="2" t="s">
        <v>2371</v>
      </c>
      <c r="D380" s="2">
        <f t="shared" ca="1" si="20"/>
        <v>56</v>
      </c>
      <c r="E380" t="s">
        <v>23</v>
      </c>
      <c r="F380" t="s">
        <v>457</v>
      </c>
      <c r="G380" t="s">
        <v>41</v>
      </c>
      <c r="H380" t="str">
        <f t="shared" si="21"/>
        <v>João Pessoa - PB</v>
      </c>
      <c r="I380" s="1" t="s">
        <v>194</v>
      </c>
      <c r="J380" s="3">
        <v>46</v>
      </c>
      <c r="K380" s="4">
        <f t="shared" si="22"/>
        <v>13.440467494521547</v>
      </c>
      <c r="L380" s="1" t="str">
        <f t="shared" si="23"/>
        <v>Muito abaixo do peso</v>
      </c>
      <c r="M380" t="s">
        <v>14</v>
      </c>
    </row>
    <row r="381" spans="1:13" x14ac:dyDescent="0.25">
      <c r="A381">
        <v>380</v>
      </c>
      <c r="B381" t="s">
        <v>1162</v>
      </c>
      <c r="C381" s="2" t="s">
        <v>1163</v>
      </c>
      <c r="D381" s="2">
        <f t="shared" ca="1" si="20"/>
        <v>76</v>
      </c>
      <c r="E381" t="s">
        <v>23</v>
      </c>
      <c r="F381" t="s">
        <v>158</v>
      </c>
      <c r="G381" t="s">
        <v>159</v>
      </c>
      <c r="H381" t="str">
        <f t="shared" si="21"/>
        <v>Brasília - DF</v>
      </c>
      <c r="I381" s="1" t="s">
        <v>171</v>
      </c>
      <c r="J381" s="3">
        <v>73</v>
      </c>
      <c r="K381" s="4">
        <f t="shared" si="22"/>
        <v>26.175194521137367</v>
      </c>
      <c r="L381" s="1" t="str">
        <f t="shared" si="23"/>
        <v>Levemente acima do peso</v>
      </c>
      <c r="M381" t="s">
        <v>95</v>
      </c>
    </row>
    <row r="382" spans="1:13" x14ac:dyDescent="0.25">
      <c r="A382">
        <v>381</v>
      </c>
      <c r="B382" t="s">
        <v>1300</v>
      </c>
      <c r="C382" s="2" t="s">
        <v>1301</v>
      </c>
      <c r="D382" s="2">
        <f t="shared" ca="1" si="20"/>
        <v>23</v>
      </c>
      <c r="E382" t="s">
        <v>23</v>
      </c>
      <c r="F382" t="s">
        <v>89</v>
      </c>
      <c r="G382" t="s">
        <v>12</v>
      </c>
      <c r="H382" t="str">
        <f t="shared" si="21"/>
        <v>Fortaleza - CE</v>
      </c>
      <c r="I382" s="1" t="s">
        <v>582</v>
      </c>
      <c r="J382" s="3">
        <v>53</v>
      </c>
      <c r="K382" s="4">
        <f t="shared" si="22"/>
        <v>21.7784352399737</v>
      </c>
      <c r="L382" s="1" t="str">
        <f t="shared" si="23"/>
        <v>Peso ideal - parabéns</v>
      </c>
      <c r="M382" t="s">
        <v>95</v>
      </c>
    </row>
    <row r="383" spans="1:13" x14ac:dyDescent="0.25">
      <c r="A383">
        <v>382</v>
      </c>
      <c r="B383" t="s">
        <v>2305</v>
      </c>
      <c r="C383" s="2" t="s">
        <v>2306</v>
      </c>
      <c r="D383" s="2">
        <f t="shared" ca="1" si="20"/>
        <v>24</v>
      </c>
      <c r="E383" t="s">
        <v>23</v>
      </c>
      <c r="F383" t="s">
        <v>204</v>
      </c>
      <c r="G383" t="s">
        <v>112</v>
      </c>
      <c r="H383" t="str">
        <f t="shared" si="21"/>
        <v>Belém - PA</v>
      </c>
      <c r="I383" s="1" t="s">
        <v>209</v>
      </c>
      <c r="J383" s="3">
        <v>77</v>
      </c>
      <c r="K383" s="4">
        <f t="shared" si="22"/>
        <v>32.467532467532472</v>
      </c>
      <c r="L383" s="1" t="str">
        <f t="shared" si="23"/>
        <v>Obesidade grau I</v>
      </c>
      <c r="M383" t="s">
        <v>32</v>
      </c>
    </row>
    <row r="384" spans="1:13" x14ac:dyDescent="0.25">
      <c r="A384">
        <v>383</v>
      </c>
      <c r="B384" t="s">
        <v>3946</v>
      </c>
      <c r="C384" s="2" t="s">
        <v>2869</v>
      </c>
      <c r="D384" s="2">
        <f t="shared" ca="1" si="20"/>
        <v>65</v>
      </c>
      <c r="E384" t="s">
        <v>10</v>
      </c>
      <c r="F384" t="s">
        <v>74</v>
      </c>
      <c r="G384" t="s">
        <v>75</v>
      </c>
      <c r="H384" t="str">
        <f t="shared" si="21"/>
        <v>Macapá - AP</v>
      </c>
      <c r="I384" s="1" t="s">
        <v>104</v>
      </c>
      <c r="J384" s="3">
        <v>62</v>
      </c>
      <c r="K384" s="4">
        <f t="shared" si="22"/>
        <v>21.453287197231838</v>
      </c>
      <c r="L384" s="1" t="str">
        <f t="shared" si="23"/>
        <v>Peso ideal - parabéns</v>
      </c>
      <c r="M384" t="s">
        <v>47</v>
      </c>
    </row>
    <row r="385" spans="1:13" x14ac:dyDescent="0.25">
      <c r="A385">
        <v>384</v>
      </c>
      <c r="B385" t="s">
        <v>3594</v>
      </c>
      <c r="C385" s="2" t="s">
        <v>3595</v>
      </c>
      <c r="D385" s="2">
        <f t="shared" ca="1" si="20"/>
        <v>33</v>
      </c>
      <c r="E385" t="s">
        <v>10</v>
      </c>
      <c r="F385" t="s">
        <v>107</v>
      </c>
      <c r="G385" t="s">
        <v>36</v>
      </c>
      <c r="H385" t="str">
        <f t="shared" si="21"/>
        <v>São Luís - MA</v>
      </c>
      <c r="I385" s="1" t="s">
        <v>218</v>
      </c>
      <c r="J385" s="3">
        <v>86</v>
      </c>
      <c r="K385" s="4">
        <f t="shared" si="22"/>
        <v>23.087868130688072</v>
      </c>
      <c r="L385" s="1" t="str">
        <f t="shared" si="23"/>
        <v>Peso ideal - parabéns</v>
      </c>
      <c r="M385" t="s">
        <v>14</v>
      </c>
    </row>
    <row r="386" spans="1:13" x14ac:dyDescent="0.25">
      <c r="A386">
        <v>385</v>
      </c>
      <c r="B386" t="s">
        <v>3191</v>
      </c>
      <c r="C386" s="2" t="s">
        <v>3192</v>
      </c>
      <c r="D386" s="2">
        <f t="shared" ca="1" si="20"/>
        <v>74</v>
      </c>
      <c r="E386" t="s">
        <v>10</v>
      </c>
      <c r="F386" t="s">
        <v>189</v>
      </c>
      <c r="G386" t="s">
        <v>190</v>
      </c>
      <c r="H386" t="str">
        <f t="shared" si="21"/>
        <v>Cuiabá - MT</v>
      </c>
      <c r="I386" s="1" t="s">
        <v>56</v>
      </c>
      <c r="J386" s="3">
        <v>53</v>
      </c>
      <c r="K386" s="4">
        <f t="shared" si="22"/>
        <v>18.556773222226116</v>
      </c>
      <c r="L386" s="1" t="str">
        <f t="shared" si="23"/>
        <v>Abaixo do peso</v>
      </c>
      <c r="M386" t="s">
        <v>26</v>
      </c>
    </row>
    <row r="387" spans="1:13" x14ac:dyDescent="0.25">
      <c r="A387">
        <v>386</v>
      </c>
      <c r="B387" t="s">
        <v>4003</v>
      </c>
      <c r="C387" s="2" t="s">
        <v>2421</v>
      </c>
      <c r="D387" s="2">
        <f t="shared" ref="D387:D450" ca="1" si="24">YEAR(TODAY())-YEAR(C387)</f>
        <v>48</v>
      </c>
      <c r="E387" t="s">
        <v>10</v>
      </c>
      <c r="F387" t="s">
        <v>280</v>
      </c>
      <c r="G387" t="s">
        <v>175</v>
      </c>
      <c r="H387" t="str">
        <f t="shared" ref="H387:H450" si="25">CONCATENATE(F387," - ",G387)</f>
        <v>Recife - PE</v>
      </c>
      <c r="I387" s="1" t="s">
        <v>191</v>
      </c>
      <c r="J387" s="3">
        <v>107</v>
      </c>
      <c r="K387" s="4">
        <f t="shared" ref="K387:K450" si="26">J387/(I387*I387)</f>
        <v>41.796874999999993</v>
      </c>
      <c r="L387" s="1" t="str">
        <f t="shared" ref="L387:L450" si="27">IF(K387&gt;=40,"Obesidade grau III - mórbida",
IF(K387&gt;=35,"Obesidade grau II - severa",
IF(K387&gt;=30,"Obesidade grau I",
IF(K387&gt;=25,"Levemente acima do peso",
IF(K387&gt;=18.6,"Peso ideal - parabéns",
IF(K387&gt;=17,"Abaixo do peso",
"Muito abaixo do peso"))))))</f>
        <v>Obesidade grau III - mórbida</v>
      </c>
      <c r="M387" t="s">
        <v>26</v>
      </c>
    </row>
    <row r="388" spans="1:13" x14ac:dyDescent="0.25">
      <c r="A388">
        <v>387</v>
      </c>
      <c r="B388" t="s">
        <v>161</v>
      </c>
      <c r="C388" s="2" t="s">
        <v>162</v>
      </c>
      <c r="D388" s="2">
        <f t="shared" ca="1" si="24"/>
        <v>54</v>
      </c>
      <c r="E388" t="s">
        <v>10</v>
      </c>
      <c r="F388" t="s">
        <v>163</v>
      </c>
      <c r="G388" t="s">
        <v>131</v>
      </c>
      <c r="H388" t="str">
        <f t="shared" si="25"/>
        <v>Rio do Sul - SC</v>
      </c>
      <c r="I388" s="1" t="s">
        <v>13</v>
      </c>
      <c r="J388" s="3">
        <v>57</v>
      </c>
      <c r="K388" s="4">
        <f t="shared" si="26"/>
        <v>19.493177387914233</v>
      </c>
      <c r="L388" s="1" t="str">
        <f t="shared" si="27"/>
        <v>Peso ideal - parabéns</v>
      </c>
      <c r="M388" t="s">
        <v>47</v>
      </c>
    </row>
    <row r="389" spans="1:13" x14ac:dyDescent="0.25">
      <c r="A389">
        <v>388</v>
      </c>
      <c r="B389" t="s">
        <v>2202</v>
      </c>
      <c r="C389" s="2" t="s">
        <v>2203</v>
      </c>
      <c r="D389" s="2">
        <f t="shared" ca="1" si="24"/>
        <v>29</v>
      </c>
      <c r="E389" t="s">
        <v>10</v>
      </c>
      <c r="F389" t="s">
        <v>2170</v>
      </c>
      <c r="G389" t="s">
        <v>65</v>
      </c>
      <c r="H389" t="str">
        <f t="shared" si="25"/>
        <v>Camaçari - BA</v>
      </c>
      <c r="I389" s="1" t="s">
        <v>416</v>
      </c>
      <c r="J389" s="3">
        <v>54</v>
      </c>
      <c r="K389" s="4">
        <f t="shared" si="26"/>
        <v>20.832529609197174</v>
      </c>
      <c r="L389" s="1" t="str">
        <f t="shared" si="27"/>
        <v>Peso ideal - parabéns</v>
      </c>
      <c r="M389" t="s">
        <v>20</v>
      </c>
    </row>
    <row r="390" spans="1:13" x14ac:dyDescent="0.25">
      <c r="A390">
        <v>389</v>
      </c>
      <c r="B390" t="s">
        <v>2876</v>
      </c>
      <c r="C390" s="2" t="s">
        <v>2877</v>
      </c>
      <c r="D390" s="2">
        <f t="shared" ca="1" si="24"/>
        <v>68</v>
      </c>
      <c r="E390" t="s">
        <v>10</v>
      </c>
      <c r="F390" t="s">
        <v>64</v>
      </c>
      <c r="G390" t="s">
        <v>65</v>
      </c>
      <c r="H390" t="str">
        <f t="shared" si="25"/>
        <v>Salvador - BA</v>
      </c>
      <c r="I390" s="1" t="s">
        <v>94</v>
      </c>
      <c r="J390" s="3">
        <v>51</v>
      </c>
      <c r="K390" s="4">
        <f t="shared" si="26"/>
        <v>17.04032877810819</v>
      </c>
      <c r="L390" s="1" t="str">
        <f t="shared" si="27"/>
        <v>Abaixo do peso</v>
      </c>
      <c r="M390" t="s">
        <v>47</v>
      </c>
    </row>
    <row r="391" spans="1:13" x14ac:dyDescent="0.25">
      <c r="A391">
        <v>390</v>
      </c>
      <c r="B391" t="s">
        <v>2697</v>
      </c>
      <c r="C391" s="2" t="s">
        <v>2698</v>
      </c>
      <c r="D391" s="2">
        <f t="shared" ca="1" si="24"/>
        <v>58</v>
      </c>
      <c r="E391" t="s">
        <v>10</v>
      </c>
      <c r="F391" t="s">
        <v>564</v>
      </c>
      <c r="G391" t="s">
        <v>565</v>
      </c>
      <c r="H391" t="str">
        <f t="shared" si="25"/>
        <v>Rio Branco - AC</v>
      </c>
      <c r="I391" s="1" t="s">
        <v>160</v>
      </c>
      <c r="J391" s="3">
        <v>85</v>
      </c>
      <c r="K391" s="4">
        <f t="shared" si="26"/>
        <v>25.10633270321361</v>
      </c>
      <c r="L391" s="1" t="str">
        <f t="shared" si="27"/>
        <v>Levemente acima do peso</v>
      </c>
      <c r="M391" t="s">
        <v>76</v>
      </c>
    </row>
    <row r="392" spans="1:13" x14ac:dyDescent="0.25">
      <c r="A392">
        <v>391</v>
      </c>
      <c r="B392" t="s">
        <v>637</v>
      </c>
      <c r="C392" s="2" t="s">
        <v>638</v>
      </c>
      <c r="D392" s="2">
        <f t="shared" ca="1" si="24"/>
        <v>48</v>
      </c>
      <c r="E392" t="s">
        <v>10</v>
      </c>
      <c r="F392" t="s">
        <v>153</v>
      </c>
      <c r="G392" t="s">
        <v>154</v>
      </c>
      <c r="H392" t="str">
        <f t="shared" si="25"/>
        <v>Manaus - AM</v>
      </c>
      <c r="I392" s="1" t="s">
        <v>639</v>
      </c>
      <c r="J392" s="3">
        <v>88</v>
      </c>
      <c r="K392" s="4">
        <f t="shared" si="26"/>
        <v>22</v>
      </c>
      <c r="L392" s="1" t="str">
        <f t="shared" si="27"/>
        <v>Peso ideal - parabéns</v>
      </c>
      <c r="M392" t="s">
        <v>20</v>
      </c>
    </row>
    <row r="393" spans="1:13" x14ac:dyDescent="0.25">
      <c r="A393">
        <v>392</v>
      </c>
      <c r="B393" t="s">
        <v>3282</v>
      </c>
      <c r="C393" s="2" t="s">
        <v>2944</v>
      </c>
      <c r="D393" s="2">
        <f t="shared" ca="1" si="24"/>
        <v>69</v>
      </c>
      <c r="E393" t="s">
        <v>10</v>
      </c>
      <c r="F393" t="s">
        <v>208</v>
      </c>
      <c r="G393" t="s">
        <v>30</v>
      </c>
      <c r="H393" t="str">
        <f t="shared" si="25"/>
        <v>Ji-Paraná - RO</v>
      </c>
      <c r="I393" s="1" t="s">
        <v>113</v>
      </c>
      <c r="J393" s="3">
        <v>67</v>
      </c>
      <c r="K393" s="4">
        <f t="shared" si="26"/>
        <v>25.217358575783809</v>
      </c>
      <c r="L393" s="1" t="str">
        <f t="shared" si="27"/>
        <v>Levemente acima do peso</v>
      </c>
      <c r="M393" t="s">
        <v>32</v>
      </c>
    </row>
    <row r="394" spans="1:13" x14ac:dyDescent="0.25">
      <c r="A394">
        <v>393</v>
      </c>
      <c r="B394" t="s">
        <v>2006</v>
      </c>
      <c r="C394" s="2" t="s">
        <v>2007</v>
      </c>
      <c r="D394" s="2">
        <f t="shared" ca="1" si="24"/>
        <v>37</v>
      </c>
      <c r="E394" t="s">
        <v>10</v>
      </c>
      <c r="F394" t="s">
        <v>2008</v>
      </c>
      <c r="G394" t="s">
        <v>12</v>
      </c>
      <c r="H394" t="str">
        <f t="shared" si="25"/>
        <v>Sobral - CE</v>
      </c>
      <c r="I394" s="1" t="s">
        <v>218</v>
      </c>
      <c r="J394" s="3">
        <v>90</v>
      </c>
      <c r="K394" s="4">
        <f t="shared" si="26"/>
        <v>24.161722462347985</v>
      </c>
      <c r="L394" s="1" t="str">
        <f t="shared" si="27"/>
        <v>Peso ideal - parabéns</v>
      </c>
      <c r="M394" t="s">
        <v>47</v>
      </c>
    </row>
    <row r="395" spans="1:13" x14ac:dyDescent="0.25">
      <c r="A395">
        <v>394</v>
      </c>
      <c r="B395" t="s">
        <v>3989</v>
      </c>
      <c r="C395" s="2" t="s">
        <v>3990</v>
      </c>
      <c r="D395" s="2">
        <f t="shared" ca="1" si="24"/>
        <v>50</v>
      </c>
      <c r="E395" t="s">
        <v>10</v>
      </c>
      <c r="F395" t="s">
        <v>3395</v>
      </c>
      <c r="G395" t="s">
        <v>310</v>
      </c>
      <c r="H395" t="str">
        <f t="shared" si="25"/>
        <v>Viamão - RS</v>
      </c>
      <c r="I395" s="1" t="s">
        <v>104</v>
      </c>
      <c r="J395" s="3">
        <v>79</v>
      </c>
      <c r="K395" s="4">
        <f t="shared" si="26"/>
        <v>27.335640138408309</v>
      </c>
      <c r="L395" s="1" t="str">
        <f t="shared" si="27"/>
        <v>Levemente acima do peso</v>
      </c>
      <c r="M395" t="s">
        <v>20</v>
      </c>
    </row>
    <row r="396" spans="1:13" x14ac:dyDescent="0.25">
      <c r="A396">
        <v>395</v>
      </c>
      <c r="B396" t="s">
        <v>797</v>
      </c>
      <c r="C396" s="2" t="s">
        <v>798</v>
      </c>
      <c r="D396" s="2">
        <f t="shared" ca="1" si="24"/>
        <v>75</v>
      </c>
      <c r="E396" t="s">
        <v>10</v>
      </c>
      <c r="F396" t="s">
        <v>280</v>
      </c>
      <c r="G396" t="s">
        <v>175</v>
      </c>
      <c r="H396" t="str">
        <f t="shared" si="25"/>
        <v>Recife - PE</v>
      </c>
      <c r="I396" s="1" t="s">
        <v>117</v>
      </c>
      <c r="J396" s="3">
        <v>106</v>
      </c>
      <c r="K396" s="4">
        <f t="shared" si="26"/>
        <v>33.45537179649034</v>
      </c>
      <c r="L396" s="1" t="str">
        <f t="shared" si="27"/>
        <v>Obesidade grau I</v>
      </c>
      <c r="M396" t="s">
        <v>95</v>
      </c>
    </row>
    <row r="397" spans="1:13" x14ac:dyDescent="0.25">
      <c r="A397">
        <v>396</v>
      </c>
      <c r="B397" t="s">
        <v>1422</v>
      </c>
      <c r="C397" s="2" t="s">
        <v>1423</v>
      </c>
      <c r="D397" s="2">
        <f t="shared" ca="1" si="24"/>
        <v>62</v>
      </c>
      <c r="E397" t="s">
        <v>23</v>
      </c>
      <c r="F397" t="s">
        <v>280</v>
      </c>
      <c r="G397" t="s">
        <v>175</v>
      </c>
      <c r="H397" t="str">
        <f t="shared" si="25"/>
        <v>Recife - PE</v>
      </c>
      <c r="I397" s="1" t="s">
        <v>117</v>
      </c>
      <c r="J397" s="3">
        <v>69</v>
      </c>
      <c r="K397" s="4">
        <f t="shared" si="26"/>
        <v>21.777553339224845</v>
      </c>
      <c r="L397" s="1" t="str">
        <f t="shared" si="27"/>
        <v>Peso ideal - parabéns</v>
      </c>
      <c r="M397" t="s">
        <v>76</v>
      </c>
    </row>
    <row r="398" spans="1:13" x14ac:dyDescent="0.25">
      <c r="A398">
        <v>397</v>
      </c>
      <c r="B398" t="s">
        <v>2723</v>
      </c>
      <c r="C398" s="2" t="s">
        <v>2724</v>
      </c>
      <c r="D398" s="2">
        <f t="shared" ca="1" si="24"/>
        <v>58</v>
      </c>
      <c r="E398" t="s">
        <v>23</v>
      </c>
      <c r="F398" t="s">
        <v>241</v>
      </c>
      <c r="G398" t="s">
        <v>190</v>
      </c>
      <c r="H398" t="str">
        <f t="shared" si="25"/>
        <v>Várzea Grande - MT</v>
      </c>
      <c r="I398" s="1" t="s">
        <v>31</v>
      </c>
      <c r="J398" s="3">
        <v>74</v>
      </c>
      <c r="K398" s="4">
        <f t="shared" si="26"/>
        <v>27.513384889946465</v>
      </c>
      <c r="L398" s="1" t="str">
        <f t="shared" si="27"/>
        <v>Levemente acima do peso</v>
      </c>
      <c r="M398" t="s">
        <v>14</v>
      </c>
    </row>
    <row r="399" spans="1:13" x14ac:dyDescent="0.25">
      <c r="A399">
        <v>398</v>
      </c>
      <c r="B399" t="s">
        <v>3461</v>
      </c>
      <c r="C399" s="2" t="s">
        <v>3462</v>
      </c>
      <c r="D399" s="2">
        <f t="shared" ca="1" si="24"/>
        <v>48</v>
      </c>
      <c r="E399" t="s">
        <v>23</v>
      </c>
      <c r="F399" t="s">
        <v>724</v>
      </c>
      <c r="G399" t="s">
        <v>310</v>
      </c>
      <c r="H399" t="str">
        <f t="shared" si="25"/>
        <v>Pelotas - RS</v>
      </c>
      <c r="I399" s="1" t="s">
        <v>71</v>
      </c>
      <c r="J399" s="3">
        <v>72</v>
      </c>
      <c r="K399" s="4">
        <f t="shared" si="26"/>
        <v>21.49959688255845</v>
      </c>
      <c r="L399" s="1" t="str">
        <f t="shared" si="27"/>
        <v>Peso ideal - parabéns</v>
      </c>
      <c r="M399" t="s">
        <v>32</v>
      </c>
    </row>
    <row r="400" spans="1:13" x14ac:dyDescent="0.25">
      <c r="A400">
        <v>399</v>
      </c>
      <c r="B400" t="s">
        <v>3111</v>
      </c>
      <c r="C400" s="2" t="s">
        <v>2526</v>
      </c>
      <c r="D400" s="2">
        <f t="shared" ca="1" si="24"/>
        <v>59</v>
      </c>
      <c r="E400" t="s">
        <v>23</v>
      </c>
      <c r="F400" t="s">
        <v>711</v>
      </c>
      <c r="G400" t="s">
        <v>175</v>
      </c>
      <c r="H400" t="str">
        <f t="shared" si="25"/>
        <v>Camaragibe - PE</v>
      </c>
      <c r="I400" s="1" t="s">
        <v>166</v>
      </c>
      <c r="J400" s="3">
        <v>60</v>
      </c>
      <c r="K400" s="4">
        <f t="shared" si="26"/>
        <v>21.258503401360546</v>
      </c>
      <c r="L400" s="1" t="str">
        <f t="shared" si="27"/>
        <v>Peso ideal - parabéns</v>
      </c>
      <c r="M400" t="s">
        <v>26</v>
      </c>
    </row>
    <row r="401" spans="1:13" x14ac:dyDescent="0.25">
      <c r="A401">
        <v>400</v>
      </c>
      <c r="B401" t="s">
        <v>2993</v>
      </c>
      <c r="C401" s="2" t="s">
        <v>2410</v>
      </c>
      <c r="D401" s="2">
        <f t="shared" ca="1" si="24"/>
        <v>80</v>
      </c>
      <c r="E401" t="s">
        <v>10</v>
      </c>
      <c r="F401" t="s">
        <v>189</v>
      </c>
      <c r="G401" t="s">
        <v>190</v>
      </c>
      <c r="H401" t="str">
        <f t="shared" si="25"/>
        <v>Cuiabá - MT</v>
      </c>
      <c r="I401" s="1" t="s">
        <v>90</v>
      </c>
      <c r="J401" s="3">
        <v>106</v>
      </c>
      <c r="K401" s="4">
        <f t="shared" si="26"/>
        <v>35.830178474851273</v>
      </c>
      <c r="L401" s="1" t="str">
        <f t="shared" si="27"/>
        <v>Obesidade grau II - severa</v>
      </c>
      <c r="M401" t="s">
        <v>20</v>
      </c>
    </row>
    <row r="402" spans="1:13" x14ac:dyDescent="0.25">
      <c r="A402">
        <v>401</v>
      </c>
      <c r="B402" t="s">
        <v>916</v>
      </c>
      <c r="C402" s="2" t="s">
        <v>917</v>
      </c>
      <c r="D402" s="2">
        <f t="shared" ca="1" si="24"/>
        <v>59</v>
      </c>
      <c r="E402" t="s">
        <v>10</v>
      </c>
      <c r="F402" t="s">
        <v>564</v>
      </c>
      <c r="G402" t="s">
        <v>565</v>
      </c>
      <c r="H402" t="str">
        <f t="shared" si="25"/>
        <v>Rio Branco - AC</v>
      </c>
      <c r="I402" s="1" t="s">
        <v>37</v>
      </c>
      <c r="J402" s="3">
        <v>63</v>
      </c>
      <c r="K402" s="4">
        <f t="shared" si="26"/>
        <v>16.233347934757401</v>
      </c>
      <c r="L402" s="1" t="str">
        <f t="shared" si="27"/>
        <v>Muito abaixo do peso</v>
      </c>
      <c r="M402" t="s">
        <v>26</v>
      </c>
    </row>
    <row r="403" spans="1:13" x14ac:dyDescent="0.25">
      <c r="A403">
        <v>402</v>
      </c>
      <c r="B403" t="s">
        <v>1637</v>
      </c>
      <c r="C403" s="2" t="s">
        <v>1638</v>
      </c>
      <c r="D403" s="2">
        <f t="shared" ca="1" si="24"/>
        <v>50</v>
      </c>
      <c r="E403" t="s">
        <v>10</v>
      </c>
      <c r="F403" t="s">
        <v>1639</v>
      </c>
      <c r="G403" t="s">
        <v>103</v>
      </c>
      <c r="H403" t="str">
        <f t="shared" si="25"/>
        <v>Assis - SP</v>
      </c>
      <c r="I403" s="1" t="s">
        <v>132</v>
      </c>
      <c r="J403" s="3">
        <v>83</v>
      </c>
      <c r="K403" s="4">
        <f t="shared" si="26"/>
        <v>23.735308416025617</v>
      </c>
      <c r="L403" s="1" t="str">
        <f t="shared" si="27"/>
        <v>Peso ideal - parabéns</v>
      </c>
      <c r="M403" t="s">
        <v>83</v>
      </c>
    </row>
    <row r="404" spans="1:13" x14ac:dyDescent="0.25">
      <c r="A404">
        <v>403</v>
      </c>
      <c r="B404" t="s">
        <v>3348</v>
      </c>
      <c r="C404" s="2" t="s">
        <v>3349</v>
      </c>
      <c r="D404" s="2">
        <f t="shared" ca="1" si="24"/>
        <v>23</v>
      </c>
      <c r="E404" t="s">
        <v>10</v>
      </c>
      <c r="F404" t="s">
        <v>564</v>
      </c>
      <c r="G404" t="s">
        <v>565</v>
      </c>
      <c r="H404" t="str">
        <f t="shared" si="25"/>
        <v>Rio Branco - AC</v>
      </c>
      <c r="I404" s="1" t="s">
        <v>694</v>
      </c>
      <c r="J404" s="3">
        <v>77</v>
      </c>
      <c r="K404" s="4">
        <f t="shared" si="26"/>
        <v>22.256908313099778</v>
      </c>
      <c r="L404" s="1" t="str">
        <f t="shared" si="27"/>
        <v>Peso ideal - parabéns</v>
      </c>
      <c r="M404" t="s">
        <v>76</v>
      </c>
    </row>
    <row r="405" spans="1:13" x14ac:dyDescent="0.25">
      <c r="A405">
        <v>404</v>
      </c>
      <c r="B405" t="s">
        <v>3805</v>
      </c>
      <c r="C405" s="2" t="s">
        <v>3806</v>
      </c>
      <c r="D405" s="2">
        <f t="shared" ca="1" si="24"/>
        <v>20</v>
      </c>
      <c r="E405" t="s">
        <v>10</v>
      </c>
      <c r="F405" t="s">
        <v>775</v>
      </c>
      <c r="G405" t="s">
        <v>51</v>
      </c>
      <c r="H405" t="str">
        <f t="shared" si="25"/>
        <v>Rio de Janeiro - RJ</v>
      </c>
      <c r="I405" s="1" t="s">
        <v>31</v>
      </c>
      <c r="J405" s="3">
        <v>63</v>
      </c>
      <c r="K405" s="4">
        <f t="shared" si="26"/>
        <v>23.423557406305775</v>
      </c>
      <c r="L405" s="1" t="str">
        <f t="shared" si="27"/>
        <v>Peso ideal - parabéns</v>
      </c>
      <c r="M405" t="s">
        <v>14</v>
      </c>
    </row>
    <row r="406" spans="1:13" x14ac:dyDescent="0.25">
      <c r="A406">
        <v>405</v>
      </c>
      <c r="B406" t="s">
        <v>2899</v>
      </c>
      <c r="C406" s="2" t="s">
        <v>2900</v>
      </c>
      <c r="D406" s="2">
        <f t="shared" ca="1" si="24"/>
        <v>74</v>
      </c>
      <c r="E406" t="s">
        <v>10</v>
      </c>
      <c r="F406" t="s">
        <v>796</v>
      </c>
      <c r="G406" t="s">
        <v>131</v>
      </c>
      <c r="H406" t="str">
        <f t="shared" si="25"/>
        <v>Joinville - SC</v>
      </c>
      <c r="I406" s="1" t="s">
        <v>42</v>
      </c>
      <c r="J406" s="3">
        <v>93</v>
      </c>
      <c r="K406" s="4">
        <f t="shared" si="26"/>
        <v>29.025311319871417</v>
      </c>
      <c r="L406" s="1" t="str">
        <f t="shared" si="27"/>
        <v>Levemente acima do peso</v>
      </c>
      <c r="M406" t="s">
        <v>83</v>
      </c>
    </row>
    <row r="407" spans="1:13" x14ac:dyDescent="0.25">
      <c r="A407">
        <v>406</v>
      </c>
      <c r="B407" t="s">
        <v>2314</v>
      </c>
      <c r="C407" s="2" t="s">
        <v>2315</v>
      </c>
      <c r="D407" s="2">
        <f t="shared" ca="1" si="24"/>
        <v>56</v>
      </c>
      <c r="E407" t="s">
        <v>10</v>
      </c>
      <c r="F407" t="s">
        <v>1288</v>
      </c>
      <c r="G407" t="s">
        <v>131</v>
      </c>
      <c r="H407" t="str">
        <f t="shared" si="25"/>
        <v>Jaraguá do Sul - SC</v>
      </c>
      <c r="I407" s="1" t="s">
        <v>94</v>
      </c>
      <c r="J407" s="3">
        <v>81</v>
      </c>
      <c r="K407" s="4">
        <f t="shared" si="26"/>
        <v>27.064051588760066</v>
      </c>
      <c r="L407" s="1" t="str">
        <f t="shared" si="27"/>
        <v>Levemente acima do peso</v>
      </c>
      <c r="M407" t="s">
        <v>26</v>
      </c>
    </row>
    <row r="408" spans="1:13" x14ac:dyDescent="0.25">
      <c r="A408">
        <v>407</v>
      </c>
      <c r="B408" t="s">
        <v>1956</v>
      </c>
      <c r="C408" s="2" t="s">
        <v>1957</v>
      </c>
      <c r="D408" s="2">
        <f t="shared" ca="1" si="24"/>
        <v>28</v>
      </c>
      <c r="E408" t="s">
        <v>10</v>
      </c>
      <c r="F408" t="s">
        <v>267</v>
      </c>
      <c r="G408" t="s">
        <v>103</v>
      </c>
      <c r="H408" t="str">
        <f t="shared" si="25"/>
        <v>São Paulo - SP</v>
      </c>
      <c r="I408" s="1" t="s">
        <v>447</v>
      </c>
      <c r="J408" s="3">
        <v>104</v>
      </c>
      <c r="K408" s="4">
        <f t="shared" si="26"/>
        <v>33.95918367346939</v>
      </c>
      <c r="L408" s="1" t="str">
        <f t="shared" si="27"/>
        <v>Obesidade grau I</v>
      </c>
      <c r="M408" t="s">
        <v>95</v>
      </c>
    </row>
    <row r="409" spans="1:13" x14ac:dyDescent="0.25">
      <c r="A409">
        <v>408</v>
      </c>
      <c r="B409" t="s">
        <v>2822</v>
      </c>
      <c r="C409" s="2" t="s">
        <v>2823</v>
      </c>
      <c r="D409" s="2">
        <f t="shared" ca="1" si="24"/>
        <v>45</v>
      </c>
      <c r="E409" t="s">
        <v>10</v>
      </c>
      <c r="F409" t="s">
        <v>158</v>
      </c>
      <c r="G409" t="s">
        <v>159</v>
      </c>
      <c r="H409" t="str">
        <f t="shared" si="25"/>
        <v>Brasília - DF</v>
      </c>
      <c r="I409" s="1" t="s">
        <v>71</v>
      </c>
      <c r="J409" s="3">
        <v>82</v>
      </c>
      <c r="K409" s="4">
        <f t="shared" si="26"/>
        <v>24.485652005136011</v>
      </c>
      <c r="L409" s="1" t="str">
        <f t="shared" si="27"/>
        <v>Peso ideal - parabéns</v>
      </c>
      <c r="M409" t="s">
        <v>95</v>
      </c>
    </row>
    <row r="410" spans="1:13" x14ac:dyDescent="0.25">
      <c r="A410">
        <v>409</v>
      </c>
      <c r="B410" t="s">
        <v>2227</v>
      </c>
      <c r="C410" s="2" t="s">
        <v>2228</v>
      </c>
      <c r="D410" s="2">
        <f t="shared" ca="1" si="24"/>
        <v>55</v>
      </c>
      <c r="E410" t="s">
        <v>23</v>
      </c>
      <c r="F410" t="s">
        <v>69</v>
      </c>
      <c r="G410" t="s">
        <v>70</v>
      </c>
      <c r="H410" t="str">
        <f t="shared" si="25"/>
        <v>Aracaju - SE</v>
      </c>
      <c r="I410" s="1" t="s">
        <v>179</v>
      </c>
      <c r="J410" s="3">
        <v>90</v>
      </c>
      <c r="K410" s="4">
        <f t="shared" si="26"/>
        <v>29.726516052318669</v>
      </c>
      <c r="L410" s="1" t="str">
        <f t="shared" si="27"/>
        <v>Levemente acima do peso</v>
      </c>
      <c r="M410" t="s">
        <v>26</v>
      </c>
    </row>
    <row r="411" spans="1:13" x14ac:dyDescent="0.25">
      <c r="A411">
        <v>410</v>
      </c>
      <c r="B411" t="s">
        <v>2075</v>
      </c>
      <c r="C411" s="2" t="s">
        <v>2076</v>
      </c>
      <c r="D411" s="2">
        <f t="shared" ca="1" si="24"/>
        <v>73</v>
      </c>
      <c r="E411" t="s">
        <v>23</v>
      </c>
      <c r="F411" t="s">
        <v>818</v>
      </c>
      <c r="G411" t="s">
        <v>103</v>
      </c>
      <c r="H411" t="str">
        <f t="shared" si="25"/>
        <v>Barueri - SP</v>
      </c>
      <c r="I411" s="1" t="s">
        <v>31</v>
      </c>
      <c r="J411" s="3">
        <v>75</v>
      </c>
      <c r="K411" s="4">
        <f t="shared" si="26"/>
        <v>27.885187388459254</v>
      </c>
      <c r="L411" s="1" t="str">
        <f t="shared" si="27"/>
        <v>Levemente acima do peso</v>
      </c>
      <c r="M411" t="s">
        <v>14</v>
      </c>
    </row>
    <row r="412" spans="1:13" x14ac:dyDescent="0.25">
      <c r="A412">
        <v>411</v>
      </c>
      <c r="B412" t="s">
        <v>3861</v>
      </c>
      <c r="C412" s="2" t="s">
        <v>2924</v>
      </c>
      <c r="D412" s="2">
        <f t="shared" ca="1" si="24"/>
        <v>74</v>
      </c>
      <c r="E412" t="s">
        <v>23</v>
      </c>
      <c r="F412" t="s">
        <v>736</v>
      </c>
      <c r="G412" t="s">
        <v>190</v>
      </c>
      <c r="H412" t="str">
        <f t="shared" si="25"/>
        <v>Sinop - MT</v>
      </c>
      <c r="I412" s="1" t="s">
        <v>191</v>
      </c>
      <c r="J412" s="3">
        <v>81</v>
      </c>
      <c r="K412" s="4">
        <f t="shared" si="26"/>
        <v>31.640624999999993</v>
      </c>
      <c r="L412" s="1" t="str">
        <f t="shared" si="27"/>
        <v>Obesidade grau I</v>
      </c>
      <c r="M412" t="s">
        <v>76</v>
      </c>
    </row>
    <row r="413" spans="1:13" x14ac:dyDescent="0.25">
      <c r="A413">
        <v>412</v>
      </c>
      <c r="B413" t="s">
        <v>557</v>
      </c>
      <c r="C413" s="2" t="s">
        <v>558</v>
      </c>
      <c r="D413" s="2">
        <f t="shared" ca="1" si="24"/>
        <v>37</v>
      </c>
      <c r="E413" t="s">
        <v>23</v>
      </c>
      <c r="F413" t="s">
        <v>559</v>
      </c>
      <c r="G413" t="s">
        <v>175</v>
      </c>
      <c r="H413" t="str">
        <f t="shared" si="25"/>
        <v>Caruaru - PE</v>
      </c>
      <c r="I413" s="1" t="s">
        <v>31</v>
      </c>
      <c r="J413" s="3">
        <v>55</v>
      </c>
      <c r="K413" s="4">
        <f t="shared" si="26"/>
        <v>20.449137418203453</v>
      </c>
      <c r="L413" s="1" t="str">
        <f t="shared" si="27"/>
        <v>Peso ideal - parabéns</v>
      </c>
      <c r="M413" t="s">
        <v>76</v>
      </c>
    </row>
    <row r="414" spans="1:13" x14ac:dyDescent="0.25">
      <c r="A414">
        <v>413</v>
      </c>
      <c r="B414" t="s">
        <v>4042</v>
      </c>
      <c r="C414" s="2" t="s">
        <v>777</v>
      </c>
      <c r="D414" s="2">
        <f t="shared" ca="1" si="24"/>
        <v>27</v>
      </c>
      <c r="E414" t="s">
        <v>23</v>
      </c>
      <c r="F414" t="s">
        <v>74</v>
      </c>
      <c r="G414" t="s">
        <v>75</v>
      </c>
      <c r="H414" t="str">
        <f t="shared" si="25"/>
        <v>Macapá - AP</v>
      </c>
      <c r="I414" s="1" t="s">
        <v>447</v>
      </c>
      <c r="J414" s="3">
        <v>59</v>
      </c>
      <c r="K414" s="4">
        <f t="shared" si="26"/>
        <v>19.26530612244898</v>
      </c>
      <c r="L414" s="1" t="str">
        <f t="shared" si="27"/>
        <v>Peso ideal - parabéns</v>
      </c>
      <c r="M414" t="s">
        <v>47</v>
      </c>
    </row>
    <row r="415" spans="1:13" x14ac:dyDescent="0.25">
      <c r="A415">
        <v>414</v>
      </c>
      <c r="B415" t="s">
        <v>3855</v>
      </c>
      <c r="C415" s="2" t="s">
        <v>3856</v>
      </c>
      <c r="D415" s="2">
        <f t="shared" ca="1" si="24"/>
        <v>77</v>
      </c>
      <c r="E415" t="s">
        <v>23</v>
      </c>
      <c r="F415" t="s">
        <v>24</v>
      </c>
      <c r="G415" t="s">
        <v>25</v>
      </c>
      <c r="H415" t="str">
        <f t="shared" si="25"/>
        <v>Natal - RN</v>
      </c>
      <c r="I415" s="1" t="s">
        <v>42</v>
      </c>
      <c r="J415" s="3">
        <v>72</v>
      </c>
      <c r="K415" s="4">
        <f t="shared" si="26"/>
        <v>22.471208763771418</v>
      </c>
      <c r="L415" s="1" t="str">
        <f t="shared" si="27"/>
        <v>Peso ideal - parabéns</v>
      </c>
      <c r="M415" t="s">
        <v>83</v>
      </c>
    </row>
    <row r="416" spans="1:13" x14ac:dyDescent="0.25">
      <c r="A416">
        <v>415</v>
      </c>
      <c r="B416" t="s">
        <v>3743</v>
      </c>
      <c r="C416" s="2" t="s">
        <v>3744</v>
      </c>
      <c r="D416" s="2">
        <f t="shared" ca="1" si="24"/>
        <v>71</v>
      </c>
      <c r="E416" t="s">
        <v>23</v>
      </c>
      <c r="F416" t="s">
        <v>69</v>
      </c>
      <c r="G416" t="s">
        <v>70</v>
      </c>
      <c r="H416" t="str">
        <f t="shared" si="25"/>
        <v>Aracaju - SE</v>
      </c>
      <c r="I416" s="1" t="s">
        <v>213</v>
      </c>
      <c r="J416" s="3">
        <v>75</v>
      </c>
      <c r="K416" s="4">
        <f t="shared" si="26"/>
        <v>32.461911357340718</v>
      </c>
      <c r="L416" s="1" t="str">
        <f t="shared" si="27"/>
        <v>Obesidade grau I</v>
      </c>
      <c r="M416" t="s">
        <v>14</v>
      </c>
    </row>
    <row r="417" spans="1:13" x14ac:dyDescent="0.25">
      <c r="A417">
        <v>416</v>
      </c>
      <c r="B417" t="s">
        <v>4093</v>
      </c>
      <c r="C417" s="2" t="s">
        <v>4094</v>
      </c>
      <c r="D417" s="2">
        <f t="shared" ca="1" si="24"/>
        <v>68</v>
      </c>
      <c r="E417" t="s">
        <v>23</v>
      </c>
      <c r="F417" t="s">
        <v>462</v>
      </c>
      <c r="G417" t="s">
        <v>36</v>
      </c>
      <c r="H417" t="str">
        <f t="shared" si="25"/>
        <v>Caxias - MA</v>
      </c>
      <c r="I417" s="1" t="s">
        <v>155</v>
      </c>
      <c r="J417" s="3">
        <v>66</v>
      </c>
      <c r="K417" s="4">
        <f t="shared" si="26"/>
        <v>19.925129815239703</v>
      </c>
      <c r="L417" s="1" t="str">
        <f t="shared" si="27"/>
        <v>Peso ideal - parabéns</v>
      </c>
      <c r="M417" t="s">
        <v>26</v>
      </c>
    </row>
    <row r="418" spans="1:13" x14ac:dyDescent="0.25">
      <c r="A418">
        <v>417</v>
      </c>
      <c r="B418" t="s">
        <v>4074</v>
      </c>
      <c r="C418" s="2" t="s">
        <v>4075</v>
      </c>
      <c r="D418" s="2">
        <f t="shared" ca="1" si="24"/>
        <v>50</v>
      </c>
      <c r="E418" t="s">
        <v>23</v>
      </c>
      <c r="F418" t="s">
        <v>135</v>
      </c>
      <c r="G418" t="s">
        <v>154</v>
      </c>
      <c r="H418" t="str">
        <f t="shared" si="25"/>
        <v>Santana - AM</v>
      </c>
      <c r="I418" s="1" t="s">
        <v>160</v>
      </c>
      <c r="J418" s="3">
        <v>55</v>
      </c>
      <c r="K418" s="4">
        <f t="shared" si="26"/>
        <v>16.245274102079396</v>
      </c>
      <c r="L418" s="1" t="str">
        <f t="shared" si="27"/>
        <v>Muito abaixo do peso</v>
      </c>
      <c r="M418" t="s">
        <v>95</v>
      </c>
    </row>
    <row r="419" spans="1:13" x14ac:dyDescent="0.25">
      <c r="A419">
        <v>418</v>
      </c>
      <c r="B419" t="s">
        <v>2239</v>
      </c>
      <c r="C419" s="2" t="s">
        <v>2240</v>
      </c>
      <c r="D419" s="2">
        <f t="shared" ca="1" si="24"/>
        <v>67</v>
      </c>
      <c r="E419" t="s">
        <v>23</v>
      </c>
      <c r="F419" t="s">
        <v>1732</v>
      </c>
      <c r="G419" t="s">
        <v>175</v>
      </c>
      <c r="H419" t="str">
        <f t="shared" si="25"/>
        <v>São Lourenço da Mata - PE</v>
      </c>
      <c r="I419" s="1" t="s">
        <v>194</v>
      </c>
      <c r="J419" s="3">
        <v>88</v>
      </c>
      <c r="K419" s="4">
        <f t="shared" si="26"/>
        <v>25.712198685171657</v>
      </c>
      <c r="L419" s="1" t="str">
        <f t="shared" si="27"/>
        <v>Levemente acima do peso</v>
      </c>
      <c r="M419" t="s">
        <v>47</v>
      </c>
    </row>
    <row r="420" spans="1:13" x14ac:dyDescent="0.25">
      <c r="A420">
        <v>419</v>
      </c>
      <c r="B420" t="s">
        <v>4181</v>
      </c>
      <c r="C420" s="2" t="s">
        <v>4182</v>
      </c>
      <c r="D420" s="2">
        <f t="shared" ca="1" si="24"/>
        <v>65</v>
      </c>
      <c r="E420" t="s">
        <v>23</v>
      </c>
      <c r="F420" t="s">
        <v>2309</v>
      </c>
      <c r="G420" t="s">
        <v>41</v>
      </c>
      <c r="H420" t="str">
        <f t="shared" si="25"/>
        <v>Santa Rita - PB</v>
      </c>
      <c r="I420" s="1" t="s">
        <v>286</v>
      </c>
      <c r="J420" s="3">
        <v>58</v>
      </c>
      <c r="K420" s="4">
        <f t="shared" si="26"/>
        <v>21.30394857667585</v>
      </c>
      <c r="L420" s="1" t="str">
        <f t="shared" si="27"/>
        <v>Peso ideal - parabéns</v>
      </c>
      <c r="M420" t="s">
        <v>20</v>
      </c>
    </row>
    <row r="421" spans="1:13" x14ac:dyDescent="0.25">
      <c r="A421">
        <v>420</v>
      </c>
      <c r="B421" t="s">
        <v>298</v>
      </c>
      <c r="C421" s="2" t="s">
        <v>299</v>
      </c>
      <c r="D421" s="2">
        <f t="shared" ca="1" si="24"/>
        <v>22</v>
      </c>
      <c r="E421" t="s">
        <v>23</v>
      </c>
      <c r="F421" t="s">
        <v>158</v>
      </c>
      <c r="G421" t="s">
        <v>159</v>
      </c>
      <c r="H421" t="str">
        <f t="shared" si="25"/>
        <v>Brasília - DF</v>
      </c>
      <c r="I421" s="1" t="s">
        <v>281</v>
      </c>
      <c r="J421" s="3">
        <v>71</v>
      </c>
      <c r="K421" s="4">
        <f t="shared" si="26"/>
        <v>27.053802773967377</v>
      </c>
      <c r="L421" s="1" t="str">
        <f t="shared" si="27"/>
        <v>Levemente acima do peso</v>
      </c>
      <c r="M421" t="s">
        <v>76</v>
      </c>
    </row>
    <row r="422" spans="1:13" x14ac:dyDescent="0.25">
      <c r="A422">
        <v>421</v>
      </c>
      <c r="B422" t="s">
        <v>4180</v>
      </c>
      <c r="C422" s="2" t="s">
        <v>3128</v>
      </c>
      <c r="D422" s="2">
        <f t="shared" ca="1" si="24"/>
        <v>52</v>
      </c>
      <c r="E422" t="s">
        <v>23</v>
      </c>
      <c r="F422" t="s">
        <v>564</v>
      </c>
      <c r="G422" t="s">
        <v>565</v>
      </c>
      <c r="H422" t="str">
        <f t="shared" si="25"/>
        <v>Rio Branco - AC</v>
      </c>
      <c r="I422" s="1" t="s">
        <v>416</v>
      </c>
      <c r="J422" s="3">
        <v>86</v>
      </c>
      <c r="K422" s="4">
        <f t="shared" si="26"/>
        <v>33.177732340573279</v>
      </c>
      <c r="L422" s="1" t="str">
        <f t="shared" si="27"/>
        <v>Obesidade grau I</v>
      </c>
      <c r="M422" t="s">
        <v>95</v>
      </c>
    </row>
    <row r="423" spans="1:13" x14ac:dyDescent="0.25">
      <c r="A423">
        <v>422</v>
      </c>
      <c r="B423" t="s">
        <v>1108</v>
      </c>
      <c r="C423" s="2" t="s">
        <v>1109</v>
      </c>
      <c r="D423" s="2">
        <f t="shared" ca="1" si="24"/>
        <v>33</v>
      </c>
      <c r="E423" t="s">
        <v>23</v>
      </c>
      <c r="F423" t="s">
        <v>796</v>
      </c>
      <c r="G423" t="s">
        <v>131</v>
      </c>
      <c r="H423" t="str">
        <f t="shared" si="25"/>
        <v>Joinville - SC</v>
      </c>
      <c r="I423" s="1" t="s">
        <v>286</v>
      </c>
      <c r="J423" s="3">
        <v>59</v>
      </c>
      <c r="K423" s="4">
        <f t="shared" si="26"/>
        <v>21.6712580348944</v>
      </c>
      <c r="L423" s="1" t="str">
        <f t="shared" si="27"/>
        <v>Peso ideal - parabéns</v>
      </c>
      <c r="M423" t="s">
        <v>32</v>
      </c>
    </row>
    <row r="424" spans="1:13" x14ac:dyDescent="0.25">
      <c r="A424">
        <v>423</v>
      </c>
      <c r="B424" t="s">
        <v>1009</v>
      </c>
      <c r="C424" s="2" t="s">
        <v>1010</v>
      </c>
      <c r="D424" s="2">
        <f t="shared" ca="1" si="24"/>
        <v>56</v>
      </c>
      <c r="E424" t="s">
        <v>10</v>
      </c>
      <c r="F424" t="s">
        <v>204</v>
      </c>
      <c r="G424" t="s">
        <v>112</v>
      </c>
      <c r="H424" t="str">
        <f t="shared" si="25"/>
        <v>Belém - PA</v>
      </c>
      <c r="I424" s="1" t="s">
        <v>386</v>
      </c>
      <c r="J424" s="3">
        <v>50</v>
      </c>
      <c r="K424" s="4">
        <f t="shared" si="26"/>
        <v>18.144868631151112</v>
      </c>
      <c r="L424" s="1" t="str">
        <f t="shared" si="27"/>
        <v>Abaixo do peso</v>
      </c>
      <c r="M424" t="s">
        <v>32</v>
      </c>
    </row>
    <row r="425" spans="1:13" x14ac:dyDescent="0.25">
      <c r="A425">
        <v>424</v>
      </c>
      <c r="B425" t="s">
        <v>3451</v>
      </c>
      <c r="C425" s="2" t="s">
        <v>3014</v>
      </c>
      <c r="D425" s="2">
        <f t="shared" ca="1" si="24"/>
        <v>55</v>
      </c>
      <c r="E425" t="s">
        <v>10</v>
      </c>
      <c r="F425" t="s">
        <v>852</v>
      </c>
      <c r="G425" t="s">
        <v>186</v>
      </c>
      <c r="H425" t="str">
        <f t="shared" si="25"/>
        <v>Belo Horizonte - MG</v>
      </c>
      <c r="I425" s="1" t="s">
        <v>694</v>
      </c>
      <c r="J425" s="3">
        <v>85</v>
      </c>
      <c r="K425" s="4">
        <f t="shared" si="26"/>
        <v>24.56931437160365</v>
      </c>
      <c r="L425" s="1" t="str">
        <f t="shared" si="27"/>
        <v>Peso ideal - parabéns</v>
      </c>
      <c r="M425" t="s">
        <v>32</v>
      </c>
    </row>
    <row r="426" spans="1:13" x14ac:dyDescent="0.25">
      <c r="A426">
        <v>425</v>
      </c>
      <c r="B426" t="s">
        <v>1361</v>
      </c>
      <c r="C426" s="2" t="s">
        <v>1362</v>
      </c>
      <c r="D426" s="2">
        <f t="shared" ca="1" si="24"/>
        <v>47</v>
      </c>
      <c r="E426" t="s">
        <v>10</v>
      </c>
      <c r="F426" t="s">
        <v>616</v>
      </c>
      <c r="G426" t="s">
        <v>273</v>
      </c>
      <c r="H426" t="str">
        <f t="shared" si="25"/>
        <v>Serra - ES</v>
      </c>
      <c r="I426" s="1" t="s">
        <v>113</v>
      </c>
      <c r="J426" s="3">
        <v>88</v>
      </c>
      <c r="K426" s="4">
        <f t="shared" si="26"/>
        <v>33.121306786104107</v>
      </c>
      <c r="L426" s="1" t="str">
        <f t="shared" si="27"/>
        <v>Obesidade grau I</v>
      </c>
      <c r="M426" t="s">
        <v>32</v>
      </c>
    </row>
    <row r="427" spans="1:13" x14ac:dyDescent="0.25">
      <c r="A427">
        <v>426</v>
      </c>
      <c r="B427" t="s">
        <v>3151</v>
      </c>
      <c r="C427" s="2" t="s">
        <v>3152</v>
      </c>
      <c r="D427" s="2">
        <f t="shared" ca="1" si="24"/>
        <v>19</v>
      </c>
      <c r="E427" t="s">
        <v>10</v>
      </c>
      <c r="F427" t="s">
        <v>107</v>
      </c>
      <c r="G427" t="s">
        <v>36</v>
      </c>
      <c r="H427" t="str">
        <f t="shared" si="25"/>
        <v>São Luís - MA</v>
      </c>
      <c r="I427" s="1" t="s">
        <v>113</v>
      </c>
      <c r="J427" s="3">
        <v>72</v>
      </c>
      <c r="K427" s="4">
        <f t="shared" si="26"/>
        <v>27.099251006812452</v>
      </c>
      <c r="L427" s="1" t="str">
        <f t="shared" si="27"/>
        <v>Levemente acima do peso</v>
      </c>
      <c r="M427" t="s">
        <v>95</v>
      </c>
    </row>
    <row r="428" spans="1:13" x14ac:dyDescent="0.25">
      <c r="A428">
        <v>427</v>
      </c>
      <c r="B428" t="s">
        <v>2888</v>
      </c>
      <c r="C428" s="2" t="s">
        <v>2889</v>
      </c>
      <c r="D428" s="2">
        <f t="shared" ca="1" si="24"/>
        <v>74</v>
      </c>
      <c r="E428" t="s">
        <v>10</v>
      </c>
      <c r="F428" t="s">
        <v>158</v>
      </c>
      <c r="G428" t="s">
        <v>159</v>
      </c>
      <c r="H428" t="str">
        <f t="shared" si="25"/>
        <v>Brasília - DF</v>
      </c>
      <c r="I428" s="1" t="s">
        <v>191</v>
      </c>
      <c r="J428" s="3">
        <v>65</v>
      </c>
      <c r="K428" s="4">
        <f t="shared" si="26"/>
        <v>25.390624999999996</v>
      </c>
      <c r="L428" s="1" t="str">
        <f t="shared" si="27"/>
        <v>Levemente acima do peso</v>
      </c>
      <c r="M428" t="s">
        <v>76</v>
      </c>
    </row>
    <row r="429" spans="1:13" x14ac:dyDescent="0.25">
      <c r="A429">
        <v>428</v>
      </c>
      <c r="B429" t="s">
        <v>1944</v>
      </c>
      <c r="C429" s="2" t="s">
        <v>974</v>
      </c>
      <c r="D429" s="2">
        <f t="shared" ca="1" si="24"/>
        <v>25</v>
      </c>
      <c r="E429" t="s">
        <v>10</v>
      </c>
      <c r="F429" t="s">
        <v>17</v>
      </c>
      <c r="G429" t="s">
        <v>18</v>
      </c>
      <c r="H429" t="str">
        <f t="shared" si="25"/>
        <v>Campo Grande - MS</v>
      </c>
      <c r="I429" s="1" t="s">
        <v>400</v>
      </c>
      <c r="J429" s="3">
        <v>53</v>
      </c>
      <c r="K429" s="4">
        <f t="shared" si="26"/>
        <v>16.358024691358022</v>
      </c>
      <c r="L429" s="1" t="str">
        <f t="shared" si="27"/>
        <v>Muito abaixo do peso</v>
      </c>
      <c r="M429" t="s">
        <v>20</v>
      </c>
    </row>
    <row r="430" spans="1:13" x14ac:dyDescent="0.25">
      <c r="A430">
        <v>429</v>
      </c>
      <c r="B430" t="s">
        <v>1564</v>
      </c>
      <c r="C430" s="2" t="s">
        <v>1565</v>
      </c>
      <c r="D430" s="2">
        <f t="shared" ca="1" si="24"/>
        <v>45</v>
      </c>
      <c r="E430" t="s">
        <v>10</v>
      </c>
      <c r="F430" t="s">
        <v>208</v>
      </c>
      <c r="G430" t="s">
        <v>30</v>
      </c>
      <c r="H430" t="str">
        <f t="shared" si="25"/>
        <v>Ji-Paraná - RO</v>
      </c>
      <c r="I430" s="1" t="s">
        <v>386</v>
      </c>
      <c r="J430" s="3">
        <v>88</v>
      </c>
      <c r="K430" s="4">
        <f t="shared" si="26"/>
        <v>31.934968790825955</v>
      </c>
      <c r="L430" s="1" t="str">
        <f t="shared" si="27"/>
        <v>Obesidade grau I</v>
      </c>
      <c r="M430" t="s">
        <v>83</v>
      </c>
    </row>
    <row r="431" spans="1:13" x14ac:dyDescent="0.25">
      <c r="A431">
        <v>430</v>
      </c>
      <c r="B431" t="s">
        <v>3947</v>
      </c>
      <c r="C431" s="2" t="s">
        <v>3948</v>
      </c>
      <c r="D431" s="2">
        <f t="shared" ca="1" si="24"/>
        <v>26</v>
      </c>
      <c r="E431" t="s">
        <v>10</v>
      </c>
      <c r="F431" t="s">
        <v>3949</v>
      </c>
      <c r="G431" t="s">
        <v>55</v>
      </c>
      <c r="H431" t="str">
        <f t="shared" si="25"/>
        <v>Cianorte - PR</v>
      </c>
      <c r="I431" s="1" t="s">
        <v>90</v>
      </c>
      <c r="J431" s="3">
        <v>56</v>
      </c>
      <c r="K431" s="4">
        <f t="shared" si="26"/>
        <v>18.92915089237426</v>
      </c>
      <c r="L431" s="1" t="str">
        <f t="shared" si="27"/>
        <v>Peso ideal - parabéns</v>
      </c>
      <c r="M431" t="s">
        <v>26</v>
      </c>
    </row>
    <row r="432" spans="1:13" x14ac:dyDescent="0.25">
      <c r="A432">
        <v>431</v>
      </c>
      <c r="B432" t="s">
        <v>3825</v>
      </c>
      <c r="C432" s="2" t="s">
        <v>3826</v>
      </c>
      <c r="D432" s="2">
        <f t="shared" ca="1" si="24"/>
        <v>31</v>
      </c>
      <c r="E432" t="s">
        <v>10</v>
      </c>
      <c r="F432" t="s">
        <v>59</v>
      </c>
      <c r="G432" t="s">
        <v>60</v>
      </c>
      <c r="H432" t="str">
        <f t="shared" si="25"/>
        <v>Palmas - TO</v>
      </c>
      <c r="I432" s="1" t="s">
        <v>386</v>
      </c>
      <c r="J432" s="3">
        <v>69</v>
      </c>
      <c r="K432" s="4">
        <f t="shared" si="26"/>
        <v>25.039918710988534</v>
      </c>
      <c r="L432" s="1" t="str">
        <f t="shared" si="27"/>
        <v>Levemente acima do peso</v>
      </c>
      <c r="M432" t="s">
        <v>95</v>
      </c>
    </row>
    <row r="433" spans="1:13" x14ac:dyDescent="0.25">
      <c r="A433">
        <v>432</v>
      </c>
      <c r="B433" t="s">
        <v>2682</v>
      </c>
      <c r="C433" s="2" t="s">
        <v>2683</v>
      </c>
      <c r="D433" s="2">
        <f t="shared" ca="1" si="24"/>
        <v>76</v>
      </c>
      <c r="E433" t="s">
        <v>10</v>
      </c>
      <c r="F433" t="s">
        <v>616</v>
      </c>
      <c r="G433" t="s">
        <v>273</v>
      </c>
      <c r="H433" t="str">
        <f t="shared" si="25"/>
        <v>Serra - ES</v>
      </c>
      <c r="I433" s="1" t="s">
        <v>400</v>
      </c>
      <c r="J433" s="3">
        <v>96</v>
      </c>
      <c r="K433" s="4">
        <f t="shared" si="26"/>
        <v>29.629629629629626</v>
      </c>
      <c r="L433" s="1" t="str">
        <f t="shared" si="27"/>
        <v>Levemente acima do peso</v>
      </c>
      <c r="M433" t="s">
        <v>47</v>
      </c>
    </row>
    <row r="434" spans="1:13" x14ac:dyDescent="0.25">
      <c r="A434">
        <v>433</v>
      </c>
      <c r="B434" t="s">
        <v>1257</v>
      </c>
      <c r="C434" s="2" t="s">
        <v>1258</v>
      </c>
      <c r="D434" s="2">
        <f t="shared" ca="1" si="24"/>
        <v>28</v>
      </c>
      <c r="E434" t="s">
        <v>10</v>
      </c>
      <c r="F434" t="s">
        <v>1259</v>
      </c>
      <c r="G434" t="s">
        <v>103</v>
      </c>
      <c r="H434" t="str">
        <f t="shared" si="25"/>
        <v>Catanduva - SP</v>
      </c>
      <c r="I434" s="1" t="s">
        <v>148</v>
      </c>
      <c r="J434" s="3">
        <v>89</v>
      </c>
      <c r="K434" s="4">
        <f t="shared" si="26"/>
        <v>23.405654174884944</v>
      </c>
      <c r="L434" s="1" t="str">
        <f t="shared" si="27"/>
        <v>Peso ideal - parabéns</v>
      </c>
      <c r="M434" t="s">
        <v>47</v>
      </c>
    </row>
    <row r="435" spans="1:13" x14ac:dyDescent="0.25">
      <c r="A435">
        <v>434</v>
      </c>
      <c r="B435" t="s">
        <v>3915</v>
      </c>
      <c r="C435" s="2" t="s">
        <v>3181</v>
      </c>
      <c r="D435" s="2">
        <f t="shared" ca="1" si="24"/>
        <v>58</v>
      </c>
      <c r="E435" t="s">
        <v>10</v>
      </c>
      <c r="F435" t="s">
        <v>422</v>
      </c>
      <c r="G435" t="s">
        <v>65</v>
      </c>
      <c r="H435" t="str">
        <f t="shared" si="25"/>
        <v>Feira de Santana - BA</v>
      </c>
      <c r="I435" s="1" t="s">
        <v>90</v>
      </c>
      <c r="J435" s="3">
        <v>73</v>
      </c>
      <c r="K435" s="4">
        <f t="shared" si="26"/>
        <v>24.675500270416443</v>
      </c>
      <c r="L435" s="1" t="str">
        <f t="shared" si="27"/>
        <v>Peso ideal - parabéns</v>
      </c>
      <c r="M435" t="s">
        <v>76</v>
      </c>
    </row>
    <row r="436" spans="1:13" x14ac:dyDescent="0.25">
      <c r="A436">
        <v>435</v>
      </c>
      <c r="B436" t="s">
        <v>2177</v>
      </c>
      <c r="C436" s="2" t="s">
        <v>2178</v>
      </c>
      <c r="D436" s="2">
        <f t="shared" ca="1" si="24"/>
        <v>27</v>
      </c>
      <c r="E436" t="s">
        <v>10</v>
      </c>
      <c r="F436" t="s">
        <v>775</v>
      </c>
      <c r="G436" t="s">
        <v>51</v>
      </c>
      <c r="H436" t="str">
        <f t="shared" si="25"/>
        <v>Rio de Janeiro - RJ</v>
      </c>
      <c r="I436" s="1" t="s">
        <v>148</v>
      </c>
      <c r="J436" s="3">
        <v>51</v>
      </c>
      <c r="K436" s="4">
        <f t="shared" si="26"/>
        <v>13.412228796844182</v>
      </c>
      <c r="L436" s="1" t="str">
        <f t="shared" si="27"/>
        <v>Muito abaixo do peso</v>
      </c>
      <c r="M436" t="s">
        <v>20</v>
      </c>
    </row>
    <row r="437" spans="1:13" x14ac:dyDescent="0.25">
      <c r="A437">
        <v>436</v>
      </c>
      <c r="B437" t="s">
        <v>384</v>
      </c>
      <c r="C437" s="2" t="s">
        <v>385</v>
      </c>
      <c r="D437" s="2">
        <f t="shared" ca="1" si="24"/>
        <v>79</v>
      </c>
      <c r="E437" t="s">
        <v>23</v>
      </c>
      <c r="F437" t="s">
        <v>244</v>
      </c>
      <c r="G437" t="s">
        <v>60</v>
      </c>
      <c r="H437" t="str">
        <f t="shared" si="25"/>
        <v>Araguaína - TO</v>
      </c>
      <c r="I437" s="1" t="s">
        <v>386</v>
      </c>
      <c r="J437" s="3">
        <v>59</v>
      </c>
      <c r="K437" s="4">
        <f t="shared" si="26"/>
        <v>21.410944984758313</v>
      </c>
      <c r="L437" s="1" t="str">
        <f t="shared" si="27"/>
        <v>Peso ideal - parabéns</v>
      </c>
      <c r="M437" t="s">
        <v>95</v>
      </c>
    </row>
    <row r="438" spans="1:13" x14ac:dyDescent="0.25">
      <c r="A438">
        <v>437</v>
      </c>
      <c r="B438" t="s">
        <v>1204</v>
      </c>
      <c r="C438" s="2" t="s">
        <v>1205</v>
      </c>
      <c r="D438" s="2">
        <f t="shared" ca="1" si="24"/>
        <v>39</v>
      </c>
      <c r="E438" t="s">
        <v>23</v>
      </c>
      <c r="F438" t="s">
        <v>107</v>
      </c>
      <c r="G438" t="s">
        <v>36</v>
      </c>
      <c r="H438" t="str">
        <f t="shared" si="25"/>
        <v>São Luís - MA</v>
      </c>
      <c r="I438" s="1" t="s">
        <v>582</v>
      </c>
      <c r="J438" s="3">
        <v>66</v>
      </c>
      <c r="K438" s="4">
        <f t="shared" si="26"/>
        <v>27.12031558185404</v>
      </c>
      <c r="L438" s="1" t="str">
        <f t="shared" si="27"/>
        <v>Levemente acima do peso</v>
      </c>
      <c r="M438" t="s">
        <v>26</v>
      </c>
    </row>
    <row r="439" spans="1:13" x14ac:dyDescent="0.25">
      <c r="A439">
        <v>438</v>
      </c>
      <c r="B439" t="s">
        <v>2191</v>
      </c>
      <c r="C439" s="2" t="s">
        <v>2192</v>
      </c>
      <c r="D439" s="2">
        <f t="shared" ca="1" si="24"/>
        <v>53</v>
      </c>
      <c r="E439" t="s">
        <v>23</v>
      </c>
      <c r="F439" t="s">
        <v>241</v>
      </c>
      <c r="G439" t="s">
        <v>190</v>
      </c>
      <c r="H439" t="str">
        <f t="shared" si="25"/>
        <v>Várzea Grande - MT</v>
      </c>
      <c r="I439" s="1" t="s">
        <v>209</v>
      </c>
      <c r="J439" s="3">
        <v>73</v>
      </c>
      <c r="K439" s="4">
        <f t="shared" si="26"/>
        <v>30.780907404284029</v>
      </c>
      <c r="L439" s="1" t="str">
        <f t="shared" si="27"/>
        <v>Obesidade grau I</v>
      </c>
      <c r="M439" t="s">
        <v>76</v>
      </c>
    </row>
    <row r="440" spans="1:13" x14ac:dyDescent="0.25">
      <c r="A440">
        <v>439</v>
      </c>
      <c r="B440" t="s">
        <v>4187</v>
      </c>
      <c r="C440" s="2" t="s">
        <v>4188</v>
      </c>
      <c r="D440" s="2">
        <f t="shared" ca="1" si="24"/>
        <v>19</v>
      </c>
      <c r="E440" t="s">
        <v>23</v>
      </c>
      <c r="F440" t="s">
        <v>1283</v>
      </c>
      <c r="G440" t="s">
        <v>112</v>
      </c>
      <c r="H440" t="str">
        <f t="shared" si="25"/>
        <v>Castanhal - PA</v>
      </c>
      <c r="I440" s="1" t="s">
        <v>286</v>
      </c>
      <c r="J440" s="3">
        <v>74</v>
      </c>
      <c r="K440" s="4">
        <f t="shared" si="26"/>
        <v>27.180899908172638</v>
      </c>
      <c r="L440" s="1" t="str">
        <f t="shared" si="27"/>
        <v>Levemente acima do peso</v>
      </c>
      <c r="M440" t="s">
        <v>95</v>
      </c>
    </row>
    <row r="441" spans="1:13" x14ac:dyDescent="0.25">
      <c r="A441">
        <v>440</v>
      </c>
      <c r="B441" t="s">
        <v>3959</v>
      </c>
      <c r="C441" s="2" t="s">
        <v>3960</v>
      </c>
      <c r="D441" s="2">
        <f t="shared" ca="1" si="24"/>
        <v>51</v>
      </c>
      <c r="E441" t="s">
        <v>23</v>
      </c>
      <c r="F441" t="s">
        <v>89</v>
      </c>
      <c r="G441" t="s">
        <v>12</v>
      </c>
      <c r="H441" t="str">
        <f t="shared" si="25"/>
        <v>Fortaleza - CE</v>
      </c>
      <c r="I441" s="1" t="s">
        <v>191</v>
      </c>
      <c r="J441" s="3">
        <v>71</v>
      </c>
      <c r="K441" s="4">
        <f t="shared" si="26"/>
        <v>27.734374999999993</v>
      </c>
      <c r="L441" s="1" t="str">
        <f t="shared" si="27"/>
        <v>Levemente acima do peso</v>
      </c>
      <c r="M441" t="s">
        <v>83</v>
      </c>
    </row>
    <row r="442" spans="1:13" x14ac:dyDescent="0.25">
      <c r="A442">
        <v>441</v>
      </c>
      <c r="B442" t="s">
        <v>3998</v>
      </c>
      <c r="C442" s="2" t="s">
        <v>3999</v>
      </c>
      <c r="D442" s="2">
        <f t="shared" ca="1" si="24"/>
        <v>71</v>
      </c>
      <c r="E442" t="s">
        <v>23</v>
      </c>
      <c r="F442" t="s">
        <v>236</v>
      </c>
      <c r="G442" t="s">
        <v>237</v>
      </c>
      <c r="H442" t="str">
        <f t="shared" si="25"/>
        <v>Teresina - PI</v>
      </c>
      <c r="I442" s="1" t="s">
        <v>90</v>
      </c>
      <c r="J442" s="3">
        <v>61</v>
      </c>
      <c r="K442" s="4">
        <f t="shared" si="26"/>
        <v>20.61925365062196</v>
      </c>
      <c r="L442" s="1" t="str">
        <f t="shared" si="27"/>
        <v>Peso ideal - parabéns</v>
      </c>
      <c r="M442" t="s">
        <v>95</v>
      </c>
    </row>
    <row r="443" spans="1:13" x14ac:dyDescent="0.25">
      <c r="A443">
        <v>442</v>
      </c>
      <c r="B443" t="s">
        <v>1954</v>
      </c>
      <c r="C443" s="2" t="s">
        <v>1955</v>
      </c>
      <c r="D443" s="2">
        <f t="shared" ca="1" si="24"/>
        <v>73</v>
      </c>
      <c r="E443" t="s">
        <v>23</v>
      </c>
      <c r="F443" t="s">
        <v>240</v>
      </c>
      <c r="G443" t="s">
        <v>51</v>
      </c>
      <c r="H443" t="str">
        <f t="shared" si="25"/>
        <v>Petrópolis - RJ</v>
      </c>
      <c r="I443" s="1" t="s">
        <v>171</v>
      </c>
      <c r="J443" s="3">
        <v>72</v>
      </c>
      <c r="K443" s="4">
        <f t="shared" si="26"/>
        <v>25.816630212628635</v>
      </c>
      <c r="L443" s="1" t="str">
        <f t="shared" si="27"/>
        <v>Levemente acima do peso</v>
      </c>
      <c r="M443" t="s">
        <v>32</v>
      </c>
    </row>
    <row r="444" spans="1:13" x14ac:dyDescent="0.25">
      <c r="A444">
        <v>443</v>
      </c>
      <c r="B444" t="s">
        <v>4035</v>
      </c>
      <c r="C444" s="2" t="s">
        <v>4036</v>
      </c>
      <c r="D444" s="2">
        <f t="shared" ca="1" si="24"/>
        <v>28</v>
      </c>
      <c r="E444" t="s">
        <v>23</v>
      </c>
      <c r="F444" t="s">
        <v>74</v>
      </c>
      <c r="G444" t="s">
        <v>75</v>
      </c>
      <c r="H444" t="str">
        <f t="shared" si="25"/>
        <v>Macapá - AP</v>
      </c>
      <c r="I444" s="1" t="s">
        <v>447</v>
      </c>
      <c r="J444" s="3">
        <v>87</v>
      </c>
      <c r="K444" s="4">
        <f t="shared" si="26"/>
        <v>28.408163265306122</v>
      </c>
      <c r="L444" s="1" t="str">
        <f t="shared" si="27"/>
        <v>Levemente acima do peso</v>
      </c>
      <c r="M444" t="s">
        <v>47</v>
      </c>
    </row>
    <row r="445" spans="1:13" x14ac:dyDescent="0.25">
      <c r="A445">
        <v>444</v>
      </c>
      <c r="B445" t="s">
        <v>4155</v>
      </c>
      <c r="C445" s="2" t="s">
        <v>4156</v>
      </c>
      <c r="D445" s="2">
        <f t="shared" ca="1" si="24"/>
        <v>43</v>
      </c>
      <c r="E445" t="s">
        <v>23</v>
      </c>
      <c r="F445" t="s">
        <v>979</v>
      </c>
      <c r="G445" t="s">
        <v>51</v>
      </c>
      <c r="H445" t="str">
        <f t="shared" si="25"/>
        <v>São Gonçalo - RJ</v>
      </c>
      <c r="I445" s="1" t="s">
        <v>19</v>
      </c>
      <c r="J445" s="3">
        <v>59</v>
      </c>
      <c r="K445" s="4">
        <f t="shared" si="26"/>
        <v>18.832391713747644</v>
      </c>
      <c r="L445" s="1" t="str">
        <f t="shared" si="27"/>
        <v>Peso ideal - parabéns</v>
      </c>
      <c r="M445" t="s">
        <v>32</v>
      </c>
    </row>
    <row r="446" spans="1:13" x14ac:dyDescent="0.25">
      <c r="A446">
        <v>445</v>
      </c>
      <c r="B446" t="s">
        <v>2004</v>
      </c>
      <c r="C446" s="2" t="s">
        <v>2005</v>
      </c>
      <c r="D446" s="2">
        <f t="shared" ca="1" si="24"/>
        <v>70</v>
      </c>
      <c r="E446" t="s">
        <v>10</v>
      </c>
      <c r="F446" t="s">
        <v>169</v>
      </c>
      <c r="G446" t="s">
        <v>170</v>
      </c>
      <c r="H446" t="str">
        <f t="shared" si="25"/>
        <v>Maceió - AL</v>
      </c>
      <c r="I446" s="1" t="s">
        <v>281</v>
      </c>
      <c r="J446" s="3">
        <v>75</v>
      </c>
      <c r="K446" s="4">
        <f t="shared" si="26"/>
        <v>28.577960676726104</v>
      </c>
      <c r="L446" s="1" t="str">
        <f t="shared" si="27"/>
        <v>Levemente acima do peso</v>
      </c>
      <c r="M446" t="s">
        <v>32</v>
      </c>
    </row>
    <row r="447" spans="1:13" x14ac:dyDescent="0.25">
      <c r="A447">
        <v>446</v>
      </c>
      <c r="B447" t="s">
        <v>725</v>
      </c>
      <c r="C447" s="2" t="s">
        <v>726</v>
      </c>
      <c r="D447" s="2">
        <f t="shared" ca="1" si="24"/>
        <v>57</v>
      </c>
      <c r="E447" t="s">
        <v>10</v>
      </c>
      <c r="F447" t="s">
        <v>89</v>
      </c>
      <c r="G447" t="s">
        <v>12</v>
      </c>
      <c r="H447" t="str">
        <f t="shared" si="25"/>
        <v>Fortaleza - CE</v>
      </c>
      <c r="I447" s="1" t="s">
        <v>179</v>
      </c>
      <c r="J447" s="3">
        <v>68</v>
      </c>
      <c r="K447" s="4">
        <f t="shared" si="26"/>
        <v>22.460034350640772</v>
      </c>
      <c r="L447" s="1" t="str">
        <f t="shared" si="27"/>
        <v>Peso ideal - parabéns</v>
      </c>
      <c r="M447" t="s">
        <v>26</v>
      </c>
    </row>
    <row r="448" spans="1:13" x14ac:dyDescent="0.25">
      <c r="A448">
        <v>447</v>
      </c>
      <c r="B448" t="s">
        <v>2243</v>
      </c>
      <c r="C448" s="2" t="s">
        <v>2244</v>
      </c>
      <c r="D448" s="2">
        <f t="shared" ca="1" si="24"/>
        <v>39</v>
      </c>
      <c r="E448" t="s">
        <v>10</v>
      </c>
      <c r="F448" t="s">
        <v>439</v>
      </c>
      <c r="G448" t="s">
        <v>190</v>
      </c>
      <c r="H448" t="str">
        <f t="shared" si="25"/>
        <v>Rondonópolis - MT</v>
      </c>
      <c r="I448" s="1" t="s">
        <v>171</v>
      </c>
      <c r="J448" s="3">
        <v>58</v>
      </c>
      <c r="K448" s="4">
        <f t="shared" si="26"/>
        <v>20.796729893506402</v>
      </c>
      <c r="L448" s="1" t="str">
        <f t="shared" si="27"/>
        <v>Peso ideal - parabéns</v>
      </c>
      <c r="M448" t="s">
        <v>83</v>
      </c>
    </row>
    <row r="449" spans="1:13" x14ac:dyDescent="0.25">
      <c r="A449">
        <v>448</v>
      </c>
      <c r="B449" t="s">
        <v>4175</v>
      </c>
      <c r="C449" s="2" t="s">
        <v>4176</v>
      </c>
      <c r="D449" s="2">
        <f t="shared" ca="1" si="24"/>
        <v>66</v>
      </c>
      <c r="E449" t="s">
        <v>10</v>
      </c>
      <c r="F449" t="s">
        <v>457</v>
      </c>
      <c r="G449" t="s">
        <v>41</v>
      </c>
      <c r="H449" t="str">
        <f t="shared" si="25"/>
        <v>João Pessoa - PB</v>
      </c>
      <c r="I449" s="1" t="s">
        <v>286</v>
      </c>
      <c r="J449" s="3">
        <v>77</v>
      </c>
      <c r="K449" s="4">
        <f t="shared" si="26"/>
        <v>28.282828282828287</v>
      </c>
      <c r="L449" s="1" t="str">
        <f t="shared" si="27"/>
        <v>Levemente acima do peso</v>
      </c>
      <c r="M449" t="s">
        <v>47</v>
      </c>
    </row>
    <row r="450" spans="1:13" x14ac:dyDescent="0.25">
      <c r="A450">
        <v>449</v>
      </c>
      <c r="B450" t="s">
        <v>2890</v>
      </c>
      <c r="C450" s="2" t="s">
        <v>2891</v>
      </c>
      <c r="D450" s="2">
        <f t="shared" ca="1" si="24"/>
        <v>44</v>
      </c>
      <c r="E450" t="s">
        <v>23</v>
      </c>
      <c r="F450" t="s">
        <v>153</v>
      </c>
      <c r="G450" t="s">
        <v>154</v>
      </c>
      <c r="H450" t="str">
        <f t="shared" si="25"/>
        <v>Manaus - AM</v>
      </c>
      <c r="I450" s="1" t="s">
        <v>386</v>
      </c>
      <c r="J450" s="3">
        <v>73</v>
      </c>
      <c r="K450" s="4">
        <f t="shared" si="26"/>
        <v>26.491508201480624</v>
      </c>
      <c r="L450" s="1" t="str">
        <f t="shared" si="27"/>
        <v>Levemente acima do peso</v>
      </c>
      <c r="M450" t="s">
        <v>32</v>
      </c>
    </row>
    <row r="451" spans="1:13" x14ac:dyDescent="0.25">
      <c r="A451">
        <v>450</v>
      </c>
      <c r="B451" t="s">
        <v>1845</v>
      </c>
      <c r="C451" s="2" t="s">
        <v>1846</v>
      </c>
      <c r="D451" s="2">
        <f t="shared" ref="D451:D514" ca="1" si="28">YEAR(TODAY())-YEAR(C451)</f>
        <v>47</v>
      </c>
      <c r="E451" t="s">
        <v>23</v>
      </c>
      <c r="F451" t="s">
        <v>74</v>
      </c>
      <c r="G451" t="s">
        <v>75</v>
      </c>
      <c r="H451" t="str">
        <f t="shared" ref="H451:H514" si="29">CONCATENATE(F451," - ",G451)</f>
        <v>Macapá - AP</v>
      </c>
      <c r="I451" s="1" t="s">
        <v>113</v>
      </c>
      <c r="J451" s="3">
        <v>51</v>
      </c>
      <c r="K451" s="4">
        <f t="shared" ref="K451:K514" si="30">J451/(I451*I451)</f>
        <v>19.195302796492154</v>
      </c>
      <c r="L451" s="1" t="str">
        <f t="shared" ref="L451:L514" si="31">IF(K451&gt;=40,"Obesidade grau III - mórbida",
IF(K451&gt;=35,"Obesidade grau II - severa",
IF(K451&gt;=30,"Obesidade grau I",
IF(K451&gt;=25,"Levemente acima do peso",
IF(K451&gt;=18.6,"Peso ideal - parabéns",
IF(K451&gt;=17,"Abaixo do peso",
"Muito abaixo do peso"))))))</f>
        <v>Peso ideal - parabéns</v>
      </c>
      <c r="M451" t="s">
        <v>20</v>
      </c>
    </row>
    <row r="452" spans="1:13" x14ac:dyDescent="0.25">
      <c r="A452">
        <v>451</v>
      </c>
      <c r="B452" t="s">
        <v>3344</v>
      </c>
      <c r="C452" s="2" t="s">
        <v>3345</v>
      </c>
      <c r="D452" s="2">
        <f t="shared" ca="1" si="28"/>
        <v>73</v>
      </c>
      <c r="E452" t="s">
        <v>23</v>
      </c>
      <c r="F452" t="s">
        <v>24</v>
      </c>
      <c r="G452" t="s">
        <v>25</v>
      </c>
      <c r="H452" t="str">
        <f t="shared" si="29"/>
        <v>Natal - RN</v>
      </c>
      <c r="I452" s="1" t="s">
        <v>416</v>
      </c>
      <c r="J452" s="3">
        <v>68</v>
      </c>
      <c r="K452" s="4">
        <f t="shared" si="30"/>
        <v>26.23355580417422</v>
      </c>
      <c r="L452" s="1" t="str">
        <f t="shared" si="31"/>
        <v>Levemente acima do peso</v>
      </c>
      <c r="M452" t="s">
        <v>14</v>
      </c>
    </row>
    <row r="453" spans="1:13" x14ac:dyDescent="0.25">
      <c r="A453">
        <v>452</v>
      </c>
      <c r="B453" t="s">
        <v>2071</v>
      </c>
      <c r="C453" s="2" t="s">
        <v>2072</v>
      </c>
      <c r="D453" s="2">
        <f t="shared" ca="1" si="28"/>
        <v>80</v>
      </c>
      <c r="E453" t="s">
        <v>10</v>
      </c>
      <c r="F453" t="s">
        <v>74</v>
      </c>
      <c r="G453" t="s">
        <v>75</v>
      </c>
      <c r="H453" t="str">
        <f t="shared" si="29"/>
        <v>Macapá - AP</v>
      </c>
      <c r="I453" s="1" t="s">
        <v>201</v>
      </c>
      <c r="J453" s="3">
        <v>104</v>
      </c>
      <c r="K453" s="4">
        <f t="shared" si="30"/>
        <v>27.072053311120367</v>
      </c>
      <c r="L453" s="1" t="str">
        <f t="shared" si="31"/>
        <v>Levemente acima do peso</v>
      </c>
      <c r="M453" t="s">
        <v>95</v>
      </c>
    </row>
    <row r="454" spans="1:13" x14ac:dyDescent="0.25">
      <c r="A454">
        <v>453</v>
      </c>
      <c r="B454" t="s">
        <v>2994</v>
      </c>
      <c r="C454" s="2" t="s">
        <v>2995</v>
      </c>
      <c r="D454" s="2">
        <f t="shared" ca="1" si="28"/>
        <v>73</v>
      </c>
      <c r="E454" t="s">
        <v>10</v>
      </c>
      <c r="F454" t="s">
        <v>40</v>
      </c>
      <c r="G454" t="s">
        <v>41</v>
      </c>
      <c r="H454" t="str">
        <f t="shared" si="29"/>
        <v>Campina Grande - PB</v>
      </c>
      <c r="I454" s="1" t="s">
        <v>447</v>
      </c>
      <c r="J454" s="3">
        <v>73</v>
      </c>
      <c r="K454" s="4">
        <f t="shared" si="30"/>
        <v>23.836734693877553</v>
      </c>
      <c r="L454" s="1" t="str">
        <f t="shared" si="31"/>
        <v>Peso ideal - parabéns</v>
      </c>
      <c r="M454" t="s">
        <v>20</v>
      </c>
    </row>
    <row r="455" spans="1:13" x14ac:dyDescent="0.25">
      <c r="A455">
        <v>454</v>
      </c>
      <c r="B455" t="s">
        <v>3134</v>
      </c>
      <c r="C455" s="2" t="s">
        <v>3135</v>
      </c>
      <c r="D455" s="2">
        <f t="shared" ca="1" si="28"/>
        <v>69</v>
      </c>
      <c r="E455" t="s">
        <v>10</v>
      </c>
      <c r="F455" t="s">
        <v>1184</v>
      </c>
      <c r="G455" t="s">
        <v>273</v>
      </c>
      <c r="H455" t="str">
        <f t="shared" si="29"/>
        <v>Linhares - ES</v>
      </c>
      <c r="I455" s="1" t="s">
        <v>191</v>
      </c>
      <c r="J455" s="3">
        <v>69</v>
      </c>
      <c r="K455" s="4">
        <f t="shared" si="30"/>
        <v>26.953124999999996</v>
      </c>
      <c r="L455" s="1" t="str">
        <f t="shared" si="31"/>
        <v>Levemente acima do peso</v>
      </c>
      <c r="M455" t="s">
        <v>76</v>
      </c>
    </row>
    <row r="456" spans="1:13" x14ac:dyDescent="0.25">
      <c r="A456">
        <v>455</v>
      </c>
      <c r="B456" t="s">
        <v>857</v>
      </c>
      <c r="C456" s="2" t="s">
        <v>858</v>
      </c>
      <c r="D456" s="2">
        <f t="shared" ca="1" si="28"/>
        <v>21</v>
      </c>
      <c r="E456" t="s">
        <v>10</v>
      </c>
      <c r="F456" t="s">
        <v>784</v>
      </c>
      <c r="G456" t="s">
        <v>273</v>
      </c>
      <c r="H456" t="str">
        <f t="shared" si="29"/>
        <v>Vila Velha - ES</v>
      </c>
      <c r="I456" s="1" t="s">
        <v>201</v>
      </c>
      <c r="J456" s="3">
        <v>81</v>
      </c>
      <c r="K456" s="4">
        <f t="shared" si="30"/>
        <v>21.084964598084134</v>
      </c>
      <c r="L456" s="1" t="str">
        <f t="shared" si="31"/>
        <v>Peso ideal - parabéns</v>
      </c>
      <c r="M456" t="s">
        <v>95</v>
      </c>
    </row>
    <row r="457" spans="1:13" x14ac:dyDescent="0.25">
      <c r="A457">
        <v>456</v>
      </c>
      <c r="B457" t="s">
        <v>1922</v>
      </c>
      <c r="C457" s="2" t="s">
        <v>1923</v>
      </c>
      <c r="D457" s="2">
        <f t="shared" ca="1" si="28"/>
        <v>25</v>
      </c>
      <c r="E457" t="s">
        <v>10</v>
      </c>
      <c r="F457" t="s">
        <v>236</v>
      </c>
      <c r="G457" t="s">
        <v>237</v>
      </c>
      <c r="H457" t="str">
        <f t="shared" si="29"/>
        <v>Teresina - PI</v>
      </c>
      <c r="I457" s="1" t="s">
        <v>447</v>
      </c>
      <c r="J457" s="3">
        <v>95</v>
      </c>
      <c r="K457" s="4">
        <f t="shared" si="30"/>
        <v>31.020408163265305</v>
      </c>
      <c r="L457" s="1" t="str">
        <f t="shared" si="31"/>
        <v>Obesidade grau I</v>
      </c>
      <c r="M457" t="s">
        <v>95</v>
      </c>
    </row>
    <row r="458" spans="1:13" x14ac:dyDescent="0.25">
      <c r="A458">
        <v>457</v>
      </c>
      <c r="B458" t="s">
        <v>2347</v>
      </c>
      <c r="C458" s="2" t="s">
        <v>2348</v>
      </c>
      <c r="D458" s="2">
        <f t="shared" ca="1" si="28"/>
        <v>66</v>
      </c>
      <c r="E458" t="s">
        <v>10</v>
      </c>
      <c r="F458" t="s">
        <v>1200</v>
      </c>
      <c r="G458" t="s">
        <v>41</v>
      </c>
      <c r="H458" t="str">
        <f t="shared" si="29"/>
        <v>Sousa - PB</v>
      </c>
      <c r="I458" s="1" t="s">
        <v>99</v>
      </c>
      <c r="J458" s="3">
        <v>77</v>
      </c>
      <c r="K458" s="4">
        <f t="shared" si="30"/>
        <v>20.459134870868319</v>
      </c>
      <c r="L458" s="1" t="str">
        <f t="shared" si="31"/>
        <v>Peso ideal - parabéns</v>
      </c>
      <c r="M458" t="s">
        <v>20</v>
      </c>
    </row>
    <row r="459" spans="1:13" x14ac:dyDescent="0.25">
      <c r="A459">
        <v>458</v>
      </c>
      <c r="B459" t="s">
        <v>2660</v>
      </c>
      <c r="C459" s="2" t="s">
        <v>2661</v>
      </c>
      <c r="D459" s="2">
        <f t="shared" ca="1" si="28"/>
        <v>36</v>
      </c>
      <c r="E459" t="s">
        <v>10</v>
      </c>
      <c r="F459" t="s">
        <v>126</v>
      </c>
      <c r="G459" t="s">
        <v>127</v>
      </c>
      <c r="H459" t="str">
        <f t="shared" si="29"/>
        <v>Boa Vista - RR</v>
      </c>
      <c r="I459" s="1" t="s">
        <v>386</v>
      </c>
      <c r="J459" s="3">
        <v>75</v>
      </c>
      <c r="K459" s="4">
        <f t="shared" si="30"/>
        <v>27.217302946726669</v>
      </c>
      <c r="L459" s="1" t="str">
        <f t="shared" si="31"/>
        <v>Levemente acima do peso</v>
      </c>
      <c r="M459" t="s">
        <v>26</v>
      </c>
    </row>
    <row r="460" spans="1:13" x14ac:dyDescent="0.25">
      <c r="A460">
        <v>459</v>
      </c>
      <c r="B460" t="s">
        <v>151</v>
      </c>
      <c r="C460" s="2" t="s">
        <v>152</v>
      </c>
      <c r="D460" s="2">
        <f t="shared" ca="1" si="28"/>
        <v>24</v>
      </c>
      <c r="E460" t="s">
        <v>10</v>
      </c>
      <c r="F460" t="s">
        <v>153</v>
      </c>
      <c r="G460" t="s">
        <v>154</v>
      </c>
      <c r="H460" t="str">
        <f t="shared" si="29"/>
        <v>Manaus - AM</v>
      </c>
      <c r="I460" s="1" t="s">
        <v>155</v>
      </c>
      <c r="J460" s="3">
        <v>69</v>
      </c>
      <c r="K460" s="4">
        <f t="shared" si="30"/>
        <v>20.830817534114235</v>
      </c>
      <c r="L460" s="1" t="str">
        <f t="shared" si="31"/>
        <v>Peso ideal - parabéns</v>
      </c>
      <c r="M460" t="s">
        <v>20</v>
      </c>
    </row>
    <row r="461" spans="1:13" x14ac:dyDescent="0.25">
      <c r="A461">
        <v>460</v>
      </c>
      <c r="B461" t="s">
        <v>3121</v>
      </c>
      <c r="C461" s="2" t="s">
        <v>603</v>
      </c>
      <c r="D461" s="2">
        <f t="shared" ca="1" si="28"/>
        <v>70</v>
      </c>
      <c r="E461" t="s">
        <v>10</v>
      </c>
      <c r="F461" t="s">
        <v>236</v>
      </c>
      <c r="G461" t="s">
        <v>237</v>
      </c>
      <c r="H461" t="str">
        <f t="shared" si="29"/>
        <v>Teresina - PI</v>
      </c>
      <c r="I461" s="1" t="s">
        <v>66</v>
      </c>
      <c r="J461" s="3">
        <v>85</v>
      </c>
      <c r="K461" s="4">
        <f t="shared" si="30"/>
        <v>24.049343594386603</v>
      </c>
      <c r="L461" s="1" t="str">
        <f t="shared" si="31"/>
        <v>Peso ideal - parabéns</v>
      </c>
      <c r="M461" t="s">
        <v>95</v>
      </c>
    </row>
    <row r="462" spans="1:13" x14ac:dyDescent="0.25">
      <c r="A462">
        <v>461</v>
      </c>
      <c r="B462" t="s">
        <v>3439</v>
      </c>
      <c r="C462" s="2" t="s">
        <v>3440</v>
      </c>
      <c r="D462" s="2">
        <f t="shared" ca="1" si="28"/>
        <v>69</v>
      </c>
      <c r="E462" t="s">
        <v>10</v>
      </c>
      <c r="F462" t="s">
        <v>236</v>
      </c>
      <c r="G462" t="s">
        <v>237</v>
      </c>
      <c r="H462" t="str">
        <f t="shared" si="29"/>
        <v>Teresina - PI</v>
      </c>
      <c r="I462" s="1" t="s">
        <v>281</v>
      </c>
      <c r="J462" s="3">
        <v>82</v>
      </c>
      <c r="K462" s="4">
        <f t="shared" si="30"/>
        <v>31.245237006553872</v>
      </c>
      <c r="L462" s="1" t="str">
        <f t="shared" si="31"/>
        <v>Obesidade grau I</v>
      </c>
      <c r="M462" t="s">
        <v>32</v>
      </c>
    </row>
    <row r="463" spans="1:13" x14ac:dyDescent="0.25">
      <c r="A463">
        <v>462</v>
      </c>
      <c r="B463" t="s">
        <v>3136</v>
      </c>
      <c r="C463" s="2" t="s">
        <v>3137</v>
      </c>
      <c r="D463" s="2">
        <f t="shared" ca="1" si="28"/>
        <v>47</v>
      </c>
      <c r="E463" t="s">
        <v>10</v>
      </c>
      <c r="F463" t="s">
        <v>40</v>
      </c>
      <c r="G463" t="s">
        <v>41</v>
      </c>
      <c r="H463" t="str">
        <f t="shared" si="29"/>
        <v>Campina Grande - PB</v>
      </c>
      <c r="I463" s="1" t="s">
        <v>194</v>
      </c>
      <c r="J463" s="3">
        <v>63</v>
      </c>
      <c r="K463" s="4">
        <f t="shared" si="30"/>
        <v>18.407596785975162</v>
      </c>
      <c r="L463" s="1" t="str">
        <f t="shared" si="31"/>
        <v>Abaixo do peso</v>
      </c>
      <c r="M463" t="s">
        <v>76</v>
      </c>
    </row>
    <row r="464" spans="1:13" x14ac:dyDescent="0.25">
      <c r="A464">
        <v>463</v>
      </c>
      <c r="B464" t="s">
        <v>2866</v>
      </c>
      <c r="C464" s="2" t="s">
        <v>2867</v>
      </c>
      <c r="D464" s="2">
        <f t="shared" ca="1" si="28"/>
        <v>26</v>
      </c>
      <c r="E464" t="s">
        <v>10</v>
      </c>
      <c r="F464" t="s">
        <v>135</v>
      </c>
      <c r="G464" t="s">
        <v>75</v>
      </c>
      <c r="H464" t="str">
        <f t="shared" si="29"/>
        <v>Santana - AP</v>
      </c>
      <c r="I464" s="1" t="s">
        <v>86</v>
      </c>
      <c r="J464" s="3">
        <v>75</v>
      </c>
      <c r="K464" s="4">
        <f t="shared" si="30"/>
        <v>22.893074081987731</v>
      </c>
      <c r="L464" s="1" t="str">
        <f t="shared" si="31"/>
        <v>Peso ideal - parabéns</v>
      </c>
      <c r="M464" t="s">
        <v>26</v>
      </c>
    </row>
    <row r="465" spans="1:13" x14ac:dyDescent="0.25">
      <c r="A465">
        <v>464</v>
      </c>
      <c r="B465" t="s">
        <v>610</v>
      </c>
      <c r="C465" s="2" t="s">
        <v>611</v>
      </c>
      <c r="D465" s="2">
        <f t="shared" ca="1" si="28"/>
        <v>47</v>
      </c>
      <c r="E465" t="s">
        <v>10</v>
      </c>
      <c r="F465" t="s">
        <v>98</v>
      </c>
      <c r="G465" t="s">
        <v>65</v>
      </c>
      <c r="H465" t="str">
        <f t="shared" si="29"/>
        <v>Vitória da Conquista - BA</v>
      </c>
      <c r="I465" s="1" t="s">
        <v>104</v>
      </c>
      <c r="J465" s="3">
        <v>59</v>
      </c>
      <c r="K465" s="4">
        <f t="shared" si="30"/>
        <v>20.415224913494811</v>
      </c>
      <c r="L465" s="1" t="str">
        <f t="shared" si="31"/>
        <v>Peso ideal - parabéns</v>
      </c>
      <c r="M465" t="s">
        <v>95</v>
      </c>
    </row>
    <row r="466" spans="1:13" x14ac:dyDescent="0.25">
      <c r="A466">
        <v>465</v>
      </c>
      <c r="B466" t="s">
        <v>2125</v>
      </c>
      <c r="C466" s="2" t="s">
        <v>2126</v>
      </c>
      <c r="D466" s="2">
        <f t="shared" ca="1" si="28"/>
        <v>67</v>
      </c>
      <c r="E466" t="s">
        <v>10</v>
      </c>
      <c r="F466" t="s">
        <v>439</v>
      </c>
      <c r="G466" t="s">
        <v>190</v>
      </c>
      <c r="H466" t="str">
        <f t="shared" si="29"/>
        <v>Rondonópolis - MT</v>
      </c>
      <c r="I466" s="1" t="s">
        <v>218</v>
      </c>
      <c r="J466" s="3">
        <v>51</v>
      </c>
      <c r="K466" s="4">
        <f t="shared" si="30"/>
        <v>13.691642728663858</v>
      </c>
      <c r="L466" s="1" t="str">
        <f t="shared" si="31"/>
        <v>Muito abaixo do peso</v>
      </c>
      <c r="M466" t="s">
        <v>20</v>
      </c>
    </row>
    <row r="467" spans="1:13" x14ac:dyDescent="0.25">
      <c r="A467">
        <v>466</v>
      </c>
      <c r="B467" t="s">
        <v>3358</v>
      </c>
      <c r="C467" s="2" t="s">
        <v>3359</v>
      </c>
      <c r="D467" s="2">
        <f t="shared" ca="1" si="28"/>
        <v>63</v>
      </c>
      <c r="E467" t="s">
        <v>23</v>
      </c>
      <c r="F467" t="s">
        <v>3360</v>
      </c>
      <c r="G467" t="s">
        <v>18</v>
      </c>
      <c r="H467" t="str">
        <f t="shared" si="29"/>
        <v>Bodoquena - MS</v>
      </c>
      <c r="I467" s="1" t="s">
        <v>447</v>
      </c>
      <c r="J467" s="3">
        <v>78</v>
      </c>
      <c r="K467" s="4">
        <f t="shared" si="30"/>
        <v>25.469387755102041</v>
      </c>
      <c r="L467" s="1" t="str">
        <f t="shared" si="31"/>
        <v>Levemente acima do peso</v>
      </c>
      <c r="M467" t="s">
        <v>76</v>
      </c>
    </row>
    <row r="468" spans="1:13" x14ac:dyDescent="0.25">
      <c r="A468">
        <v>467</v>
      </c>
      <c r="B468" t="s">
        <v>2032</v>
      </c>
      <c r="C468" s="2" t="s">
        <v>2033</v>
      </c>
      <c r="D468" s="2">
        <f t="shared" ca="1" si="28"/>
        <v>78</v>
      </c>
      <c r="E468" t="s">
        <v>23</v>
      </c>
      <c r="F468" t="s">
        <v>89</v>
      </c>
      <c r="G468" t="s">
        <v>12</v>
      </c>
      <c r="H468" t="str">
        <f t="shared" si="29"/>
        <v>Fortaleza - CE</v>
      </c>
      <c r="I468" s="1" t="s">
        <v>575</v>
      </c>
      <c r="J468" s="3">
        <v>79</v>
      </c>
      <c r="K468" s="4">
        <f t="shared" si="30"/>
        <v>31.24876389383331</v>
      </c>
      <c r="L468" s="1" t="str">
        <f t="shared" si="31"/>
        <v>Obesidade grau I</v>
      </c>
      <c r="M468" t="s">
        <v>32</v>
      </c>
    </row>
    <row r="469" spans="1:13" x14ac:dyDescent="0.25">
      <c r="A469">
        <v>468</v>
      </c>
      <c r="B469" t="s">
        <v>1602</v>
      </c>
      <c r="C469" s="2" t="s">
        <v>1603</v>
      </c>
      <c r="D469" s="2">
        <f t="shared" ca="1" si="28"/>
        <v>45</v>
      </c>
      <c r="E469" t="s">
        <v>23</v>
      </c>
      <c r="F469" t="s">
        <v>354</v>
      </c>
      <c r="G469" t="s">
        <v>30</v>
      </c>
      <c r="H469" t="str">
        <f t="shared" si="29"/>
        <v>Porto Velho - RO</v>
      </c>
      <c r="I469" s="1" t="s">
        <v>194</v>
      </c>
      <c r="J469" s="3">
        <v>62</v>
      </c>
      <c r="K469" s="4">
        <f t="shared" si="30"/>
        <v>18.115412710007302</v>
      </c>
      <c r="L469" s="1" t="str">
        <f t="shared" si="31"/>
        <v>Abaixo do peso</v>
      </c>
      <c r="M469" t="s">
        <v>95</v>
      </c>
    </row>
    <row r="470" spans="1:13" x14ac:dyDescent="0.25">
      <c r="A470">
        <v>469</v>
      </c>
      <c r="B470" t="s">
        <v>3417</v>
      </c>
      <c r="C470" s="2" t="s">
        <v>3418</v>
      </c>
      <c r="D470" s="2">
        <f t="shared" ca="1" si="28"/>
        <v>47</v>
      </c>
      <c r="E470" t="s">
        <v>23</v>
      </c>
      <c r="F470" t="s">
        <v>204</v>
      </c>
      <c r="G470" t="s">
        <v>112</v>
      </c>
      <c r="H470" t="str">
        <f t="shared" si="29"/>
        <v>Belém - PA</v>
      </c>
      <c r="I470" s="1" t="s">
        <v>86</v>
      </c>
      <c r="J470" s="3">
        <v>76</v>
      </c>
      <c r="K470" s="4">
        <f t="shared" si="30"/>
        <v>23.198315069747565</v>
      </c>
      <c r="L470" s="1" t="str">
        <f t="shared" si="31"/>
        <v>Peso ideal - parabéns</v>
      </c>
      <c r="M470" t="s">
        <v>95</v>
      </c>
    </row>
    <row r="471" spans="1:13" x14ac:dyDescent="0.25">
      <c r="A471">
        <v>470</v>
      </c>
      <c r="B471" t="s">
        <v>2036</v>
      </c>
      <c r="C471" s="2" t="s">
        <v>2037</v>
      </c>
      <c r="D471" s="2">
        <f t="shared" ca="1" si="28"/>
        <v>58</v>
      </c>
      <c r="E471" t="s">
        <v>23</v>
      </c>
      <c r="F471" t="s">
        <v>354</v>
      </c>
      <c r="G471" t="s">
        <v>30</v>
      </c>
      <c r="H471" t="str">
        <f t="shared" si="29"/>
        <v>Porto Velho - RO</v>
      </c>
      <c r="I471" s="1" t="s">
        <v>447</v>
      </c>
      <c r="J471" s="3">
        <v>64</v>
      </c>
      <c r="K471" s="4">
        <f t="shared" si="30"/>
        <v>20.897959183673468</v>
      </c>
      <c r="L471" s="1" t="str">
        <f t="shared" si="31"/>
        <v>Peso ideal - parabéns</v>
      </c>
      <c r="M471" t="s">
        <v>32</v>
      </c>
    </row>
    <row r="472" spans="1:13" x14ac:dyDescent="0.25">
      <c r="A472">
        <v>471</v>
      </c>
      <c r="B472" t="s">
        <v>3569</v>
      </c>
      <c r="C472" s="2" t="s">
        <v>2124</v>
      </c>
      <c r="D472" s="2">
        <f t="shared" ca="1" si="28"/>
        <v>66</v>
      </c>
      <c r="E472" t="s">
        <v>23</v>
      </c>
      <c r="F472" t="s">
        <v>1323</v>
      </c>
      <c r="G472" t="s">
        <v>131</v>
      </c>
      <c r="H472" t="str">
        <f t="shared" si="29"/>
        <v>São Bento do Sul - SC</v>
      </c>
      <c r="I472" s="1" t="s">
        <v>56</v>
      </c>
      <c r="J472" s="3">
        <v>48</v>
      </c>
      <c r="K472" s="4">
        <f t="shared" si="30"/>
        <v>16.806134238997235</v>
      </c>
      <c r="L472" s="1" t="str">
        <f t="shared" si="31"/>
        <v>Muito abaixo do peso</v>
      </c>
      <c r="M472" t="s">
        <v>47</v>
      </c>
    </row>
    <row r="473" spans="1:13" x14ac:dyDescent="0.25">
      <c r="A473">
        <v>472</v>
      </c>
      <c r="B473" t="s">
        <v>4153</v>
      </c>
      <c r="C473" s="2" t="s">
        <v>3198</v>
      </c>
      <c r="D473" s="2">
        <f t="shared" ca="1" si="28"/>
        <v>55</v>
      </c>
      <c r="E473" t="s">
        <v>23</v>
      </c>
      <c r="F473" t="s">
        <v>4154</v>
      </c>
      <c r="G473" t="s">
        <v>131</v>
      </c>
      <c r="H473" t="str">
        <f t="shared" si="29"/>
        <v>Itá - SC</v>
      </c>
      <c r="I473" s="1" t="s">
        <v>160</v>
      </c>
      <c r="J473" s="3">
        <v>64</v>
      </c>
      <c r="K473" s="4">
        <f t="shared" si="30"/>
        <v>18.903591682419659</v>
      </c>
      <c r="L473" s="1" t="str">
        <f t="shared" si="31"/>
        <v>Peso ideal - parabéns</v>
      </c>
      <c r="M473" t="s">
        <v>76</v>
      </c>
    </row>
    <row r="474" spans="1:13" x14ac:dyDescent="0.25">
      <c r="A474">
        <v>473</v>
      </c>
      <c r="B474" t="s">
        <v>933</v>
      </c>
      <c r="C474" s="2" t="s">
        <v>645</v>
      </c>
      <c r="D474" s="2">
        <f t="shared" ca="1" si="28"/>
        <v>55</v>
      </c>
      <c r="E474" t="s">
        <v>10</v>
      </c>
      <c r="F474" t="s">
        <v>204</v>
      </c>
      <c r="G474" t="s">
        <v>112</v>
      </c>
      <c r="H474" t="str">
        <f t="shared" si="29"/>
        <v>Belém - PA</v>
      </c>
      <c r="I474" s="1" t="s">
        <v>255</v>
      </c>
      <c r="J474" s="3">
        <v>74</v>
      </c>
      <c r="K474" s="4">
        <f t="shared" si="30"/>
        <v>18.686396808161408</v>
      </c>
      <c r="L474" s="1" t="str">
        <f t="shared" si="31"/>
        <v>Peso ideal - parabéns</v>
      </c>
      <c r="M474" t="s">
        <v>14</v>
      </c>
    </row>
    <row r="475" spans="1:13" x14ac:dyDescent="0.25">
      <c r="A475">
        <v>474</v>
      </c>
      <c r="B475" t="s">
        <v>1650</v>
      </c>
      <c r="C475" s="2" t="s">
        <v>1651</v>
      </c>
      <c r="D475" s="2">
        <f t="shared" ca="1" si="28"/>
        <v>21</v>
      </c>
      <c r="E475" t="s">
        <v>10</v>
      </c>
      <c r="F475" t="s">
        <v>1652</v>
      </c>
      <c r="G475" t="s">
        <v>103</v>
      </c>
      <c r="H475" t="str">
        <f t="shared" si="29"/>
        <v>Bebedouro - SP</v>
      </c>
      <c r="I475" s="1" t="s">
        <v>386</v>
      </c>
      <c r="J475" s="3">
        <v>58</v>
      </c>
      <c r="K475" s="4">
        <f t="shared" si="30"/>
        <v>21.048047612135289</v>
      </c>
      <c r="L475" s="1" t="str">
        <f t="shared" si="31"/>
        <v>Peso ideal - parabéns</v>
      </c>
      <c r="M475" t="s">
        <v>95</v>
      </c>
    </row>
    <row r="476" spans="1:13" x14ac:dyDescent="0.25">
      <c r="A476">
        <v>475</v>
      </c>
      <c r="B476" t="s">
        <v>3069</v>
      </c>
      <c r="C476" s="2" t="s">
        <v>3070</v>
      </c>
      <c r="D476" s="2">
        <f t="shared" ca="1" si="28"/>
        <v>30</v>
      </c>
      <c r="E476" t="s">
        <v>10</v>
      </c>
      <c r="F476" t="s">
        <v>3071</v>
      </c>
      <c r="G476" t="s">
        <v>186</v>
      </c>
      <c r="H476" t="str">
        <f t="shared" si="29"/>
        <v>Pequi - MG</v>
      </c>
      <c r="I476" s="1" t="s">
        <v>400</v>
      </c>
      <c r="J476" s="3">
        <v>101</v>
      </c>
      <c r="K476" s="4">
        <f t="shared" si="30"/>
        <v>31.172839506172838</v>
      </c>
      <c r="L476" s="1" t="str">
        <f t="shared" si="31"/>
        <v>Obesidade grau I</v>
      </c>
      <c r="M476" t="s">
        <v>47</v>
      </c>
    </row>
    <row r="477" spans="1:13" x14ac:dyDescent="0.25">
      <c r="A477">
        <v>476</v>
      </c>
      <c r="B477" t="s">
        <v>214</v>
      </c>
      <c r="C477" s="2" t="s">
        <v>215</v>
      </c>
      <c r="D477" s="2">
        <f t="shared" ca="1" si="28"/>
        <v>39</v>
      </c>
      <c r="E477" t="s">
        <v>10</v>
      </c>
      <c r="F477" t="s">
        <v>24</v>
      </c>
      <c r="G477" t="s">
        <v>25</v>
      </c>
      <c r="H477" t="str">
        <f t="shared" si="29"/>
        <v>Natal - RN</v>
      </c>
      <c r="I477" s="1" t="s">
        <v>66</v>
      </c>
      <c r="J477" s="3">
        <v>64</v>
      </c>
      <c r="K477" s="4">
        <f t="shared" si="30"/>
        <v>18.107741059302853</v>
      </c>
      <c r="L477" s="1" t="str">
        <f t="shared" si="31"/>
        <v>Abaixo do peso</v>
      </c>
      <c r="M477" t="s">
        <v>76</v>
      </c>
    </row>
    <row r="478" spans="1:13" x14ac:dyDescent="0.25">
      <c r="A478">
        <v>477</v>
      </c>
      <c r="B478" t="s">
        <v>1726</v>
      </c>
      <c r="C478" s="2" t="s">
        <v>1727</v>
      </c>
      <c r="D478" s="2">
        <f t="shared" ca="1" si="28"/>
        <v>65</v>
      </c>
      <c r="E478" t="s">
        <v>10</v>
      </c>
      <c r="F478" t="s">
        <v>50</v>
      </c>
      <c r="G478" t="s">
        <v>51</v>
      </c>
      <c r="H478" t="str">
        <f t="shared" si="29"/>
        <v>Magé - RJ</v>
      </c>
      <c r="I478" s="1" t="s">
        <v>171</v>
      </c>
      <c r="J478" s="3">
        <v>53</v>
      </c>
      <c r="K478" s="4">
        <f t="shared" si="30"/>
        <v>19.003908350962746</v>
      </c>
      <c r="L478" s="1" t="str">
        <f t="shared" si="31"/>
        <v>Peso ideal - parabéns</v>
      </c>
      <c r="M478" t="s">
        <v>20</v>
      </c>
    </row>
    <row r="479" spans="1:13" x14ac:dyDescent="0.25">
      <c r="A479">
        <v>478</v>
      </c>
      <c r="B479" t="s">
        <v>2048</v>
      </c>
      <c r="C479" s="2" t="s">
        <v>2049</v>
      </c>
      <c r="D479" s="2">
        <f t="shared" ca="1" si="28"/>
        <v>81</v>
      </c>
      <c r="E479" t="s">
        <v>10</v>
      </c>
      <c r="F479" t="s">
        <v>775</v>
      </c>
      <c r="G479" t="s">
        <v>51</v>
      </c>
      <c r="H479" t="str">
        <f t="shared" si="29"/>
        <v>Rio de Janeiro - RJ</v>
      </c>
      <c r="I479" s="1" t="s">
        <v>123</v>
      </c>
      <c r="J479" s="3">
        <v>65</v>
      </c>
      <c r="K479" s="4">
        <f t="shared" si="30"/>
        <v>20.983987603305785</v>
      </c>
      <c r="L479" s="1" t="str">
        <f t="shared" si="31"/>
        <v>Peso ideal - parabéns</v>
      </c>
      <c r="M479" t="s">
        <v>95</v>
      </c>
    </row>
    <row r="480" spans="1:13" x14ac:dyDescent="0.25">
      <c r="A480">
        <v>479</v>
      </c>
      <c r="B480" t="s">
        <v>427</v>
      </c>
      <c r="C480" s="2" t="s">
        <v>428</v>
      </c>
      <c r="D480" s="2">
        <f t="shared" ca="1" si="28"/>
        <v>43</v>
      </c>
      <c r="E480" t="s">
        <v>10</v>
      </c>
      <c r="F480" t="s">
        <v>429</v>
      </c>
      <c r="G480" t="s">
        <v>65</v>
      </c>
      <c r="H480" t="str">
        <f t="shared" si="29"/>
        <v>Barreiras - BA</v>
      </c>
      <c r="I480" s="1" t="s">
        <v>148</v>
      </c>
      <c r="J480" s="3">
        <v>87</v>
      </c>
      <c r="K480" s="4">
        <f t="shared" si="30"/>
        <v>22.87968441814596</v>
      </c>
      <c r="L480" s="1" t="str">
        <f t="shared" si="31"/>
        <v>Peso ideal - parabéns</v>
      </c>
      <c r="M480" t="s">
        <v>26</v>
      </c>
    </row>
    <row r="481" spans="1:13" x14ac:dyDescent="0.25">
      <c r="A481">
        <v>480</v>
      </c>
      <c r="B481" t="s">
        <v>219</v>
      </c>
      <c r="C481" s="2" t="s">
        <v>220</v>
      </c>
      <c r="D481" s="2">
        <f t="shared" ca="1" si="28"/>
        <v>44</v>
      </c>
      <c r="E481" t="s">
        <v>10</v>
      </c>
      <c r="F481" t="s">
        <v>69</v>
      </c>
      <c r="G481" t="s">
        <v>70</v>
      </c>
      <c r="H481" t="str">
        <f t="shared" si="29"/>
        <v>Aracaju - SE</v>
      </c>
      <c r="I481" s="1" t="s">
        <v>99</v>
      </c>
      <c r="J481" s="3">
        <v>98</v>
      </c>
      <c r="K481" s="4">
        <f t="shared" si="30"/>
        <v>26.038898926559678</v>
      </c>
      <c r="L481" s="1" t="str">
        <f t="shared" si="31"/>
        <v>Levemente acima do peso</v>
      </c>
      <c r="M481" t="s">
        <v>83</v>
      </c>
    </row>
    <row r="482" spans="1:13" x14ac:dyDescent="0.25">
      <c r="A482">
        <v>481</v>
      </c>
      <c r="B482" t="s">
        <v>2438</v>
      </c>
      <c r="C482" s="2" t="s">
        <v>2439</v>
      </c>
      <c r="D482" s="2">
        <f t="shared" ca="1" si="28"/>
        <v>56</v>
      </c>
      <c r="E482" t="s">
        <v>10</v>
      </c>
      <c r="F482" t="s">
        <v>354</v>
      </c>
      <c r="G482" t="s">
        <v>30</v>
      </c>
      <c r="H482" t="str">
        <f t="shared" si="29"/>
        <v>Porto Velho - RO</v>
      </c>
      <c r="I482" s="1" t="s">
        <v>99</v>
      </c>
      <c r="J482" s="3">
        <v>62</v>
      </c>
      <c r="K482" s="4">
        <f t="shared" si="30"/>
        <v>16.473589116803062</v>
      </c>
      <c r="L482" s="1" t="str">
        <f t="shared" si="31"/>
        <v>Muito abaixo do peso</v>
      </c>
      <c r="M482" t="s">
        <v>83</v>
      </c>
    </row>
    <row r="483" spans="1:13" x14ac:dyDescent="0.25">
      <c r="A483">
        <v>482</v>
      </c>
      <c r="B483" t="s">
        <v>1410</v>
      </c>
      <c r="C483" s="2" t="s">
        <v>1411</v>
      </c>
      <c r="D483" s="2">
        <f t="shared" ca="1" si="28"/>
        <v>56</v>
      </c>
      <c r="E483" t="s">
        <v>10</v>
      </c>
      <c r="F483" t="s">
        <v>182</v>
      </c>
      <c r="G483" t="s">
        <v>55</v>
      </c>
      <c r="H483" t="str">
        <f t="shared" si="29"/>
        <v>Curitiba - PR</v>
      </c>
      <c r="I483" s="1" t="s">
        <v>194</v>
      </c>
      <c r="J483" s="3">
        <v>102</v>
      </c>
      <c r="K483" s="4">
        <f t="shared" si="30"/>
        <v>29.802775748721693</v>
      </c>
      <c r="L483" s="1" t="str">
        <f t="shared" si="31"/>
        <v>Levemente acima do peso</v>
      </c>
      <c r="M483" t="s">
        <v>95</v>
      </c>
    </row>
    <row r="484" spans="1:13" x14ac:dyDescent="0.25">
      <c r="A484">
        <v>483</v>
      </c>
      <c r="B484" t="s">
        <v>2059</v>
      </c>
      <c r="C484" s="2" t="s">
        <v>1702</v>
      </c>
      <c r="D484" s="2">
        <f t="shared" ca="1" si="28"/>
        <v>20</v>
      </c>
      <c r="E484" t="s">
        <v>10</v>
      </c>
      <c r="F484" t="s">
        <v>45</v>
      </c>
      <c r="G484" t="s">
        <v>46</v>
      </c>
      <c r="H484" t="str">
        <f t="shared" si="29"/>
        <v>Goiânia - GO</v>
      </c>
      <c r="I484" s="1" t="s">
        <v>447</v>
      </c>
      <c r="J484" s="3">
        <v>96</v>
      </c>
      <c r="K484" s="4">
        <f t="shared" si="30"/>
        <v>31.346938775510203</v>
      </c>
      <c r="L484" s="1" t="str">
        <f t="shared" si="31"/>
        <v>Obesidade grau I</v>
      </c>
      <c r="M484" t="s">
        <v>14</v>
      </c>
    </row>
    <row r="485" spans="1:13" x14ac:dyDescent="0.25">
      <c r="A485">
        <v>484</v>
      </c>
      <c r="B485" t="s">
        <v>3612</v>
      </c>
      <c r="C485" s="2" t="s">
        <v>3613</v>
      </c>
      <c r="D485" s="2">
        <f t="shared" ca="1" si="28"/>
        <v>67</v>
      </c>
      <c r="E485" t="s">
        <v>10</v>
      </c>
      <c r="F485" t="s">
        <v>3427</v>
      </c>
      <c r="G485" t="s">
        <v>310</v>
      </c>
      <c r="H485" t="str">
        <f t="shared" si="29"/>
        <v>Rio Grande - RS</v>
      </c>
      <c r="I485" s="1" t="s">
        <v>262</v>
      </c>
      <c r="J485" s="3">
        <v>85</v>
      </c>
      <c r="K485" s="4">
        <f t="shared" si="30"/>
        <v>23.545706371191137</v>
      </c>
      <c r="L485" s="1" t="str">
        <f t="shared" si="31"/>
        <v>Peso ideal - parabéns</v>
      </c>
      <c r="M485" t="s">
        <v>83</v>
      </c>
    </row>
    <row r="486" spans="1:13" x14ac:dyDescent="0.25">
      <c r="A486">
        <v>485</v>
      </c>
      <c r="B486" t="s">
        <v>1420</v>
      </c>
      <c r="C486" s="2" t="s">
        <v>1421</v>
      </c>
      <c r="D486" s="2">
        <f t="shared" ca="1" si="28"/>
        <v>72</v>
      </c>
      <c r="E486" t="s">
        <v>10</v>
      </c>
      <c r="F486" t="s">
        <v>169</v>
      </c>
      <c r="G486" t="s">
        <v>170</v>
      </c>
      <c r="H486" t="str">
        <f t="shared" si="29"/>
        <v>Maceió - AL</v>
      </c>
      <c r="I486" s="1" t="s">
        <v>262</v>
      </c>
      <c r="J486" s="3">
        <v>75</v>
      </c>
      <c r="K486" s="4">
        <f t="shared" si="30"/>
        <v>20.775623268698062</v>
      </c>
      <c r="L486" s="1" t="str">
        <f t="shared" si="31"/>
        <v>Peso ideal - parabéns</v>
      </c>
      <c r="M486" t="s">
        <v>95</v>
      </c>
    </row>
    <row r="487" spans="1:13" x14ac:dyDescent="0.25">
      <c r="A487">
        <v>486</v>
      </c>
      <c r="B487" t="s">
        <v>1098</v>
      </c>
      <c r="C487" s="2" t="s">
        <v>1099</v>
      </c>
      <c r="D487" s="2">
        <f t="shared" ca="1" si="28"/>
        <v>75</v>
      </c>
      <c r="E487" t="s">
        <v>10</v>
      </c>
      <c r="F487" t="s">
        <v>1100</v>
      </c>
      <c r="G487" t="s">
        <v>103</v>
      </c>
      <c r="H487" t="str">
        <f t="shared" si="29"/>
        <v>Ourinhos - SP</v>
      </c>
      <c r="I487" s="1" t="s">
        <v>400</v>
      </c>
      <c r="J487" s="3">
        <v>52</v>
      </c>
      <c r="K487" s="4">
        <f t="shared" si="30"/>
        <v>16.049382716049383</v>
      </c>
      <c r="L487" s="1" t="str">
        <f t="shared" si="31"/>
        <v>Muito abaixo do peso</v>
      </c>
      <c r="M487" t="s">
        <v>20</v>
      </c>
    </row>
    <row r="488" spans="1:13" x14ac:dyDescent="0.25">
      <c r="A488">
        <v>487</v>
      </c>
      <c r="B488" t="s">
        <v>3661</v>
      </c>
      <c r="C488" s="2" t="s">
        <v>3141</v>
      </c>
      <c r="D488" s="2">
        <f t="shared" ca="1" si="28"/>
        <v>80</v>
      </c>
      <c r="E488" t="s">
        <v>10</v>
      </c>
      <c r="F488" t="s">
        <v>564</v>
      </c>
      <c r="G488" t="s">
        <v>565</v>
      </c>
      <c r="H488" t="str">
        <f t="shared" si="29"/>
        <v>Rio Branco - AC</v>
      </c>
      <c r="I488" s="1" t="s">
        <v>148</v>
      </c>
      <c r="J488" s="3">
        <v>50</v>
      </c>
      <c r="K488" s="4">
        <f t="shared" si="30"/>
        <v>13.149243918474689</v>
      </c>
      <c r="L488" s="1" t="str">
        <f t="shared" si="31"/>
        <v>Muito abaixo do peso</v>
      </c>
      <c r="M488" t="s">
        <v>26</v>
      </c>
    </row>
    <row r="489" spans="1:13" x14ac:dyDescent="0.25">
      <c r="A489">
        <v>488</v>
      </c>
      <c r="B489" t="s">
        <v>1306</v>
      </c>
      <c r="C489" s="2" t="s">
        <v>1307</v>
      </c>
      <c r="D489" s="2">
        <f t="shared" ca="1" si="28"/>
        <v>75</v>
      </c>
      <c r="E489" t="s">
        <v>10</v>
      </c>
      <c r="F489" t="s">
        <v>74</v>
      </c>
      <c r="G489" t="s">
        <v>75</v>
      </c>
      <c r="H489" t="str">
        <f t="shared" si="29"/>
        <v>Macapá - AP</v>
      </c>
      <c r="I489" s="1" t="s">
        <v>416</v>
      </c>
      <c r="J489" s="3">
        <v>51</v>
      </c>
      <c r="K489" s="4">
        <f t="shared" si="30"/>
        <v>19.675166853130666</v>
      </c>
      <c r="L489" s="1" t="str">
        <f t="shared" si="31"/>
        <v>Peso ideal - parabéns</v>
      </c>
      <c r="M489" t="s">
        <v>83</v>
      </c>
    </row>
    <row r="490" spans="1:13" x14ac:dyDescent="0.25">
      <c r="A490">
        <v>489</v>
      </c>
      <c r="B490" t="s">
        <v>260</v>
      </c>
      <c r="C490" s="2" t="s">
        <v>261</v>
      </c>
      <c r="D490" s="2">
        <f t="shared" ca="1" si="28"/>
        <v>45</v>
      </c>
      <c r="E490" t="s">
        <v>10</v>
      </c>
      <c r="F490" t="s">
        <v>225</v>
      </c>
      <c r="G490" t="s">
        <v>18</v>
      </c>
      <c r="H490" t="str">
        <f t="shared" si="29"/>
        <v>Corumbá - MS</v>
      </c>
      <c r="I490" s="1" t="s">
        <v>262</v>
      </c>
      <c r="J490" s="3">
        <v>81</v>
      </c>
      <c r="K490" s="4">
        <f t="shared" si="30"/>
        <v>22.437673130193907</v>
      </c>
      <c r="L490" s="1" t="str">
        <f t="shared" si="31"/>
        <v>Peso ideal - parabéns</v>
      </c>
      <c r="M490" t="s">
        <v>14</v>
      </c>
    </row>
    <row r="491" spans="1:13" x14ac:dyDescent="0.25">
      <c r="A491">
        <v>490</v>
      </c>
      <c r="B491" t="s">
        <v>3000</v>
      </c>
      <c r="C491" s="2" t="s">
        <v>3001</v>
      </c>
      <c r="D491" s="2">
        <f t="shared" ca="1" si="28"/>
        <v>22</v>
      </c>
      <c r="E491" t="s">
        <v>10</v>
      </c>
      <c r="F491" t="s">
        <v>69</v>
      </c>
      <c r="G491" t="s">
        <v>70</v>
      </c>
      <c r="H491" t="str">
        <f t="shared" si="29"/>
        <v>Aracaju - SE</v>
      </c>
      <c r="I491" s="1" t="s">
        <v>639</v>
      </c>
      <c r="J491" s="3">
        <v>83</v>
      </c>
      <c r="K491" s="4">
        <f t="shared" si="30"/>
        <v>20.75</v>
      </c>
      <c r="L491" s="1" t="str">
        <f t="shared" si="31"/>
        <v>Peso ideal - parabéns</v>
      </c>
      <c r="M491" t="s">
        <v>32</v>
      </c>
    </row>
    <row r="492" spans="1:13" x14ac:dyDescent="0.25">
      <c r="A492">
        <v>491</v>
      </c>
      <c r="B492" t="s">
        <v>2245</v>
      </c>
      <c r="C492" s="2" t="s">
        <v>2246</v>
      </c>
      <c r="D492" s="2">
        <f t="shared" ca="1" si="28"/>
        <v>30</v>
      </c>
      <c r="E492" t="s">
        <v>10</v>
      </c>
      <c r="F492" t="s">
        <v>17</v>
      </c>
      <c r="G492" t="s">
        <v>18</v>
      </c>
      <c r="H492" t="str">
        <f t="shared" si="29"/>
        <v>Campo Grande - MS</v>
      </c>
      <c r="I492" s="1" t="s">
        <v>148</v>
      </c>
      <c r="J492" s="3">
        <v>64</v>
      </c>
      <c r="K492" s="4">
        <f t="shared" si="30"/>
        <v>16.8310322156476</v>
      </c>
      <c r="L492" s="1" t="str">
        <f t="shared" si="31"/>
        <v>Muito abaixo do peso</v>
      </c>
      <c r="M492" t="s">
        <v>14</v>
      </c>
    </row>
    <row r="493" spans="1:13" x14ac:dyDescent="0.25">
      <c r="A493">
        <v>492</v>
      </c>
      <c r="B493" t="s">
        <v>3065</v>
      </c>
      <c r="C493" s="2" t="s">
        <v>3066</v>
      </c>
      <c r="D493" s="2">
        <f t="shared" ca="1" si="28"/>
        <v>44</v>
      </c>
      <c r="E493" t="s">
        <v>23</v>
      </c>
      <c r="F493" t="s">
        <v>457</v>
      </c>
      <c r="G493" t="s">
        <v>41</v>
      </c>
      <c r="H493" t="str">
        <f t="shared" si="29"/>
        <v>João Pessoa - PB</v>
      </c>
      <c r="I493" s="1" t="s">
        <v>400</v>
      </c>
      <c r="J493" s="3">
        <v>64</v>
      </c>
      <c r="K493" s="4">
        <f t="shared" si="30"/>
        <v>19.753086419753085</v>
      </c>
      <c r="L493" s="1" t="str">
        <f t="shared" si="31"/>
        <v>Peso ideal - parabéns</v>
      </c>
      <c r="M493" t="s">
        <v>32</v>
      </c>
    </row>
    <row r="494" spans="1:13" x14ac:dyDescent="0.25">
      <c r="A494">
        <v>493</v>
      </c>
      <c r="B494" t="s">
        <v>2300</v>
      </c>
      <c r="C494" s="2" t="s">
        <v>2301</v>
      </c>
      <c r="D494" s="2">
        <f t="shared" ca="1" si="28"/>
        <v>70</v>
      </c>
      <c r="E494" t="s">
        <v>23</v>
      </c>
      <c r="F494" t="s">
        <v>69</v>
      </c>
      <c r="G494" t="s">
        <v>70</v>
      </c>
      <c r="H494" t="str">
        <f t="shared" si="29"/>
        <v>Aracaju - SE</v>
      </c>
      <c r="I494" s="1" t="s">
        <v>484</v>
      </c>
      <c r="J494" s="3">
        <v>65</v>
      </c>
      <c r="K494" s="4">
        <f t="shared" si="30"/>
        <v>27.055150884495315</v>
      </c>
      <c r="L494" s="1" t="str">
        <f t="shared" si="31"/>
        <v>Levemente acima do peso</v>
      </c>
      <c r="M494" t="s">
        <v>76</v>
      </c>
    </row>
    <row r="495" spans="1:13" x14ac:dyDescent="0.25">
      <c r="A495">
        <v>494</v>
      </c>
      <c r="B495" t="s">
        <v>1494</v>
      </c>
      <c r="C495" s="2" t="s">
        <v>1495</v>
      </c>
      <c r="D495" s="2">
        <f t="shared" ca="1" si="28"/>
        <v>42</v>
      </c>
      <c r="E495" t="s">
        <v>23</v>
      </c>
      <c r="F495" t="s">
        <v>1496</v>
      </c>
      <c r="G495" t="s">
        <v>112</v>
      </c>
      <c r="H495" t="str">
        <f t="shared" si="29"/>
        <v>Redenção - PA</v>
      </c>
      <c r="I495" s="1" t="s">
        <v>86</v>
      </c>
      <c r="J495" s="3">
        <v>77</v>
      </c>
      <c r="K495" s="4">
        <f t="shared" si="30"/>
        <v>23.503556057507403</v>
      </c>
      <c r="L495" s="1" t="str">
        <f t="shared" si="31"/>
        <v>Peso ideal - parabéns</v>
      </c>
      <c r="M495" t="s">
        <v>95</v>
      </c>
    </row>
    <row r="496" spans="1:13" x14ac:dyDescent="0.25">
      <c r="A496">
        <v>495</v>
      </c>
      <c r="B496" t="s">
        <v>3304</v>
      </c>
      <c r="C496" s="2" t="s">
        <v>3029</v>
      </c>
      <c r="D496" s="2">
        <f t="shared" ca="1" si="28"/>
        <v>37</v>
      </c>
      <c r="E496" t="s">
        <v>10</v>
      </c>
      <c r="F496" t="s">
        <v>405</v>
      </c>
      <c r="G496" t="s">
        <v>170</v>
      </c>
      <c r="H496" t="str">
        <f t="shared" si="29"/>
        <v>Palmeira dos Índios - AL</v>
      </c>
      <c r="I496" s="1" t="s">
        <v>400</v>
      </c>
      <c r="J496" s="3">
        <v>84</v>
      </c>
      <c r="K496" s="4">
        <f t="shared" si="30"/>
        <v>25.925925925925924</v>
      </c>
      <c r="L496" s="1" t="str">
        <f t="shared" si="31"/>
        <v>Levemente acima do peso</v>
      </c>
      <c r="M496" t="s">
        <v>83</v>
      </c>
    </row>
    <row r="497" spans="1:13" x14ac:dyDescent="0.25">
      <c r="A497">
        <v>496</v>
      </c>
      <c r="B497" t="s">
        <v>3672</v>
      </c>
      <c r="C497" s="2" t="s">
        <v>3673</v>
      </c>
      <c r="D497" s="2">
        <f t="shared" ca="1" si="28"/>
        <v>36</v>
      </c>
      <c r="E497" t="s">
        <v>10</v>
      </c>
      <c r="F497" t="s">
        <v>241</v>
      </c>
      <c r="G497" t="s">
        <v>190</v>
      </c>
      <c r="H497" t="str">
        <f t="shared" si="29"/>
        <v>Várzea Grande - MT</v>
      </c>
      <c r="I497" s="1" t="s">
        <v>400</v>
      </c>
      <c r="J497" s="3">
        <v>94</v>
      </c>
      <c r="K497" s="4">
        <f t="shared" si="30"/>
        <v>29.012345679012345</v>
      </c>
      <c r="L497" s="1" t="str">
        <f t="shared" si="31"/>
        <v>Levemente acima do peso</v>
      </c>
      <c r="M497" t="s">
        <v>20</v>
      </c>
    </row>
    <row r="498" spans="1:13" x14ac:dyDescent="0.25">
      <c r="A498">
        <v>497</v>
      </c>
      <c r="B498" t="s">
        <v>1488</v>
      </c>
      <c r="C498" s="2" t="s">
        <v>1489</v>
      </c>
      <c r="D498" s="2">
        <f t="shared" ca="1" si="28"/>
        <v>45</v>
      </c>
      <c r="E498" t="s">
        <v>10</v>
      </c>
      <c r="F498" t="s">
        <v>1490</v>
      </c>
      <c r="G498" t="s">
        <v>273</v>
      </c>
      <c r="H498" t="str">
        <f t="shared" si="29"/>
        <v>Cachoeiro de Itapemirim - ES</v>
      </c>
      <c r="I498" s="1" t="s">
        <v>194</v>
      </c>
      <c r="J498" s="3">
        <v>70</v>
      </c>
      <c r="K498" s="4">
        <f t="shared" si="30"/>
        <v>20.45288531775018</v>
      </c>
      <c r="L498" s="1" t="str">
        <f t="shared" si="31"/>
        <v>Peso ideal - parabéns</v>
      </c>
      <c r="M498" t="s">
        <v>76</v>
      </c>
    </row>
    <row r="499" spans="1:13" x14ac:dyDescent="0.25">
      <c r="A499">
        <v>498</v>
      </c>
      <c r="B499" t="s">
        <v>396</v>
      </c>
      <c r="C499" s="2" t="s">
        <v>397</v>
      </c>
      <c r="D499" s="2">
        <f t="shared" ca="1" si="28"/>
        <v>67</v>
      </c>
      <c r="E499" t="s">
        <v>10</v>
      </c>
      <c r="F499" t="s">
        <v>69</v>
      </c>
      <c r="G499" t="s">
        <v>70</v>
      </c>
      <c r="H499" t="str">
        <f t="shared" si="29"/>
        <v>Aracaju - SE</v>
      </c>
      <c r="I499" s="1" t="s">
        <v>160</v>
      </c>
      <c r="J499" s="3">
        <v>72</v>
      </c>
      <c r="K499" s="4">
        <f t="shared" si="30"/>
        <v>21.266540642722116</v>
      </c>
      <c r="L499" s="1" t="str">
        <f t="shared" si="31"/>
        <v>Peso ideal - parabéns</v>
      </c>
      <c r="M499" t="s">
        <v>26</v>
      </c>
    </row>
    <row r="500" spans="1:13" x14ac:dyDescent="0.25">
      <c r="A500">
        <v>499</v>
      </c>
      <c r="B500" t="s">
        <v>1240</v>
      </c>
      <c r="C500" s="2" t="s">
        <v>1241</v>
      </c>
      <c r="D500" s="2">
        <f t="shared" ca="1" si="28"/>
        <v>70</v>
      </c>
      <c r="E500" t="s">
        <v>10</v>
      </c>
      <c r="F500" t="s">
        <v>336</v>
      </c>
      <c r="G500" t="s">
        <v>12</v>
      </c>
      <c r="H500" t="str">
        <f t="shared" si="29"/>
        <v>Juazeiro do Norte - CE</v>
      </c>
      <c r="I500" s="1" t="s">
        <v>123</v>
      </c>
      <c r="J500" s="3">
        <v>99</v>
      </c>
      <c r="K500" s="4">
        <f t="shared" si="30"/>
        <v>31.960227272727273</v>
      </c>
      <c r="L500" s="1" t="str">
        <f t="shared" si="31"/>
        <v>Obesidade grau I</v>
      </c>
      <c r="M500" t="s">
        <v>14</v>
      </c>
    </row>
    <row r="501" spans="1:13" x14ac:dyDescent="0.25">
      <c r="A501">
        <v>500</v>
      </c>
      <c r="B501" t="s">
        <v>3544</v>
      </c>
      <c r="C501" s="2" t="s">
        <v>2893</v>
      </c>
      <c r="D501" s="2">
        <f t="shared" ca="1" si="28"/>
        <v>81</v>
      </c>
      <c r="E501" t="s">
        <v>10</v>
      </c>
      <c r="F501" t="s">
        <v>1748</v>
      </c>
      <c r="G501" t="s">
        <v>12</v>
      </c>
      <c r="H501" t="str">
        <f t="shared" si="29"/>
        <v>Maracanaú - CE</v>
      </c>
      <c r="I501" s="1" t="s">
        <v>108</v>
      </c>
      <c r="J501" s="3">
        <v>101</v>
      </c>
      <c r="K501" s="4">
        <f t="shared" si="30"/>
        <v>27.685644582111237</v>
      </c>
      <c r="L501" s="1" t="str">
        <f t="shared" si="31"/>
        <v>Levemente acima do peso</v>
      </c>
      <c r="M501" t="s">
        <v>14</v>
      </c>
    </row>
    <row r="502" spans="1:13" x14ac:dyDescent="0.25">
      <c r="A502">
        <v>501</v>
      </c>
      <c r="B502" t="s">
        <v>3225</v>
      </c>
      <c r="C502" s="2" t="s">
        <v>3226</v>
      </c>
      <c r="D502" s="2">
        <f t="shared" ca="1" si="28"/>
        <v>45</v>
      </c>
      <c r="E502" t="s">
        <v>10</v>
      </c>
      <c r="F502" t="s">
        <v>3227</v>
      </c>
      <c r="G502" t="s">
        <v>103</v>
      </c>
      <c r="H502" t="str">
        <f t="shared" si="29"/>
        <v>Taubaté - SP</v>
      </c>
      <c r="I502" s="1" t="s">
        <v>155</v>
      </c>
      <c r="J502" s="3">
        <v>77</v>
      </c>
      <c r="K502" s="4">
        <f t="shared" si="30"/>
        <v>23.245984784446321</v>
      </c>
      <c r="L502" s="1" t="str">
        <f t="shared" si="31"/>
        <v>Peso ideal - parabéns</v>
      </c>
      <c r="M502" t="s">
        <v>14</v>
      </c>
    </row>
    <row r="503" spans="1:13" x14ac:dyDescent="0.25">
      <c r="A503">
        <v>502</v>
      </c>
      <c r="B503" t="s">
        <v>1206</v>
      </c>
      <c r="C503" s="2" t="s">
        <v>1207</v>
      </c>
      <c r="D503" s="2">
        <f t="shared" ca="1" si="28"/>
        <v>23</v>
      </c>
      <c r="E503" t="s">
        <v>10</v>
      </c>
      <c r="F503" t="s">
        <v>1200</v>
      </c>
      <c r="G503" t="s">
        <v>41</v>
      </c>
      <c r="H503" t="str">
        <f t="shared" si="29"/>
        <v>Sousa - PB</v>
      </c>
      <c r="I503" s="1" t="s">
        <v>66</v>
      </c>
      <c r="J503" s="3">
        <v>70</v>
      </c>
      <c r="K503" s="4">
        <f t="shared" si="30"/>
        <v>19.805341783612494</v>
      </c>
      <c r="L503" s="1" t="str">
        <f t="shared" si="31"/>
        <v>Peso ideal - parabéns</v>
      </c>
      <c r="M503" t="s">
        <v>20</v>
      </c>
    </row>
    <row r="504" spans="1:13" x14ac:dyDescent="0.25">
      <c r="A504">
        <v>503</v>
      </c>
      <c r="B504" t="s">
        <v>1050</v>
      </c>
      <c r="C504" s="2" t="s">
        <v>1051</v>
      </c>
      <c r="D504" s="2">
        <f t="shared" ca="1" si="28"/>
        <v>20</v>
      </c>
      <c r="E504" t="s">
        <v>10</v>
      </c>
      <c r="F504" t="s">
        <v>1052</v>
      </c>
      <c r="G504" t="s">
        <v>55</v>
      </c>
      <c r="H504" t="str">
        <f t="shared" si="29"/>
        <v>Toledo - PR</v>
      </c>
      <c r="I504" s="1" t="s">
        <v>166</v>
      </c>
      <c r="J504" s="3">
        <v>62</v>
      </c>
      <c r="K504" s="4">
        <f t="shared" si="30"/>
        <v>21.9671201814059</v>
      </c>
      <c r="L504" s="1" t="str">
        <f t="shared" si="31"/>
        <v>Peso ideal - parabéns</v>
      </c>
      <c r="M504" t="s">
        <v>83</v>
      </c>
    </row>
    <row r="505" spans="1:13" x14ac:dyDescent="0.25">
      <c r="A505">
        <v>504</v>
      </c>
      <c r="B505" t="s">
        <v>3030</v>
      </c>
      <c r="C505" s="2" t="s">
        <v>3031</v>
      </c>
      <c r="D505" s="2">
        <f t="shared" ca="1" si="28"/>
        <v>22</v>
      </c>
      <c r="E505" t="s">
        <v>10</v>
      </c>
      <c r="F505" t="s">
        <v>169</v>
      </c>
      <c r="G505" t="s">
        <v>170</v>
      </c>
      <c r="H505" t="str">
        <f t="shared" si="29"/>
        <v>Maceió - AL</v>
      </c>
      <c r="I505" s="1" t="s">
        <v>255</v>
      </c>
      <c r="J505" s="3">
        <v>67</v>
      </c>
      <c r="K505" s="4">
        <f t="shared" si="30"/>
        <v>16.918764677659656</v>
      </c>
      <c r="L505" s="1" t="str">
        <f t="shared" si="31"/>
        <v>Muito abaixo do peso</v>
      </c>
      <c r="M505" t="s">
        <v>14</v>
      </c>
    </row>
    <row r="506" spans="1:13" x14ac:dyDescent="0.25">
      <c r="A506">
        <v>505</v>
      </c>
      <c r="B506" t="s">
        <v>406</v>
      </c>
      <c r="C506" s="2" t="s">
        <v>407</v>
      </c>
      <c r="D506" s="2">
        <f t="shared" ca="1" si="28"/>
        <v>28</v>
      </c>
      <c r="E506" t="s">
        <v>23</v>
      </c>
      <c r="F506" t="s">
        <v>45</v>
      </c>
      <c r="G506" t="s">
        <v>46</v>
      </c>
      <c r="H506" t="str">
        <f t="shared" si="29"/>
        <v>Goiânia - GO</v>
      </c>
      <c r="I506" s="1" t="s">
        <v>117</v>
      </c>
      <c r="J506" s="3">
        <v>89</v>
      </c>
      <c r="K506" s="4">
        <f t="shared" si="30"/>
        <v>28.089887640449437</v>
      </c>
      <c r="L506" s="1" t="str">
        <f t="shared" si="31"/>
        <v>Levemente acima do peso</v>
      </c>
      <c r="M506" t="s">
        <v>95</v>
      </c>
    </row>
    <row r="507" spans="1:13" x14ac:dyDescent="0.25">
      <c r="A507">
        <v>506</v>
      </c>
      <c r="B507" t="s">
        <v>4119</v>
      </c>
      <c r="C507" s="2" t="s">
        <v>3830</v>
      </c>
      <c r="D507" s="2">
        <f t="shared" ca="1" si="28"/>
        <v>74</v>
      </c>
      <c r="E507" t="s">
        <v>23</v>
      </c>
      <c r="F507" t="s">
        <v>498</v>
      </c>
      <c r="G507" t="s">
        <v>131</v>
      </c>
      <c r="H507" t="str">
        <f t="shared" si="29"/>
        <v>Florianópolis - SC</v>
      </c>
      <c r="I507" s="1" t="s">
        <v>191</v>
      </c>
      <c r="J507" s="3">
        <v>71</v>
      </c>
      <c r="K507" s="4">
        <f t="shared" si="30"/>
        <v>27.734374999999993</v>
      </c>
      <c r="L507" s="1" t="str">
        <f t="shared" si="31"/>
        <v>Levemente acima do peso</v>
      </c>
      <c r="M507" t="s">
        <v>20</v>
      </c>
    </row>
    <row r="508" spans="1:13" x14ac:dyDescent="0.25">
      <c r="A508">
        <v>507</v>
      </c>
      <c r="B508" t="s">
        <v>2209</v>
      </c>
      <c r="C508" s="2" t="s">
        <v>2210</v>
      </c>
      <c r="D508" s="2">
        <f t="shared" ca="1" si="28"/>
        <v>61</v>
      </c>
      <c r="E508" t="s">
        <v>23</v>
      </c>
      <c r="F508" t="s">
        <v>2211</v>
      </c>
      <c r="G508" t="s">
        <v>186</v>
      </c>
      <c r="H508" t="str">
        <f t="shared" si="29"/>
        <v>Araxá - MG</v>
      </c>
      <c r="I508" s="1" t="s">
        <v>117</v>
      </c>
      <c r="J508" s="3">
        <v>62</v>
      </c>
      <c r="K508" s="4">
        <f t="shared" si="30"/>
        <v>19.568236333796236</v>
      </c>
      <c r="L508" s="1" t="str">
        <f t="shared" si="31"/>
        <v>Peso ideal - parabéns</v>
      </c>
      <c r="M508" t="s">
        <v>76</v>
      </c>
    </row>
    <row r="509" spans="1:13" x14ac:dyDescent="0.25">
      <c r="A509">
        <v>508</v>
      </c>
      <c r="B509" t="s">
        <v>737</v>
      </c>
      <c r="C509" s="2" t="s">
        <v>738</v>
      </c>
      <c r="D509" s="2">
        <f t="shared" ca="1" si="28"/>
        <v>44</v>
      </c>
      <c r="E509" t="s">
        <v>23</v>
      </c>
      <c r="F509" t="s">
        <v>69</v>
      </c>
      <c r="G509" t="s">
        <v>70</v>
      </c>
      <c r="H509" t="str">
        <f t="shared" si="29"/>
        <v>Aracaju - SE</v>
      </c>
      <c r="I509" s="1" t="s">
        <v>281</v>
      </c>
      <c r="J509" s="3">
        <v>60</v>
      </c>
      <c r="K509" s="4">
        <f t="shared" si="30"/>
        <v>22.862368541380881</v>
      </c>
      <c r="L509" s="1" t="str">
        <f t="shared" si="31"/>
        <v>Peso ideal - parabéns</v>
      </c>
      <c r="M509" t="s">
        <v>20</v>
      </c>
    </row>
    <row r="510" spans="1:13" x14ac:dyDescent="0.25">
      <c r="A510">
        <v>509</v>
      </c>
      <c r="B510" t="s">
        <v>924</v>
      </c>
      <c r="C510" s="2" t="s">
        <v>925</v>
      </c>
      <c r="D510" s="2">
        <f t="shared" ca="1" si="28"/>
        <v>35</v>
      </c>
      <c r="E510" t="s">
        <v>23</v>
      </c>
      <c r="F510" t="s">
        <v>208</v>
      </c>
      <c r="G510" t="s">
        <v>30</v>
      </c>
      <c r="H510" t="str">
        <f t="shared" si="29"/>
        <v>Ji-Paraná - RO</v>
      </c>
      <c r="I510" s="1" t="s">
        <v>104</v>
      </c>
      <c r="J510" s="3">
        <v>51</v>
      </c>
      <c r="K510" s="4">
        <f t="shared" si="30"/>
        <v>17.647058823529413</v>
      </c>
      <c r="L510" s="1" t="str">
        <f t="shared" si="31"/>
        <v>Abaixo do peso</v>
      </c>
      <c r="M510" t="s">
        <v>83</v>
      </c>
    </row>
    <row r="511" spans="1:13" x14ac:dyDescent="0.25">
      <c r="A511">
        <v>510</v>
      </c>
      <c r="B511" t="s">
        <v>3678</v>
      </c>
      <c r="C511" s="2" t="s">
        <v>3679</v>
      </c>
      <c r="D511" s="2">
        <f t="shared" ca="1" si="28"/>
        <v>77</v>
      </c>
      <c r="E511" t="s">
        <v>23</v>
      </c>
      <c r="F511" t="s">
        <v>158</v>
      </c>
      <c r="G511" t="s">
        <v>159</v>
      </c>
      <c r="H511" t="str">
        <f t="shared" si="29"/>
        <v>Brasília - DF</v>
      </c>
      <c r="I511" s="1" t="s">
        <v>191</v>
      </c>
      <c r="J511" s="3">
        <v>77</v>
      </c>
      <c r="K511" s="4">
        <f t="shared" si="30"/>
        <v>30.078124999999993</v>
      </c>
      <c r="L511" s="1" t="str">
        <f t="shared" si="31"/>
        <v>Obesidade grau I</v>
      </c>
      <c r="M511" t="s">
        <v>14</v>
      </c>
    </row>
    <row r="512" spans="1:13" x14ac:dyDescent="0.25">
      <c r="A512">
        <v>511</v>
      </c>
      <c r="B512" t="s">
        <v>2249</v>
      </c>
      <c r="C512" s="2" t="s">
        <v>2250</v>
      </c>
      <c r="D512" s="2">
        <f t="shared" ca="1" si="28"/>
        <v>55</v>
      </c>
      <c r="E512" t="s">
        <v>23</v>
      </c>
      <c r="F512" t="s">
        <v>74</v>
      </c>
      <c r="G512" t="s">
        <v>75</v>
      </c>
      <c r="H512" t="str">
        <f t="shared" si="29"/>
        <v>Macapá - AP</v>
      </c>
      <c r="I512" s="1" t="s">
        <v>19</v>
      </c>
      <c r="J512" s="3">
        <v>51</v>
      </c>
      <c r="K512" s="4">
        <f t="shared" si="30"/>
        <v>16.278847074595422</v>
      </c>
      <c r="L512" s="1" t="str">
        <f t="shared" si="31"/>
        <v>Muito abaixo do peso</v>
      </c>
      <c r="M512" t="s">
        <v>20</v>
      </c>
    </row>
    <row r="513" spans="1:13" x14ac:dyDescent="0.25">
      <c r="A513">
        <v>512</v>
      </c>
      <c r="B513" t="s">
        <v>3081</v>
      </c>
      <c r="C513" s="2" t="s">
        <v>3082</v>
      </c>
      <c r="D513" s="2">
        <f t="shared" ca="1" si="28"/>
        <v>56</v>
      </c>
      <c r="E513" t="s">
        <v>23</v>
      </c>
      <c r="F513" t="s">
        <v>236</v>
      </c>
      <c r="G513" t="s">
        <v>237</v>
      </c>
      <c r="H513" t="str">
        <f t="shared" si="29"/>
        <v>Teresina - PI</v>
      </c>
      <c r="I513" s="1" t="s">
        <v>166</v>
      </c>
      <c r="J513" s="3">
        <v>50</v>
      </c>
      <c r="K513" s="4">
        <f t="shared" si="30"/>
        <v>17.715419501133791</v>
      </c>
      <c r="L513" s="1" t="str">
        <f t="shared" si="31"/>
        <v>Abaixo do peso</v>
      </c>
      <c r="M513" t="s">
        <v>76</v>
      </c>
    </row>
    <row r="514" spans="1:13" x14ac:dyDescent="0.25">
      <c r="A514">
        <v>513</v>
      </c>
      <c r="B514" t="s">
        <v>4109</v>
      </c>
      <c r="C514" s="2" t="s">
        <v>4110</v>
      </c>
      <c r="D514" s="2">
        <f t="shared" ca="1" si="28"/>
        <v>59</v>
      </c>
      <c r="E514" t="s">
        <v>23</v>
      </c>
      <c r="F514" t="s">
        <v>280</v>
      </c>
      <c r="G514" t="s">
        <v>175</v>
      </c>
      <c r="H514" t="str">
        <f t="shared" si="29"/>
        <v>Recife - PE</v>
      </c>
      <c r="I514" s="1" t="s">
        <v>56</v>
      </c>
      <c r="J514" s="3">
        <v>54</v>
      </c>
      <c r="K514" s="4">
        <f t="shared" si="30"/>
        <v>18.906901018871892</v>
      </c>
      <c r="L514" s="1" t="str">
        <f t="shared" si="31"/>
        <v>Peso ideal - parabéns</v>
      </c>
      <c r="M514" t="s">
        <v>26</v>
      </c>
    </row>
    <row r="515" spans="1:13" x14ac:dyDescent="0.25">
      <c r="A515">
        <v>514</v>
      </c>
      <c r="B515" t="s">
        <v>3367</v>
      </c>
      <c r="C515" s="2" t="s">
        <v>1034</v>
      </c>
      <c r="D515" s="2">
        <f t="shared" ref="D515:D578" ca="1" si="32">YEAR(TODAY())-YEAR(C515)</f>
        <v>26</v>
      </c>
      <c r="E515" t="s">
        <v>23</v>
      </c>
      <c r="F515" t="s">
        <v>354</v>
      </c>
      <c r="G515" t="s">
        <v>30</v>
      </c>
      <c r="H515" t="str">
        <f t="shared" ref="H515:H578" si="33">CONCATENATE(F515," - ",G515)</f>
        <v>Porto Velho - RO</v>
      </c>
      <c r="I515" s="1" t="s">
        <v>582</v>
      </c>
      <c r="J515" s="3">
        <v>57</v>
      </c>
      <c r="K515" s="4">
        <f t="shared" ref="K515:K578" si="34">J515/(I515*I515)</f>
        <v>23.422090729783037</v>
      </c>
      <c r="L515" s="1" t="str">
        <f t="shared" ref="L515:L578" si="35">IF(K515&gt;=40,"Obesidade grau III - mórbida",
IF(K515&gt;=35,"Obesidade grau II - severa",
IF(K515&gt;=30,"Obesidade grau I",
IF(K515&gt;=25,"Levemente acima do peso",
IF(K515&gt;=18.6,"Peso ideal - parabéns",
IF(K515&gt;=17,"Abaixo do peso",
"Muito abaixo do peso"))))))</f>
        <v>Peso ideal - parabéns</v>
      </c>
      <c r="M515" t="s">
        <v>95</v>
      </c>
    </row>
    <row r="516" spans="1:13" x14ac:dyDescent="0.25">
      <c r="A516">
        <v>515</v>
      </c>
      <c r="B516" t="s">
        <v>258</v>
      </c>
      <c r="C516" s="2" t="s">
        <v>259</v>
      </c>
      <c r="D516" s="2">
        <f t="shared" ca="1" si="32"/>
        <v>53</v>
      </c>
      <c r="E516" t="s">
        <v>23</v>
      </c>
      <c r="F516" t="s">
        <v>158</v>
      </c>
      <c r="G516" t="s">
        <v>159</v>
      </c>
      <c r="H516" t="str">
        <f t="shared" si="33"/>
        <v>Brasília - DF</v>
      </c>
      <c r="I516" s="1" t="s">
        <v>213</v>
      </c>
      <c r="J516" s="3">
        <v>89</v>
      </c>
      <c r="K516" s="4">
        <f t="shared" si="34"/>
        <v>38.52146814404432</v>
      </c>
      <c r="L516" s="1" t="str">
        <f t="shared" si="35"/>
        <v>Obesidade grau II - severa</v>
      </c>
      <c r="M516" t="s">
        <v>20</v>
      </c>
    </row>
    <row r="517" spans="1:13" x14ac:dyDescent="0.25">
      <c r="A517">
        <v>516</v>
      </c>
      <c r="B517" t="s">
        <v>187</v>
      </c>
      <c r="C517" s="2" t="s">
        <v>188</v>
      </c>
      <c r="D517" s="2">
        <f t="shared" ca="1" si="32"/>
        <v>41</v>
      </c>
      <c r="E517" t="s">
        <v>23</v>
      </c>
      <c r="F517" t="s">
        <v>189</v>
      </c>
      <c r="G517" t="s">
        <v>190</v>
      </c>
      <c r="H517" t="str">
        <f t="shared" si="33"/>
        <v>Cuiabá - MT</v>
      </c>
      <c r="I517" s="1" t="s">
        <v>191</v>
      </c>
      <c r="J517" s="3">
        <v>51</v>
      </c>
      <c r="K517" s="4">
        <f t="shared" si="34"/>
        <v>19.921874999999996</v>
      </c>
      <c r="L517" s="1" t="str">
        <f t="shared" si="35"/>
        <v>Peso ideal - parabéns</v>
      </c>
      <c r="M517" t="s">
        <v>76</v>
      </c>
    </row>
    <row r="518" spans="1:13" x14ac:dyDescent="0.25">
      <c r="A518">
        <v>517</v>
      </c>
      <c r="B518" t="s">
        <v>2117</v>
      </c>
      <c r="C518" s="2" t="s">
        <v>2118</v>
      </c>
      <c r="D518" s="2">
        <f t="shared" ca="1" si="32"/>
        <v>21</v>
      </c>
      <c r="E518" t="s">
        <v>23</v>
      </c>
      <c r="F518" t="s">
        <v>107</v>
      </c>
      <c r="G518" t="s">
        <v>36</v>
      </c>
      <c r="H518" t="str">
        <f t="shared" si="33"/>
        <v>São Luís - MA</v>
      </c>
      <c r="I518" s="1" t="s">
        <v>360</v>
      </c>
      <c r="J518" s="3">
        <v>84</v>
      </c>
      <c r="K518" s="4">
        <f t="shared" si="34"/>
        <v>33.648453773433737</v>
      </c>
      <c r="L518" s="1" t="str">
        <f t="shared" si="35"/>
        <v>Obesidade grau I</v>
      </c>
      <c r="M518" t="s">
        <v>20</v>
      </c>
    </row>
    <row r="519" spans="1:13" x14ac:dyDescent="0.25">
      <c r="A519">
        <v>518</v>
      </c>
      <c r="B519" t="s">
        <v>3470</v>
      </c>
      <c r="C519" s="2" t="s">
        <v>3471</v>
      </c>
      <c r="D519" s="2">
        <f t="shared" ca="1" si="32"/>
        <v>72</v>
      </c>
      <c r="E519" t="s">
        <v>23</v>
      </c>
      <c r="F519" t="s">
        <v>111</v>
      </c>
      <c r="G519" t="s">
        <v>112</v>
      </c>
      <c r="H519" t="str">
        <f t="shared" si="33"/>
        <v>Tucuruí - PA</v>
      </c>
      <c r="I519" s="1" t="s">
        <v>171</v>
      </c>
      <c r="J519" s="3">
        <v>47</v>
      </c>
      <c r="K519" s="4">
        <f t="shared" si="34"/>
        <v>16.852522499910361</v>
      </c>
      <c r="L519" s="1" t="str">
        <f t="shared" si="35"/>
        <v>Muito abaixo do peso</v>
      </c>
      <c r="M519" t="s">
        <v>14</v>
      </c>
    </row>
    <row r="520" spans="1:13" x14ac:dyDescent="0.25">
      <c r="A520">
        <v>519</v>
      </c>
      <c r="B520" t="s">
        <v>1951</v>
      </c>
      <c r="C520" s="2" t="s">
        <v>1952</v>
      </c>
      <c r="D520" s="2">
        <f t="shared" ca="1" si="32"/>
        <v>64</v>
      </c>
      <c r="E520" t="s">
        <v>10</v>
      </c>
      <c r="F520" t="s">
        <v>1953</v>
      </c>
      <c r="G520" t="s">
        <v>75</v>
      </c>
      <c r="H520" t="str">
        <f t="shared" si="33"/>
        <v>Vitória do Jari - AP</v>
      </c>
      <c r="I520" s="1" t="s">
        <v>71</v>
      </c>
      <c r="J520" s="3">
        <v>106</v>
      </c>
      <c r="K520" s="4">
        <f t="shared" si="34"/>
        <v>31.652184299322162</v>
      </c>
      <c r="L520" s="1" t="str">
        <f t="shared" si="35"/>
        <v>Obesidade grau I</v>
      </c>
      <c r="M520" t="s">
        <v>47</v>
      </c>
    </row>
    <row r="521" spans="1:13" x14ac:dyDescent="0.25">
      <c r="A521">
        <v>520</v>
      </c>
      <c r="B521" t="s">
        <v>3268</v>
      </c>
      <c r="C521" s="2" t="s">
        <v>3269</v>
      </c>
      <c r="D521" s="2">
        <f t="shared" ca="1" si="32"/>
        <v>25</v>
      </c>
      <c r="E521" t="s">
        <v>10</v>
      </c>
      <c r="F521" t="s">
        <v>189</v>
      </c>
      <c r="G521" t="s">
        <v>190</v>
      </c>
      <c r="H521" t="str">
        <f t="shared" si="33"/>
        <v>Cuiabá - MT</v>
      </c>
      <c r="I521" s="1" t="s">
        <v>94</v>
      </c>
      <c r="J521" s="3">
        <v>75</v>
      </c>
      <c r="K521" s="4">
        <f t="shared" si="34"/>
        <v>25.059307026629689</v>
      </c>
      <c r="L521" s="1" t="str">
        <f t="shared" si="35"/>
        <v>Levemente acima do peso</v>
      </c>
      <c r="M521" t="s">
        <v>14</v>
      </c>
    </row>
    <row r="522" spans="1:13" x14ac:dyDescent="0.25">
      <c r="A522">
        <v>521</v>
      </c>
      <c r="B522" t="s">
        <v>2175</v>
      </c>
      <c r="C522" s="2" t="s">
        <v>2176</v>
      </c>
      <c r="D522" s="2">
        <f t="shared" ca="1" si="32"/>
        <v>33</v>
      </c>
      <c r="E522" t="s">
        <v>10</v>
      </c>
      <c r="F522" t="s">
        <v>1869</v>
      </c>
      <c r="G522" t="s">
        <v>310</v>
      </c>
      <c r="H522" t="str">
        <f t="shared" si="33"/>
        <v>Santana do Livramento - RS</v>
      </c>
      <c r="I522" s="1" t="s">
        <v>108</v>
      </c>
      <c r="J522" s="3">
        <v>107</v>
      </c>
      <c r="K522" s="4">
        <f t="shared" si="34"/>
        <v>29.330336339464381</v>
      </c>
      <c r="L522" s="1" t="str">
        <f t="shared" si="35"/>
        <v>Levemente acima do peso</v>
      </c>
      <c r="M522" t="s">
        <v>14</v>
      </c>
    </row>
    <row r="523" spans="1:13" x14ac:dyDescent="0.25">
      <c r="A523">
        <v>522</v>
      </c>
      <c r="B523" t="s">
        <v>2115</v>
      </c>
      <c r="C523" s="2" t="s">
        <v>815</v>
      </c>
      <c r="D523" s="2">
        <f t="shared" ca="1" si="32"/>
        <v>80</v>
      </c>
      <c r="E523" t="s">
        <v>10</v>
      </c>
      <c r="F523" t="s">
        <v>158</v>
      </c>
      <c r="G523" t="s">
        <v>159</v>
      </c>
      <c r="H523" t="str">
        <f t="shared" si="33"/>
        <v>Brasília - DF</v>
      </c>
      <c r="I523" s="1" t="s">
        <v>108</v>
      </c>
      <c r="J523" s="3">
        <v>98</v>
      </c>
      <c r="K523" s="4">
        <f t="shared" si="34"/>
        <v>26.863298703434666</v>
      </c>
      <c r="L523" s="1" t="str">
        <f t="shared" si="35"/>
        <v>Levemente acima do peso</v>
      </c>
      <c r="M523" t="s">
        <v>83</v>
      </c>
    </row>
    <row r="524" spans="1:13" x14ac:dyDescent="0.25">
      <c r="A524">
        <v>523</v>
      </c>
      <c r="B524" t="s">
        <v>1103</v>
      </c>
      <c r="C524" s="2" t="s">
        <v>1104</v>
      </c>
      <c r="D524" s="2">
        <f t="shared" ca="1" si="32"/>
        <v>23</v>
      </c>
      <c r="E524" t="s">
        <v>10</v>
      </c>
      <c r="F524" t="s">
        <v>1105</v>
      </c>
      <c r="G524" t="s">
        <v>310</v>
      </c>
      <c r="H524" t="str">
        <f t="shared" si="33"/>
        <v>Novo Hamburgo - RS</v>
      </c>
      <c r="I524" s="1" t="s">
        <v>166</v>
      </c>
      <c r="J524" s="3">
        <v>74</v>
      </c>
      <c r="K524" s="4">
        <f t="shared" si="34"/>
        <v>26.218820861678008</v>
      </c>
      <c r="L524" s="1" t="str">
        <f t="shared" si="35"/>
        <v>Levemente acima do peso</v>
      </c>
      <c r="M524" t="s">
        <v>47</v>
      </c>
    </row>
    <row r="525" spans="1:13" x14ac:dyDescent="0.25">
      <c r="A525">
        <v>524</v>
      </c>
      <c r="B525" t="s">
        <v>3362</v>
      </c>
      <c r="C525" s="2" t="s">
        <v>3363</v>
      </c>
      <c r="D525" s="2">
        <f t="shared" ca="1" si="32"/>
        <v>36</v>
      </c>
      <c r="E525" t="s">
        <v>10</v>
      </c>
      <c r="F525" t="s">
        <v>422</v>
      </c>
      <c r="G525" t="s">
        <v>65</v>
      </c>
      <c r="H525" t="str">
        <f t="shared" si="33"/>
        <v>Feira de Santana - BA</v>
      </c>
      <c r="I525" s="1" t="s">
        <v>639</v>
      </c>
      <c r="J525" s="3">
        <v>106</v>
      </c>
      <c r="K525" s="4">
        <f t="shared" si="34"/>
        <v>26.5</v>
      </c>
      <c r="L525" s="1" t="str">
        <f t="shared" si="35"/>
        <v>Levemente acima do peso</v>
      </c>
      <c r="M525" t="s">
        <v>26</v>
      </c>
    </row>
    <row r="526" spans="1:13" x14ac:dyDescent="0.25">
      <c r="A526">
        <v>525</v>
      </c>
      <c r="B526" t="s">
        <v>2444</v>
      </c>
      <c r="C526" s="2" t="s">
        <v>2445</v>
      </c>
      <c r="D526" s="2">
        <f t="shared" ca="1" si="32"/>
        <v>47</v>
      </c>
      <c r="E526" t="s">
        <v>10</v>
      </c>
      <c r="F526" t="s">
        <v>69</v>
      </c>
      <c r="G526" t="s">
        <v>70</v>
      </c>
      <c r="H526" t="str">
        <f t="shared" si="33"/>
        <v>Aracaju - SE</v>
      </c>
      <c r="I526" s="1" t="s">
        <v>71</v>
      </c>
      <c r="J526" s="3">
        <v>84</v>
      </c>
      <c r="K526" s="4">
        <f t="shared" si="34"/>
        <v>25.082863029651524</v>
      </c>
      <c r="L526" s="1" t="str">
        <f t="shared" si="35"/>
        <v>Levemente acima do peso</v>
      </c>
      <c r="M526" t="s">
        <v>26</v>
      </c>
    </row>
    <row r="527" spans="1:13" x14ac:dyDescent="0.25">
      <c r="A527">
        <v>526</v>
      </c>
      <c r="B527" t="s">
        <v>3788</v>
      </c>
      <c r="C527" s="2" t="s">
        <v>3789</v>
      </c>
      <c r="D527" s="2">
        <f t="shared" ca="1" si="32"/>
        <v>64</v>
      </c>
      <c r="E527" t="s">
        <v>10</v>
      </c>
      <c r="F527" t="s">
        <v>3677</v>
      </c>
      <c r="G527" t="s">
        <v>131</v>
      </c>
      <c r="H527" t="str">
        <f t="shared" si="33"/>
        <v>Araranguá - SC</v>
      </c>
      <c r="I527" s="1" t="s">
        <v>191</v>
      </c>
      <c r="J527" s="3">
        <v>50</v>
      </c>
      <c r="K527" s="4">
        <f t="shared" si="34"/>
        <v>19.531249999999996</v>
      </c>
      <c r="L527" s="1" t="str">
        <f t="shared" si="35"/>
        <v>Peso ideal - parabéns</v>
      </c>
      <c r="M527" t="s">
        <v>26</v>
      </c>
    </row>
    <row r="528" spans="1:13" x14ac:dyDescent="0.25">
      <c r="A528">
        <v>527</v>
      </c>
      <c r="B528" t="s">
        <v>3788</v>
      </c>
      <c r="C528" s="2" t="s">
        <v>3789</v>
      </c>
      <c r="D528" s="2">
        <f t="shared" ca="1" si="32"/>
        <v>64</v>
      </c>
      <c r="E528" t="s">
        <v>10</v>
      </c>
      <c r="F528" t="s">
        <v>3677</v>
      </c>
      <c r="G528" t="s">
        <v>131</v>
      </c>
      <c r="H528" t="str">
        <f t="shared" si="33"/>
        <v>Araranguá - SC</v>
      </c>
      <c r="I528" s="1" t="s">
        <v>191</v>
      </c>
      <c r="J528" s="3">
        <v>50</v>
      </c>
      <c r="K528" s="4">
        <f t="shared" si="34"/>
        <v>19.531249999999996</v>
      </c>
      <c r="L528" s="1" t="str">
        <f t="shared" si="35"/>
        <v>Peso ideal - parabéns</v>
      </c>
      <c r="M528" t="s">
        <v>26</v>
      </c>
    </row>
    <row r="529" spans="1:13" x14ac:dyDescent="0.25">
      <c r="A529">
        <v>528</v>
      </c>
      <c r="B529" t="s">
        <v>521</v>
      </c>
      <c r="C529" s="2" t="s">
        <v>522</v>
      </c>
      <c r="D529" s="2">
        <f t="shared" ca="1" si="32"/>
        <v>78</v>
      </c>
      <c r="E529" t="s">
        <v>10</v>
      </c>
      <c r="F529" t="s">
        <v>523</v>
      </c>
      <c r="G529" t="s">
        <v>273</v>
      </c>
      <c r="H529" t="str">
        <f t="shared" si="33"/>
        <v>Viana - ES</v>
      </c>
      <c r="I529" s="1" t="s">
        <v>148</v>
      </c>
      <c r="J529" s="3">
        <v>94</v>
      </c>
      <c r="K529" s="4">
        <f t="shared" si="34"/>
        <v>24.720578566732414</v>
      </c>
      <c r="L529" s="1" t="str">
        <f t="shared" si="35"/>
        <v>Peso ideal - parabéns</v>
      </c>
      <c r="M529" t="s">
        <v>47</v>
      </c>
    </row>
    <row r="530" spans="1:13" x14ac:dyDescent="0.25">
      <c r="A530">
        <v>529</v>
      </c>
      <c r="B530" t="s">
        <v>1674</v>
      </c>
      <c r="C530" s="2" t="s">
        <v>1675</v>
      </c>
      <c r="D530" s="2">
        <f t="shared" ca="1" si="32"/>
        <v>37</v>
      </c>
      <c r="E530" t="s">
        <v>10</v>
      </c>
      <c r="F530" t="s">
        <v>1676</v>
      </c>
      <c r="G530" t="s">
        <v>103</v>
      </c>
      <c r="H530" t="str">
        <f t="shared" si="33"/>
        <v>Atibaia - SP</v>
      </c>
      <c r="I530" s="1" t="s">
        <v>400</v>
      </c>
      <c r="J530" s="3">
        <v>67</v>
      </c>
      <c r="K530" s="4">
        <f t="shared" si="34"/>
        <v>20.679012345679013</v>
      </c>
      <c r="L530" s="1" t="str">
        <f t="shared" si="35"/>
        <v>Peso ideal - parabéns</v>
      </c>
      <c r="M530" t="s">
        <v>14</v>
      </c>
    </row>
    <row r="531" spans="1:13" x14ac:dyDescent="0.25">
      <c r="A531">
        <v>530</v>
      </c>
      <c r="B531" t="s">
        <v>2269</v>
      </c>
      <c r="C531" s="2" t="s">
        <v>2270</v>
      </c>
      <c r="D531" s="2">
        <f t="shared" ca="1" si="32"/>
        <v>34</v>
      </c>
      <c r="E531" t="s">
        <v>23</v>
      </c>
      <c r="F531" t="s">
        <v>236</v>
      </c>
      <c r="G531" t="s">
        <v>237</v>
      </c>
      <c r="H531" t="str">
        <f t="shared" si="33"/>
        <v>Teresina - PI</v>
      </c>
      <c r="I531" s="1" t="s">
        <v>484</v>
      </c>
      <c r="J531" s="3">
        <v>50</v>
      </c>
      <c r="K531" s="4">
        <f t="shared" si="34"/>
        <v>20.811654526534856</v>
      </c>
      <c r="L531" s="1" t="str">
        <f t="shared" si="35"/>
        <v>Peso ideal - parabéns</v>
      </c>
      <c r="M531" t="s">
        <v>32</v>
      </c>
    </row>
    <row r="532" spans="1:13" x14ac:dyDescent="0.25">
      <c r="A532">
        <v>531</v>
      </c>
      <c r="B532" t="s">
        <v>21</v>
      </c>
      <c r="C532" s="2" t="s">
        <v>22</v>
      </c>
      <c r="D532" s="2">
        <f t="shared" ca="1" si="32"/>
        <v>43</v>
      </c>
      <c r="E532" t="s">
        <v>23</v>
      </c>
      <c r="F532" t="s">
        <v>24</v>
      </c>
      <c r="G532" t="s">
        <v>25</v>
      </c>
      <c r="H532" t="str">
        <f t="shared" si="33"/>
        <v>Natal - RN</v>
      </c>
      <c r="I532" s="1" t="s">
        <v>19</v>
      </c>
      <c r="J532" s="3">
        <v>84</v>
      </c>
      <c r="K532" s="4">
        <f t="shared" si="34"/>
        <v>26.812218711098343</v>
      </c>
      <c r="L532" s="1" t="str">
        <f t="shared" si="35"/>
        <v>Levemente acima do peso</v>
      </c>
      <c r="M532" t="s">
        <v>26</v>
      </c>
    </row>
    <row r="533" spans="1:13" x14ac:dyDescent="0.25">
      <c r="A533">
        <v>532</v>
      </c>
      <c r="B533" t="s">
        <v>4183</v>
      </c>
      <c r="C533" s="2" t="s">
        <v>4184</v>
      </c>
      <c r="D533" s="2">
        <f t="shared" ca="1" si="32"/>
        <v>47</v>
      </c>
      <c r="E533" t="s">
        <v>23</v>
      </c>
      <c r="F533" t="s">
        <v>126</v>
      </c>
      <c r="G533" t="s">
        <v>127</v>
      </c>
      <c r="H533" t="str">
        <f t="shared" si="33"/>
        <v>Boa Vista - RR</v>
      </c>
      <c r="I533" s="1" t="s">
        <v>247</v>
      </c>
      <c r="J533" s="3">
        <v>81</v>
      </c>
      <c r="K533" s="4">
        <f t="shared" si="34"/>
        <v>36</v>
      </c>
      <c r="L533" s="1" t="str">
        <f t="shared" si="35"/>
        <v>Obesidade grau II - severa</v>
      </c>
      <c r="M533" t="s">
        <v>47</v>
      </c>
    </row>
    <row r="534" spans="1:13" x14ac:dyDescent="0.25">
      <c r="A534">
        <v>533</v>
      </c>
      <c r="B534" t="s">
        <v>1781</v>
      </c>
      <c r="C534" s="2" t="s">
        <v>1782</v>
      </c>
      <c r="D534" s="2">
        <f t="shared" ca="1" si="32"/>
        <v>39</v>
      </c>
      <c r="E534" t="s">
        <v>23</v>
      </c>
      <c r="F534" t="s">
        <v>182</v>
      </c>
      <c r="G534" t="s">
        <v>55</v>
      </c>
      <c r="H534" t="str">
        <f t="shared" si="33"/>
        <v>Curitiba - PR</v>
      </c>
      <c r="I534" s="1" t="s">
        <v>123</v>
      </c>
      <c r="J534" s="3">
        <v>62</v>
      </c>
      <c r="K534" s="4">
        <f t="shared" si="34"/>
        <v>20.015495867768596</v>
      </c>
      <c r="L534" s="1" t="str">
        <f t="shared" si="35"/>
        <v>Peso ideal - parabéns</v>
      </c>
      <c r="M534" t="s">
        <v>47</v>
      </c>
    </row>
    <row r="535" spans="1:13" x14ac:dyDescent="0.25">
      <c r="A535">
        <v>534</v>
      </c>
      <c r="B535" t="s">
        <v>3373</v>
      </c>
      <c r="C535" s="2" t="s">
        <v>3374</v>
      </c>
      <c r="D535" s="2">
        <f t="shared" ca="1" si="32"/>
        <v>43</v>
      </c>
      <c r="E535" t="s">
        <v>23</v>
      </c>
      <c r="F535" t="s">
        <v>681</v>
      </c>
      <c r="G535" t="s">
        <v>175</v>
      </c>
      <c r="H535" t="str">
        <f t="shared" si="33"/>
        <v>Jaboatão dos Guararapes - PE</v>
      </c>
      <c r="I535" s="1" t="s">
        <v>198</v>
      </c>
      <c r="J535" s="3">
        <v>70</v>
      </c>
      <c r="K535" s="4">
        <f t="shared" si="34"/>
        <v>28.398718000730252</v>
      </c>
      <c r="L535" s="1" t="str">
        <f t="shared" si="35"/>
        <v>Levemente acima do peso</v>
      </c>
      <c r="M535" t="s">
        <v>32</v>
      </c>
    </row>
    <row r="536" spans="1:13" x14ac:dyDescent="0.25">
      <c r="A536">
        <v>535</v>
      </c>
      <c r="B536" t="s">
        <v>4107</v>
      </c>
      <c r="C536" s="2" t="s">
        <v>4108</v>
      </c>
      <c r="D536" s="2">
        <f t="shared" ca="1" si="32"/>
        <v>27</v>
      </c>
      <c r="E536" t="s">
        <v>23</v>
      </c>
      <c r="F536" t="s">
        <v>457</v>
      </c>
      <c r="G536" t="s">
        <v>41</v>
      </c>
      <c r="H536" t="str">
        <f t="shared" si="33"/>
        <v>João Pessoa - PB</v>
      </c>
      <c r="I536" s="1" t="s">
        <v>13</v>
      </c>
      <c r="J536" s="3">
        <v>77</v>
      </c>
      <c r="K536" s="4">
        <f t="shared" si="34"/>
        <v>26.332888752094664</v>
      </c>
      <c r="L536" s="1" t="str">
        <f t="shared" si="35"/>
        <v>Levemente acima do peso</v>
      </c>
      <c r="M536" t="s">
        <v>47</v>
      </c>
    </row>
    <row r="537" spans="1:13" x14ac:dyDescent="0.25">
      <c r="A537">
        <v>536</v>
      </c>
      <c r="B537" t="s">
        <v>2810</v>
      </c>
      <c r="C537" s="2" t="s">
        <v>2811</v>
      </c>
      <c r="D537" s="2">
        <f t="shared" ca="1" si="32"/>
        <v>71</v>
      </c>
      <c r="E537" t="s">
        <v>23</v>
      </c>
      <c r="F537" t="s">
        <v>564</v>
      </c>
      <c r="G537" t="s">
        <v>565</v>
      </c>
      <c r="H537" t="str">
        <f t="shared" si="33"/>
        <v>Rio Branco - AC</v>
      </c>
      <c r="I537" s="1" t="s">
        <v>209</v>
      </c>
      <c r="J537" s="3">
        <v>67</v>
      </c>
      <c r="K537" s="4">
        <f t="shared" si="34"/>
        <v>28.250969809411369</v>
      </c>
      <c r="L537" s="1" t="str">
        <f t="shared" si="35"/>
        <v>Levemente acima do peso</v>
      </c>
      <c r="M537" t="s">
        <v>83</v>
      </c>
    </row>
    <row r="538" spans="1:13" x14ac:dyDescent="0.25">
      <c r="A538">
        <v>537</v>
      </c>
      <c r="B538" t="s">
        <v>3368</v>
      </c>
      <c r="C538" s="2" t="s">
        <v>3101</v>
      </c>
      <c r="D538" s="2">
        <f t="shared" ca="1" si="32"/>
        <v>22</v>
      </c>
      <c r="E538" t="s">
        <v>23</v>
      </c>
      <c r="F538" t="s">
        <v>272</v>
      </c>
      <c r="G538" t="s">
        <v>273</v>
      </c>
      <c r="H538" t="str">
        <f t="shared" si="33"/>
        <v>Vitória - ES</v>
      </c>
      <c r="I538" s="1" t="s">
        <v>198</v>
      </c>
      <c r="J538" s="3">
        <v>46</v>
      </c>
      <c r="K538" s="4">
        <f t="shared" si="34"/>
        <v>18.662014686194166</v>
      </c>
      <c r="L538" s="1" t="str">
        <f t="shared" si="35"/>
        <v>Peso ideal - parabéns</v>
      </c>
      <c r="M538" t="s">
        <v>76</v>
      </c>
    </row>
    <row r="539" spans="1:13" x14ac:dyDescent="0.25">
      <c r="A539">
        <v>538</v>
      </c>
      <c r="B539" t="s">
        <v>442</v>
      </c>
      <c r="C539" s="2" t="s">
        <v>443</v>
      </c>
      <c r="D539" s="2">
        <f t="shared" ca="1" si="32"/>
        <v>51</v>
      </c>
      <c r="E539" t="s">
        <v>23</v>
      </c>
      <c r="F539" t="s">
        <v>89</v>
      </c>
      <c r="G539" t="s">
        <v>12</v>
      </c>
      <c r="H539" t="str">
        <f t="shared" si="33"/>
        <v>Fortaleza - CE</v>
      </c>
      <c r="I539" s="1" t="s">
        <v>56</v>
      </c>
      <c r="J539" s="3">
        <v>81</v>
      </c>
      <c r="K539" s="4">
        <f t="shared" si="34"/>
        <v>28.360351528307834</v>
      </c>
      <c r="L539" s="1" t="str">
        <f t="shared" si="35"/>
        <v>Levemente acima do peso</v>
      </c>
      <c r="M539" t="s">
        <v>95</v>
      </c>
    </row>
    <row r="540" spans="1:13" x14ac:dyDescent="0.25">
      <c r="A540">
        <v>539</v>
      </c>
      <c r="B540" t="s">
        <v>682</v>
      </c>
      <c r="C540" s="2" t="s">
        <v>683</v>
      </c>
      <c r="D540" s="2">
        <f t="shared" ca="1" si="32"/>
        <v>31</v>
      </c>
      <c r="E540" t="s">
        <v>23</v>
      </c>
      <c r="F540" t="s">
        <v>153</v>
      </c>
      <c r="G540" t="s">
        <v>154</v>
      </c>
      <c r="H540" t="str">
        <f t="shared" si="33"/>
        <v>Manaus - AM</v>
      </c>
      <c r="I540" s="1" t="s">
        <v>94</v>
      </c>
      <c r="J540" s="3">
        <v>46</v>
      </c>
      <c r="K540" s="4">
        <f t="shared" si="34"/>
        <v>15.36970830966621</v>
      </c>
      <c r="L540" s="1" t="str">
        <f t="shared" si="35"/>
        <v>Muito abaixo do peso</v>
      </c>
      <c r="M540" t="s">
        <v>76</v>
      </c>
    </row>
    <row r="541" spans="1:13" x14ac:dyDescent="0.25">
      <c r="A541">
        <v>540</v>
      </c>
      <c r="B541" t="s">
        <v>3914</v>
      </c>
      <c r="C541" s="2" t="s">
        <v>1770</v>
      </c>
      <c r="D541" s="2">
        <f t="shared" ca="1" si="32"/>
        <v>73</v>
      </c>
      <c r="E541" t="s">
        <v>23</v>
      </c>
      <c r="F541" t="s">
        <v>59</v>
      </c>
      <c r="G541" t="s">
        <v>60</v>
      </c>
      <c r="H541" t="str">
        <f t="shared" si="33"/>
        <v>Palmas - TO</v>
      </c>
      <c r="I541" s="1" t="s">
        <v>194</v>
      </c>
      <c r="J541" s="3">
        <v>49</v>
      </c>
      <c r="K541" s="4">
        <f t="shared" si="34"/>
        <v>14.317019722425126</v>
      </c>
      <c r="L541" s="1" t="str">
        <f t="shared" si="35"/>
        <v>Muito abaixo do peso</v>
      </c>
      <c r="M541" t="s">
        <v>32</v>
      </c>
    </row>
    <row r="542" spans="1:13" x14ac:dyDescent="0.25">
      <c r="A542">
        <v>541</v>
      </c>
      <c r="B542" t="s">
        <v>4186</v>
      </c>
      <c r="C542" s="2" t="s">
        <v>3506</v>
      </c>
      <c r="D542" s="2">
        <f t="shared" ca="1" si="32"/>
        <v>36</v>
      </c>
      <c r="E542" t="s">
        <v>23</v>
      </c>
      <c r="F542" t="s">
        <v>457</v>
      </c>
      <c r="G542" t="s">
        <v>41</v>
      </c>
      <c r="H542" t="str">
        <f t="shared" si="33"/>
        <v>João Pessoa - PB</v>
      </c>
      <c r="I542" s="1" t="s">
        <v>191</v>
      </c>
      <c r="J542" s="3">
        <v>51</v>
      </c>
      <c r="K542" s="4">
        <f t="shared" si="34"/>
        <v>19.921874999999996</v>
      </c>
      <c r="L542" s="1" t="str">
        <f t="shared" si="35"/>
        <v>Peso ideal - parabéns</v>
      </c>
      <c r="M542" t="s">
        <v>32</v>
      </c>
    </row>
    <row r="543" spans="1:13" x14ac:dyDescent="0.25">
      <c r="A543">
        <v>542</v>
      </c>
      <c r="B543" t="s">
        <v>2312</v>
      </c>
      <c r="C543" s="2" t="s">
        <v>2313</v>
      </c>
      <c r="D543" s="2">
        <f t="shared" ca="1" si="32"/>
        <v>33</v>
      </c>
      <c r="E543" t="s">
        <v>23</v>
      </c>
      <c r="F543" t="s">
        <v>231</v>
      </c>
      <c r="G543" t="s">
        <v>18</v>
      </c>
      <c r="H543" t="str">
        <f t="shared" si="33"/>
        <v>Ponta Porã - MS</v>
      </c>
      <c r="I543" s="1" t="s">
        <v>209</v>
      </c>
      <c r="J543" s="3">
        <v>56</v>
      </c>
      <c r="K543" s="4">
        <f t="shared" si="34"/>
        <v>23.61275088547816</v>
      </c>
      <c r="L543" s="1" t="str">
        <f t="shared" si="35"/>
        <v>Peso ideal - parabéns</v>
      </c>
      <c r="M543" t="s">
        <v>95</v>
      </c>
    </row>
    <row r="544" spans="1:13" x14ac:dyDescent="0.25">
      <c r="A544">
        <v>543</v>
      </c>
      <c r="B544" t="s">
        <v>2758</v>
      </c>
      <c r="C544" s="2" t="s">
        <v>2759</v>
      </c>
      <c r="D544" s="2">
        <f t="shared" ca="1" si="32"/>
        <v>62</v>
      </c>
      <c r="E544" t="s">
        <v>23</v>
      </c>
      <c r="F544" t="s">
        <v>2760</v>
      </c>
      <c r="G544" t="s">
        <v>55</v>
      </c>
      <c r="H544" t="str">
        <f t="shared" si="33"/>
        <v>Arapongas - PR</v>
      </c>
      <c r="I544" s="1" t="s">
        <v>447</v>
      </c>
      <c r="J544" s="3">
        <v>84</v>
      </c>
      <c r="K544" s="4">
        <f t="shared" si="34"/>
        <v>27.428571428571427</v>
      </c>
      <c r="L544" s="1" t="str">
        <f t="shared" si="35"/>
        <v>Levemente acima do peso</v>
      </c>
      <c r="M544" t="s">
        <v>95</v>
      </c>
    </row>
    <row r="545" spans="1:13" x14ac:dyDescent="0.25">
      <c r="A545">
        <v>544</v>
      </c>
      <c r="B545" t="s">
        <v>2874</v>
      </c>
      <c r="C545" s="2" t="s">
        <v>2875</v>
      </c>
      <c r="D545" s="2">
        <f t="shared" ca="1" si="32"/>
        <v>22</v>
      </c>
      <c r="E545" t="s">
        <v>23</v>
      </c>
      <c r="F545" t="s">
        <v>204</v>
      </c>
      <c r="G545" t="s">
        <v>112</v>
      </c>
      <c r="H545" t="str">
        <f t="shared" si="33"/>
        <v>Belém - PA</v>
      </c>
      <c r="I545" s="1" t="s">
        <v>213</v>
      </c>
      <c r="J545" s="3">
        <v>74</v>
      </c>
      <c r="K545" s="4">
        <f t="shared" si="34"/>
        <v>32.029085872576175</v>
      </c>
      <c r="L545" s="1" t="str">
        <f t="shared" si="35"/>
        <v>Obesidade grau I</v>
      </c>
      <c r="M545" t="s">
        <v>14</v>
      </c>
    </row>
    <row r="546" spans="1:13" x14ac:dyDescent="0.25">
      <c r="A546">
        <v>545</v>
      </c>
      <c r="B546" t="s">
        <v>901</v>
      </c>
      <c r="C546" s="2" t="s">
        <v>902</v>
      </c>
      <c r="D546" s="2">
        <f t="shared" ca="1" si="32"/>
        <v>81</v>
      </c>
      <c r="E546" t="s">
        <v>23</v>
      </c>
      <c r="F546" t="s">
        <v>564</v>
      </c>
      <c r="G546" t="s">
        <v>565</v>
      </c>
      <c r="H546" t="str">
        <f t="shared" si="33"/>
        <v>Rio Branco - AC</v>
      </c>
      <c r="I546" s="1" t="s">
        <v>194</v>
      </c>
      <c r="J546" s="3">
        <v>77</v>
      </c>
      <c r="K546" s="4">
        <f t="shared" si="34"/>
        <v>22.498173849525198</v>
      </c>
      <c r="L546" s="1" t="str">
        <f t="shared" si="35"/>
        <v>Peso ideal - parabéns</v>
      </c>
      <c r="M546" t="s">
        <v>95</v>
      </c>
    </row>
    <row r="547" spans="1:13" x14ac:dyDescent="0.25">
      <c r="A547">
        <v>546</v>
      </c>
      <c r="B547" t="s">
        <v>1462</v>
      </c>
      <c r="C547" s="2" t="s">
        <v>1463</v>
      </c>
      <c r="D547" s="2">
        <f t="shared" ca="1" si="32"/>
        <v>30</v>
      </c>
      <c r="E547" t="s">
        <v>23</v>
      </c>
      <c r="F547" t="s">
        <v>169</v>
      </c>
      <c r="G547" t="s">
        <v>170</v>
      </c>
      <c r="H547" t="str">
        <f t="shared" si="33"/>
        <v>Maceió - AL</v>
      </c>
      <c r="I547" s="1" t="s">
        <v>281</v>
      </c>
      <c r="J547" s="3">
        <v>79</v>
      </c>
      <c r="K547" s="4">
        <f t="shared" si="34"/>
        <v>30.102118579484827</v>
      </c>
      <c r="L547" s="1" t="str">
        <f t="shared" si="35"/>
        <v>Obesidade grau I</v>
      </c>
      <c r="M547" t="s">
        <v>20</v>
      </c>
    </row>
    <row r="548" spans="1:13" x14ac:dyDescent="0.25">
      <c r="A548">
        <v>547</v>
      </c>
      <c r="B548" t="s">
        <v>2925</v>
      </c>
      <c r="C548" s="2" t="s">
        <v>2926</v>
      </c>
      <c r="D548" s="2">
        <f t="shared" ca="1" si="32"/>
        <v>73</v>
      </c>
      <c r="E548" t="s">
        <v>23</v>
      </c>
      <c r="F548" t="s">
        <v>383</v>
      </c>
      <c r="G548" t="s">
        <v>237</v>
      </c>
      <c r="H548" t="str">
        <f t="shared" si="33"/>
        <v>Parnaíba - PI</v>
      </c>
      <c r="I548" s="1" t="s">
        <v>117</v>
      </c>
      <c r="J548" s="3">
        <v>51</v>
      </c>
      <c r="K548" s="4">
        <f t="shared" si="34"/>
        <v>16.09645246812271</v>
      </c>
      <c r="L548" s="1" t="str">
        <f t="shared" si="35"/>
        <v>Muito abaixo do peso</v>
      </c>
      <c r="M548" t="s">
        <v>83</v>
      </c>
    </row>
    <row r="549" spans="1:13" x14ac:dyDescent="0.25">
      <c r="A549">
        <v>548</v>
      </c>
      <c r="B549" t="s">
        <v>2334</v>
      </c>
      <c r="C549" s="2" t="s">
        <v>2052</v>
      </c>
      <c r="D549" s="2">
        <f t="shared" ca="1" si="32"/>
        <v>24</v>
      </c>
      <c r="E549" t="s">
        <v>23</v>
      </c>
      <c r="F549" t="s">
        <v>74</v>
      </c>
      <c r="G549" t="s">
        <v>75</v>
      </c>
      <c r="H549" t="str">
        <f t="shared" si="33"/>
        <v>Macapá - AP</v>
      </c>
      <c r="I549" s="1" t="s">
        <v>90</v>
      </c>
      <c r="J549" s="3">
        <v>58</v>
      </c>
      <c r="K549" s="4">
        <f t="shared" si="34"/>
        <v>19.605191995673341</v>
      </c>
      <c r="L549" s="1" t="str">
        <f t="shared" si="35"/>
        <v>Peso ideal - parabéns</v>
      </c>
      <c r="M549" t="s">
        <v>26</v>
      </c>
    </row>
    <row r="550" spans="1:13" x14ac:dyDescent="0.25">
      <c r="A550">
        <v>549</v>
      </c>
      <c r="B550" t="s">
        <v>300</v>
      </c>
      <c r="C550" s="2" t="s">
        <v>301</v>
      </c>
      <c r="D550" s="2">
        <f t="shared" ca="1" si="32"/>
        <v>21</v>
      </c>
      <c r="E550" t="s">
        <v>23</v>
      </c>
      <c r="F550" t="s">
        <v>107</v>
      </c>
      <c r="G550" t="s">
        <v>36</v>
      </c>
      <c r="H550" t="str">
        <f t="shared" si="33"/>
        <v>São Luís - MA</v>
      </c>
      <c r="I550" s="1" t="s">
        <v>302</v>
      </c>
      <c r="J550" s="3">
        <v>86</v>
      </c>
      <c r="K550" s="4">
        <f t="shared" si="34"/>
        <v>37.717643962984077</v>
      </c>
      <c r="L550" s="1" t="str">
        <f t="shared" si="35"/>
        <v>Obesidade grau II - severa</v>
      </c>
      <c r="M550" t="s">
        <v>47</v>
      </c>
    </row>
    <row r="551" spans="1:13" x14ac:dyDescent="0.25">
      <c r="A551">
        <v>550</v>
      </c>
      <c r="B551" t="s">
        <v>2595</v>
      </c>
      <c r="C551" s="2" t="s">
        <v>2596</v>
      </c>
      <c r="D551" s="2">
        <f t="shared" ca="1" si="32"/>
        <v>65</v>
      </c>
      <c r="E551" t="s">
        <v>23</v>
      </c>
      <c r="F551" t="s">
        <v>64</v>
      </c>
      <c r="G551" t="s">
        <v>65</v>
      </c>
      <c r="H551" t="str">
        <f t="shared" si="33"/>
        <v>Salvador - BA</v>
      </c>
      <c r="I551" s="1" t="s">
        <v>42</v>
      </c>
      <c r="J551" s="3">
        <v>63</v>
      </c>
      <c r="K551" s="4">
        <f t="shared" si="34"/>
        <v>19.662307668299992</v>
      </c>
      <c r="L551" s="1" t="str">
        <f t="shared" si="35"/>
        <v>Peso ideal - parabéns</v>
      </c>
      <c r="M551" t="s">
        <v>95</v>
      </c>
    </row>
    <row r="552" spans="1:13" x14ac:dyDescent="0.25">
      <c r="A552">
        <v>551</v>
      </c>
      <c r="B552" t="s">
        <v>1703</v>
      </c>
      <c r="C552" s="2" t="s">
        <v>1704</v>
      </c>
      <c r="D552" s="2">
        <f t="shared" ca="1" si="32"/>
        <v>74</v>
      </c>
      <c r="E552" t="s">
        <v>23</v>
      </c>
      <c r="F552" t="s">
        <v>796</v>
      </c>
      <c r="G552" t="s">
        <v>131</v>
      </c>
      <c r="H552" t="str">
        <f t="shared" si="33"/>
        <v>Joinville - SC</v>
      </c>
      <c r="I552" s="1" t="s">
        <v>104</v>
      </c>
      <c r="J552" s="3">
        <v>53</v>
      </c>
      <c r="K552" s="4">
        <f t="shared" si="34"/>
        <v>18.339100346020764</v>
      </c>
      <c r="L552" s="1" t="str">
        <f t="shared" si="35"/>
        <v>Abaixo do peso</v>
      </c>
      <c r="M552" t="s">
        <v>20</v>
      </c>
    </row>
    <row r="553" spans="1:13" x14ac:dyDescent="0.25">
      <c r="A553">
        <v>552</v>
      </c>
      <c r="B553" t="s">
        <v>3412</v>
      </c>
      <c r="C553" s="2" t="s">
        <v>2988</v>
      </c>
      <c r="D553" s="2">
        <f t="shared" ca="1" si="32"/>
        <v>51</v>
      </c>
      <c r="E553" t="s">
        <v>23</v>
      </c>
      <c r="F553" t="s">
        <v>40</v>
      </c>
      <c r="G553" t="s">
        <v>41</v>
      </c>
      <c r="H553" t="str">
        <f t="shared" si="33"/>
        <v>Campina Grande - PB</v>
      </c>
      <c r="I553" s="1" t="s">
        <v>179</v>
      </c>
      <c r="J553" s="3">
        <v>50</v>
      </c>
      <c r="K553" s="4">
        <f t="shared" si="34"/>
        <v>16.514731140177037</v>
      </c>
      <c r="L553" s="1" t="str">
        <f t="shared" si="35"/>
        <v>Muito abaixo do peso</v>
      </c>
      <c r="M553" t="s">
        <v>76</v>
      </c>
    </row>
    <row r="554" spans="1:13" x14ac:dyDescent="0.25">
      <c r="A554">
        <v>553</v>
      </c>
      <c r="B554" t="s">
        <v>1528</v>
      </c>
      <c r="C554" s="2" t="s">
        <v>1529</v>
      </c>
      <c r="D554" s="2">
        <f t="shared" ca="1" si="32"/>
        <v>57</v>
      </c>
      <c r="E554" t="s">
        <v>23</v>
      </c>
      <c r="F554" t="s">
        <v>564</v>
      </c>
      <c r="G554" t="s">
        <v>565</v>
      </c>
      <c r="H554" t="str">
        <f t="shared" si="33"/>
        <v>Rio Branco - AC</v>
      </c>
      <c r="I554" s="1" t="s">
        <v>86</v>
      </c>
      <c r="J554" s="3">
        <v>88</v>
      </c>
      <c r="K554" s="4">
        <f t="shared" si="34"/>
        <v>26.861206922865602</v>
      </c>
      <c r="L554" s="1" t="str">
        <f t="shared" si="35"/>
        <v>Levemente acima do peso</v>
      </c>
      <c r="M554" t="s">
        <v>32</v>
      </c>
    </row>
    <row r="555" spans="1:13" x14ac:dyDescent="0.25">
      <c r="A555">
        <v>554</v>
      </c>
      <c r="B555" t="s">
        <v>1613</v>
      </c>
      <c r="C555" s="2" t="s">
        <v>1614</v>
      </c>
      <c r="D555" s="2">
        <f t="shared" ca="1" si="32"/>
        <v>39</v>
      </c>
      <c r="E555" t="s">
        <v>23</v>
      </c>
      <c r="F555" t="s">
        <v>775</v>
      </c>
      <c r="G555" t="s">
        <v>51</v>
      </c>
      <c r="H555" t="str">
        <f t="shared" si="33"/>
        <v>Rio de Janeiro - RJ</v>
      </c>
      <c r="I555" s="1" t="s">
        <v>19</v>
      </c>
      <c r="J555" s="3">
        <v>66</v>
      </c>
      <c r="K555" s="4">
        <f t="shared" si="34"/>
        <v>21.066743273005841</v>
      </c>
      <c r="L555" s="1" t="str">
        <f t="shared" si="35"/>
        <v>Peso ideal - parabéns</v>
      </c>
      <c r="M555" t="s">
        <v>20</v>
      </c>
    </row>
    <row r="556" spans="1:13" x14ac:dyDescent="0.25">
      <c r="A556">
        <v>555</v>
      </c>
      <c r="B556" t="s">
        <v>3638</v>
      </c>
      <c r="C556" s="2" t="s">
        <v>3012</v>
      </c>
      <c r="D556" s="2">
        <f t="shared" ca="1" si="32"/>
        <v>40</v>
      </c>
      <c r="E556" t="s">
        <v>10</v>
      </c>
      <c r="F556" t="s">
        <v>182</v>
      </c>
      <c r="G556" t="s">
        <v>55</v>
      </c>
      <c r="H556" t="str">
        <f t="shared" si="33"/>
        <v>Curitiba - PR</v>
      </c>
      <c r="I556" s="1" t="s">
        <v>386</v>
      </c>
      <c r="J556" s="3">
        <v>75</v>
      </c>
      <c r="K556" s="4">
        <f t="shared" si="34"/>
        <v>27.217302946726669</v>
      </c>
      <c r="L556" s="1" t="str">
        <f t="shared" si="35"/>
        <v>Levemente acima do peso</v>
      </c>
      <c r="M556" t="s">
        <v>32</v>
      </c>
    </row>
    <row r="557" spans="1:13" x14ac:dyDescent="0.25">
      <c r="A557">
        <v>556</v>
      </c>
      <c r="B557" t="s">
        <v>863</v>
      </c>
      <c r="C557" s="2" t="s">
        <v>864</v>
      </c>
      <c r="D557" s="2">
        <f t="shared" ca="1" si="32"/>
        <v>44</v>
      </c>
      <c r="E557" t="s">
        <v>10</v>
      </c>
      <c r="F557" t="s">
        <v>69</v>
      </c>
      <c r="G557" t="s">
        <v>70</v>
      </c>
      <c r="H557" t="str">
        <f t="shared" si="33"/>
        <v>Aracaju - SE</v>
      </c>
      <c r="I557" s="1" t="s">
        <v>86</v>
      </c>
      <c r="J557" s="3">
        <v>81</v>
      </c>
      <c r="K557" s="4">
        <f t="shared" si="34"/>
        <v>24.724520008546747</v>
      </c>
      <c r="L557" s="1" t="str">
        <f t="shared" si="35"/>
        <v>Peso ideal - parabéns</v>
      </c>
      <c r="M557" t="s">
        <v>32</v>
      </c>
    </row>
    <row r="558" spans="1:13" x14ac:dyDescent="0.25">
      <c r="A558">
        <v>557</v>
      </c>
      <c r="B558" t="s">
        <v>2838</v>
      </c>
      <c r="C558" s="2" t="s">
        <v>2839</v>
      </c>
      <c r="D558" s="2">
        <f t="shared" ca="1" si="32"/>
        <v>38</v>
      </c>
      <c r="E558" t="s">
        <v>10</v>
      </c>
      <c r="F558" t="s">
        <v>528</v>
      </c>
      <c r="G558" t="s">
        <v>51</v>
      </c>
      <c r="H558" t="str">
        <f t="shared" si="33"/>
        <v>Nova Iguaçu - RJ</v>
      </c>
      <c r="I558" s="1" t="s">
        <v>639</v>
      </c>
      <c r="J558" s="3">
        <v>53</v>
      </c>
      <c r="K558" s="4">
        <f t="shared" si="34"/>
        <v>13.25</v>
      </c>
      <c r="L558" s="1" t="str">
        <f t="shared" si="35"/>
        <v>Muito abaixo do peso</v>
      </c>
      <c r="M558" t="s">
        <v>83</v>
      </c>
    </row>
    <row r="559" spans="1:13" x14ac:dyDescent="0.25">
      <c r="A559">
        <v>558</v>
      </c>
      <c r="B559" t="s">
        <v>2092</v>
      </c>
      <c r="C559" s="2" t="s">
        <v>2093</v>
      </c>
      <c r="D559" s="2">
        <f t="shared" ca="1" si="32"/>
        <v>38</v>
      </c>
      <c r="E559" t="s">
        <v>10</v>
      </c>
      <c r="F559" t="s">
        <v>1083</v>
      </c>
      <c r="G559" t="s">
        <v>65</v>
      </c>
      <c r="H559" t="str">
        <f t="shared" si="33"/>
        <v>Itabuna - BA</v>
      </c>
      <c r="I559" s="1" t="s">
        <v>201</v>
      </c>
      <c r="J559" s="3">
        <v>81</v>
      </c>
      <c r="K559" s="4">
        <f t="shared" si="34"/>
        <v>21.084964598084134</v>
      </c>
      <c r="L559" s="1" t="str">
        <f t="shared" si="35"/>
        <v>Peso ideal - parabéns</v>
      </c>
      <c r="M559" t="s">
        <v>20</v>
      </c>
    </row>
    <row r="560" spans="1:13" x14ac:dyDescent="0.25">
      <c r="A560">
        <v>559</v>
      </c>
      <c r="B560" t="s">
        <v>2050</v>
      </c>
      <c r="C560" s="2" t="s">
        <v>820</v>
      </c>
      <c r="D560" s="2">
        <f t="shared" ca="1" si="32"/>
        <v>35</v>
      </c>
      <c r="E560" t="s">
        <v>10</v>
      </c>
      <c r="F560" t="s">
        <v>153</v>
      </c>
      <c r="G560" t="s">
        <v>154</v>
      </c>
      <c r="H560" t="str">
        <f t="shared" si="33"/>
        <v>Manaus - AM</v>
      </c>
      <c r="I560" s="1" t="s">
        <v>66</v>
      </c>
      <c r="J560" s="3">
        <v>72</v>
      </c>
      <c r="K560" s="4">
        <f t="shared" si="34"/>
        <v>20.371208691715712</v>
      </c>
      <c r="L560" s="1" t="str">
        <f t="shared" si="35"/>
        <v>Peso ideal - parabéns</v>
      </c>
      <c r="M560" t="s">
        <v>76</v>
      </c>
    </row>
    <row r="561" spans="1:13" x14ac:dyDescent="0.25">
      <c r="A561">
        <v>560</v>
      </c>
      <c r="B561" t="s">
        <v>787</v>
      </c>
      <c r="C561" s="2" t="s">
        <v>788</v>
      </c>
      <c r="D561" s="2">
        <f t="shared" ca="1" si="32"/>
        <v>61</v>
      </c>
      <c r="E561" t="s">
        <v>10</v>
      </c>
      <c r="F561" t="s">
        <v>354</v>
      </c>
      <c r="G561" t="s">
        <v>30</v>
      </c>
      <c r="H561" t="str">
        <f t="shared" si="33"/>
        <v>Porto Velho - RO</v>
      </c>
      <c r="I561" s="1" t="s">
        <v>94</v>
      </c>
      <c r="J561" s="3">
        <v>65</v>
      </c>
      <c r="K561" s="4">
        <f t="shared" si="34"/>
        <v>21.718066089745729</v>
      </c>
      <c r="L561" s="1" t="str">
        <f t="shared" si="35"/>
        <v>Peso ideal - parabéns</v>
      </c>
      <c r="M561" t="s">
        <v>83</v>
      </c>
    </row>
    <row r="562" spans="1:13" x14ac:dyDescent="0.25">
      <c r="A562">
        <v>561</v>
      </c>
      <c r="B562" t="s">
        <v>2183</v>
      </c>
      <c r="C562" s="2" t="s">
        <v>2184</v>
      </c>
      <c r="D562" s="2">
        <f t="shared" ca="1" si="32"/>
        <v>80</v>
      </c>
      <c r="E562" t="s">
        <v>23</v>
      </c>
      <c r="F562" t="s">
        <v>2008</v>
      </c>
      <c r="G562" t="s">
        <v>12</v>
      </c>
      <c r="H562" t="str">
        <f t="shared" si="33"/>
        <v>Sobral - CE</v>
      </c>
      <c r="I562" s="1" t="s">
        <v>86</v>
      </c>
      <c r="J562" s="3">
        <v>45</v>
      </c>
      <c r="K562" s="4">
        <f t="shared" si="34"/>
        <v>13.735844449192637</v>
      </c>
      <c r="L562" s="1" t="str">
        <f t="shared" si="35"/>
        <v>Muito abaixo do peso</v>
      </c>
      <c r="M562" t="s">
        <v>26</v>
      </c>
    </row>
    <row r="563" spans="1:13" x14ac:dyDescent="0.25">
      <c r="A563">
        <v>562</v>
      </c>
      <c r="B563" t="s">
        <v>2233</v>
      </c>
      <c r="C563" s="2" t="s">
        <v>2234</v>
      </c>
      <c r="D563" s="2">
        <f t="shared" ca="1" si="32"/>
        <v>31</v>
      </c>
      <c r="E563" t="s">
        <v>23</v>
      </c>
      <c r="F563" t="s">
        <v>130</v>
      </c>
      <c r="G563" t="s">
        <v>131</v>
      </c>
      <c r="H563" t="str">
        <f t="shared" si="33"/>
        <v>Balneário Camboriú - SC</v>
      </c>
      <c r="I563" s="1" t="s">
        <v>386</v>
      </c>
      <c r="J563" s="3">
        <v>76</v>
      </c>
      <c r="K563" s="4">
        <f t="shared" si="34"/>
        <v>27.580200319349689</v>
      </c>
      <c r="L563" s="1" t="str">
        <f t="shared" si="35"/>
        <v>Levemente acima do peso</v>
      </c>
      <c r="M563" t="s">
        <v>95</v>
      </c>
    </row>
    <row r="564" spans="1:13" x14ac:dyDescent="0.25">
      <c r="A564">
        <v>563</v>
      </c>
      <c r="B564" t="s">
        <v>3801</v>
      </c>
      <c r="C564" s="2" t="s">
        <v>3802</v>
      </c>
      <c r="D564" s="2">
        <f t="shared" ca="1" si="32"/>
        <v>66</v>
      </c>
      <c r="E564" t="s">
        <v>23</v>
      </c>
      <c r="F564" t="s">
        <v>321</v>
      </c>
      <c r="G564" t="s">
        <v>273</v>
      </c>
      <c r="H564" t="str">
        <f t="shared" si="33"/>
        <v>Cariacica - ES</v>
      </c>
      <c r="I564" s="1" t="s">
        <v>13</v>
      </c>
      <c r="J564" s="3">
        <v>67</v>
      </c>
      <c r="K564" s="4">
        <f t="shared" si="34"/>
        <v>22.913033070004449</v>
      </c>
      <c r="L564" s="1" t="str">
        <f t="shared" si="35"/>
        <v>Peso ideal - parabéns</v>
      </c>
      <c r="M564" t="s">
        <v>32</v>
      </c>
    </row>
    <row r="565" spans="1:13" x14ac:dyDescent="0.25">
      <c r="A565">
        <v>564</v>
      </c>
      <c r="B565" t="s">
        <v>3801</v>
      </c>
      <c r="C565" s="2" t="s">
        <v>3802</v>
      </c>
      <c r="D565" s="2">
        <f t="shared" ca="1" si="32"/>
        <v>66</v>
      </c>
      <c r="E565" t="s">
        <v>23</v>
      </c>
      <c r="F565" t="s">
        <v>321</v>
      </c>
      <c r="G565" t="s">
        <v>273</v>
      </c>
      <c r="H565" t="str">
        <f t="shared" si="33"/>
        <v>Cariacica - ES</v>
      </c>
      <c r="I565" s="1" t="s">
        <v>13</v>
      </c>
      <c r="J565" s="3">
        <v>67</v>
      </c>
      <c r="K565" s="4">
        <f t="shared" si="34"/>
        <v>22.913033070004449</v>
      </c>
      <c r="L565" s="1" t="str">
        <f t="shared" si="35"/>
        <v>Peso ideal - parabéns</v>
      </c>
      <c r="M565" t="s">
        <v>32</v>
      </c>
    </row>
    <row r="566" spans="1:13" x14ac:dyDescent="0.25">
      <c r="A566">
        <v>565</v>
      </c>
      <c r="B566" t="s">
        <v>1214</v>
      </c>
      <c r="C566" s="2" t="s">
        <v>1215</v>
      </c>
      <c r="D566" s="2">
        <f t="shared" ca="1" si="32"/>
        <v>49</v>
      </c>
      <c r="E566" t="s">
        <v>23</v>
      </c>
      <c r="F566" t="s">
        <v>321</v>
      </c>
      <c r="G566" t="s">
        <v>273</v>
      </c>
      <c r="H566" t="str">
        <f t="shared" si="33"/>
        <v>Cariacica - ES</v>
      </c>
      <c r="I566" s="1" t="s">
        <v>31</v>
      </c>
      <c r="J566" s="3">
        <v>81</v>
      </c>
      <c r="K566" s="4">
        <f t="shared" si="34"/>
        <v>30.116002379535995</v>
      </c>
      <c r="L566" s="1" t="str">
        <f t="shared" si="35"/>
        <v>Obesidade grau I</v>
      </c>
      <c r="M566" t="s">
        <v>20</v>
      </c>
    </row>
    <row r="567" spans="1:13" x14ac:dyDescent="0.25">
      <c r="A567">
        <v>566</v>
      </c>
      <c r="B567" t="s">
        <v>3991</v>
      </c>
      <c r="C567" s="2" t="s">
        <v>3990</v>
      </c>
      <c r="D567" s="2">
        <f t="shared" ca="1" si="32"/>
        <v>50</v>
      </c>
      <c r="E567" t="s">
        <v>23</v>
      </c>
      <c r="F567" t="s">
        <v>182</v>
      </c>
      <c r="G567" t="s">
        <v>55</v>
      </c>
      <c r="H567" t="str">
        <f t="shared" si="33"/>
        <v>Curitiba - PR</v>
      </c>
      <c r="I567" s="1" t="s">
        <v>575</v>
      </c>
      <c r="J567" s="3">
        <v>47</v>
      </c>
      <c r="K567" s="4">
        <f t="shared" si="34"/>
        <v>18.591036746964122</v>
      </c>
      <c r="L567" s="1" t="str">
        <f t="shared" si="35"/>
        <v>Abaixo do peso</v>
      </c>
      <c r="M567" t="s">
        <v>14</v>
      </c>
    </row>
    <row r="568" spans="1:13" x14ac:dyDescent="0.25">
      <c r="A568">
        <v>567</v>
      </c>
      <c r="B568" t="s">
        <v>206</v>
      </c>
      <c r="C568" s="2" t="s">
        <v>207</v>
      </c>
      <c r="D568" s="2">
        <f t="shared" ca="1" si="32"/>
        <v>53</v>
      </c>
      <c r="E568" t="s">
        <v>23</v>
      </c>
      <c r="F568" t="s">
        <v>208</v>
      </c>
      <c r="G568" t="s">
        <v>30</v>
      </c>
      <c r="H568" t="str">
        <f t="shared" si="33"/>
        <v>Ji-Paraná - RO</v>
      </c>
      <c r="I568" s="1" t="s">
        <v>209</v>
      </c>
      <c r="J568" s="3">
        <v>84</v>
      </c>
      <c r="K568" s="4">
        <f t="shared" si="34"/>
        <v>35.419126328217239</v>
      </c>
      <c r="L568" s="1" t="str">
        <f t="shared" si="35"/>
        <v>Obesidade grau II - severa</v>
      </c>
      <c r="M568" t="s">
        <v>32</v>
      </c>
    </row>
    <row r="569" spans="1:13" x14ac:dyDescent="0.25">
      <c r="A569">
        <v>568</v>
      </c>
      <c r="B569" t="s">
        <v>3331</v>
      </c>
      <c r="C569" s="2" t="s">
        <v>2839</v>
      </c>
      <c r="D569" s="2">
        <f t="shared" ca="1" si="32"/>
        <v>38</v>
      </c>
      <c r="E569" t="s">
        <v>23</v>
      </c>
      <c r="F569" t="s">
        <v>564</v>
      </c>
      <c r="G569" t="s">
        <v>565</v>
      </c>
      <c r="H569" t="str">
        <f t="shared" si="33"/>
        <v>Rio Branco - AC</v>
      </c>
      <c r="I569" s="1" t="s">
        <v>86</v>
      </c>
      <c r="J569" s="3">
        <v>65</v>
      </c>
      <c r="K569" s="4">
        <f t="shared" si="34"/>
        <v>19.840664204389366</v>
      </c>
      <c r="L569" s="1" t="str">
        <f t="shared" si="35"/>
        <v>Peso ideal - parabéns</v>
      </c>
      <c r="M569" t="s">
        <v>76</v>
      </c>
    </row>
    <row r="570" spans="1:13" x14ac:dyDescent="0.25">
      <c r="A570">
        <v>569</v>
      </c>
      <c r="B570" t="s">
        <v>1759</v>
      </c>
      <c r="C570" s="2" t="s">
        <v>1760</v>
      </c>
      <c r="D570" s="2">
        <f t="shared" ca="1" si="32"/>
        <v>34</v>
      </c>
      <c r="E570" t="s">
        <v>23</v>
      </c>
      <c r="F570" t="s">
        <v>439</v>
      </c>
      <c r="G570" t="s">
        <v>190</v>
      </c>
      <c r="H570" t="str">
        <f t="shared" si="33"/>
        <v>Rondonópolis - MT</v>
      </c>
      <c r="I570" s="1" t="s">
        <v>386</v>
      </c>
      <c r="J570" s="3">
        <v>85</v>
      </c>
      <c r="K570" s="4">
        <f t="shared" si="34"/>
        <v>30.84627667295689</v>
      </c>
      <c r="L570" s="1" t="str">
        <f t="shared" si="35"/>
        <v>Obesidade grau I</v>
      </c>
      <c r="M570" t="s">
        <v>76</v>
      </c>
    </row>
    <row r="571" spans="1:13" x14ac:dyDescent="0.25">
      <c r="A571">
        <v>570</v>
      </c>
      <c r="B571" t="s">
        <v>3683</v>
      </c>
      <c r="C571" s="2" t="s">
        <v>777</v>
      </c>
      <c r="D571" s="2">
        <f t="shared" ca="1" si="32"/>
        <v>27</v>
      </c>
      <c r="E571" t="s">
        <v>23</v>
      </c>
      <c r="F571" t="s">
        <v>24</v>
      </c>
      <c r="G571" t="s">
        <v>25</v>
      </c>
      <c r="H571" t="str">
        <f t="shared" si="33"/>
        <v>Natal - RN</v>
      </c>
      <c r="I571" s="1" t="s">
        <v>416</v>
      </c>
      <c r="J571" s="3">
        <v>63</v>
      </c>
      <c r="K571" s="4">
        <f t="shared" si="34"/>
        <v>24.304617877396701</v>
      </c>
      <c r="L571" s="1" t="str">
        <f t="shared" si="35"/>
        <v>Peso ideal - parabéns</v>
      </c>
      <c r="M571" t="s">
        <v>95</v>
      </c>
    </row>
    <row r="572" spans="1:13" x14ac:dyDescent="0.25">
      <c r="A572">
        <v>571</v>
      </c>
      <c r="B572" t="s">
        <v>330</v>
      </c>
      <c r="C572" s="2" t="s">
        <v>331</v>
      </c>
      <c r="D572" s="2">
        <f t="shared" ca="1" si="32"/>
        <v>70</v>
      </c>
      <c r="E572" t="s">
        <v>23</v>
      </c>
      <c r="F572" t="s">
        <v>74</v>
      </c>
      <c r="G572" t="s">
        <v>75</v>
      </c>
      <c r="H572" t="str">
        <f t="shared" si="33"/>
        <v>Macapá - AP</v>
      </c>
      <c r="I572" s="1" t="s">
        <v>117</v>
      </c>
      <c r="J572" s="3">
        <v>77</v>
      </c>
      <c r="K572" s="4">
        <f t="shared" si="34"/>
        <v>24.302487059714682</v>
      </c>
      <c r="L572" s="1" t="str">
        <f t="shared" si="35"/>
        <v>Peso ideal - parabéns</v>
      </c>
      <c r="M572" t="s">
        <v>14</v>
      </c>
    </row>
    <row r="573" spans="1:13" x14ac:dyDescent="0.25">
      <c r="A573">
        <v>572</v>
      </c>
      <c r="B573" t="s">
        <v>2860</v>
      </c>
      <c r="C573" s="2" t="s">
        <v>2861</v>
      </c>
      <c r="D573" s="2">
        <f t="shared" ca="1" si="32"/>
        <v>75</v>
      </c>
      <c r="E573" t="s">
        <v>23</v>
      </c>
      <c r="F573" t="s">
        <v>126</v>
      </c>
      <c r="G573" t="s">
        <v>127</v>
      </c>
      <c r="H573" t="str">
        <f t="shared" si="33"/>
        <v>Boa Vista - RR</v>
      </c>
      <c r="I573" s="1" t="s">
        <v>90</v>
      </c>
      <c r="J573" s="3">
        <v>88</v>
      </c>
      <c r="K573" s="4">
        <f t="shared" si="34"/>
        <v>29.745808545159548</v>
      </c>
      <c r="L573" s="1" t="str">
        <f t="shared" si="35"/>
        <v>Levemente acima do peso</v>
      </c>
      <c r="M573" t="s">
        <v>20</v>
      </c>
    </row>
    <row r="574" spans="1:13" x14ac:dyDescent="0.25">
      <c r="A574">
        <v>573</v>
      </c>
      <c r="B574" t="s">
        <v>2017</v>
      </c>
      <c r="C574" s="2" t="s">
        <v>2018</v>
      </c>
      <c r="D574" s="2">
        <f t="shared" ca="1" si="32"/>
        <v>78</v>
      </c>
      <c r="E574" t="s">
        <v>23</v>
      </c>
      <c r="F574" t="s">
        <v>244</v>
      </c>
      <c r="G574" t="s">
        <v>60</v>
      </c>
      <c r="H574" t="str">
        <f t="shared" si="33"/>
        <v>Araguaína - TO</v>
      </c>
      <c r="I574" s="1" t="s">
        <v>171</v>
      </c>
      <c r="J574" s="3">
        <v>61</v>
      </c>
      <c r="K574" s="4">
        <f t="shared" si="34"/>
        <v>21.872422819032593</v>
      </c>
      <c r="L574" s="1" t="str">
        <f t="shared" si="35"/>
        <v>Peso ideal - parabéns</v>
      </c>
      <c r="M574" t="s">
        <v>14</v>
      </c>
    </row>
    <row r="575" spans="1:13" x14ac:dyDescent="0.25">
      <c r="A575">
        <v>574</v>
      </c>
      <c r="B575" t="s">
        <v>782</v>
      </c>
      <c r="C575" s="2" t="s">
        <v>783</v>
      </c>
      <c r="D575" s="2">
        <f t="shared" ca="1" si="32"/>
        <v>68</v>
      </c>
      <c r="E575" t="s">
        <v>23</v>
      </c>
      <c r="F575" t="s">
        <v>784</v>
      </c>
      <c r="G575" t="s">
        <v>273</v>
      </c>
      <c r="H575" t="str">
        <f t="shared" si="33"/>
        <v>Vila Velha - ES</v>
      </c>
      <c r="I575" s="1" t="s">
        <v>13</v>
      </c>
      <c r="J575" s="3">
        <v>71</v>
      </c>
      <c r="K575" s="4">
        <f t="shared" si="34"/>
        <v>24.280975342840534</v>
      </c>
      <c r="L575" s="1" t="str">
        <f t="shared" si="35"/>
        <v>Peso ideal - parabéns</v>
      </c>
      <c r="M575" t="s">
        <v>26</v>
      </c>
    </row>
    <row r="576" spans="1:13" x14ac:dyDescent="0.25">
      <c r="A576">
        <v>575</v>
      </c>
      <c r="B576" t="s">
        <v>1967</v>
      </c>
      <c r="C576" s="2" t="s">
        <v>1968</v>
      </c>
      <c r="D576" s="2">
        <f t="shared" ca="1" si="32"/>
        <v>82</v>
      </c>
      <c r="E576" t="s">
        <v>23</v>
      </c>
      <c r="F576" t="s">
        <v>339</v>
      </c>
      <c r="G576" t="s">
        <v>46</v>
      </c>
      <c r="H576" t="str">
        <f t="shared" si="33"/>
        <v>Jataí - GO</v>
      </c>
      <c r="I576" s="1" t="s">
        <v>209</v>
      </c>
      <c r="J576" s="3">
        <v>56</v>
      </c>
      <c r="K576" s="4">
        <f t="shared" si="34"/>
        <v>23.61275088547816</v>
      </c>
      <c r="L576" s="1" t="str">
        <f t="shared" si="35"/>
        <v>Peso ideal - parabéns</v>
      </c>
      <c r="M576" t="s">
        <v>76</v>
      </c>
    </row>
    <row r="577" spans="1:13" x14ac:dyDescent="0.25">
      <c r="A577">
        <v>576</v>
      </c>
      <c r="B577" t="s">
        <v>1064</v>
      </c>
      <c r="C577" s="2" t="s">
        <v>1065</v>
      </c>
      <c r="D577" s="2">
        <f t="shared" ca="1" si="32"/>
        <v>29</v>
      </c>
      <c r="E577" t="s">
        <v>23</v>
      </c>
      <c r="F577" t="s">
        <v>244</v>
      </c>
      <c r="G577" t="s">
        <v>60</v>
      </c>
      <c r="H577" t="str">
        <f t="shared" si="33"/>
        <v>Araguaína - TO</v>
      </c>
      <c r="I577" s="1" t="s">
        <v>302</v>
      </c>
      <c r="J577" s="3">
        <v>48</v>
      </c>
      <c r="K577" s="4">
        <f t="shared" si="34"/>
        <v>21.051708258409718</v>
      </c>
      <c r="L577" s="1" t="str">
        <f t="shared" si="35"/>
        <v>Peso ideal - parabéns</v>
      </c>
      <c r="M577" t="s">
        <v>26</v>
      </c>
    </row>
    <row r="578" spans="1:13" x14ac:dyDescent="0.25">
      <c r="A578">
        <v>577</v>
      </c>
      <c r="B578" t="s">
        <v>1078</v>
      </c>
      <c r="C578" s="2" t="s">
        <v>1079</v>
      </c>
      <c r="D578" s="2">
        <f t="shared" ca="1" si="32"/>
        <v>77</v>
      </c>
      <c r="E578" t="s">
        <v>23</v>
      </c>
      <c r="F578" t="s">
        <v>204</v>
      </c>
      <c r="G578" t="s">
        <v>112</v>
      </c>
      <c r="H578" t="str">
        <f t="shared" si="33"/>
        <v>Belém - PA</v>
      </c>
      <c r="I578" s="1" t="s">
        <v>191</v>
      </c>
      <c r="J578" s="3">
        <v>67</v>
      </c>
      <c r="K578" s="4">
        <f t="shared" si="34"/>
        <v>26.171874999999996</v>
      </c>
      <c r="L578" s="1" t="str">
        <f t="shared" si="35"/>
        <v>Levemente acima do peso</v>
      </c>
      <c r="M578" t="s">
        <v>83</v>
      </c>
    </row>
    <row r="579" spans="1:13" x14ac:dyDescent="0.25">
      <c r="A579">
        <v>578</v>
      </c>
      <c r="B579" t="s">
        <v>496</v>
      </c>
      <c r="C579" s="2" t="s">
        <v>497</v>
      </c>
      <c r="D579" s="2">
        <f t="shared" ref="D579:D642" ca="1" si="36">YEAR(TODAY())-YEAR(C579)</f>
        <v>37</v>
      </c>
      <c r="E579" t="s">
        <v>23</v>
      </c>
      <c r="F579" t="s">
        <v>498</v>
      </c>
      <c r="G579" t="s">
        <v>131</v>
      </c>
      <c r="H579" t="str">
        <f t="shared" ref="H579:H642" si="37">CONCATENATE(F579," - ",G579)</f>
        <v>Florianópolis - SC</v>
      </c>
      <c r="I579" s="1" t="s">
        <v>113</v>
      </c>
      <c r="J579" s="3">
        <v>75</v>
      </c>
      <c r="K579" s="4">
        <f t="shared" ref="K579:K642" si="38">J579/(I579*I579)</f>
        <v>28.228386465429637</v>
      </c>
      <c r="L579" s="1" t="str">
        <f t="shared" ref="L579:L642" si="39">IF(K579&gt;=40,"Obesidade grau III - mórbida",
IF(K579&gt;=35,"Obesidade grau II - severa",
IF(K579&gt;=30,"Obesidade grau I",
IF(K579&gt;=25,"Levemente acima do peso",
IF(K579&gt;=18.6,"Peso ideal - parabéns",
IF(K579&gt;=17,"Abaixo do peso",
"Muito abaixo do peso"))))))</f>
        <v>Levemente acima do peso</v>
      </c>
      <c r="M579" t="s">
        <v>32</v>
      </c>
    </row>
    <row r="580" spans="1:13" x14ac:dyDescent="0.25">
      <c r="A580">
        <v>579</v>
      </c>
      <c r="B580" t="s">
        <v>865</v>
      </c>
      <c r="C580" s="2" t="s">
        <v>866</v>
      </c>
      <c r="D580" s="2">
        <f t="shared" ca="1" si="36"/>
        <v>70</v>
      </c>
      <c r="E580" t="s">
        <v>23</v>
      </c>
      <c r="F580" t="s">
        <v>410</v>
      </c>
      <c r="G580" t="s">
        <v>310</v>
      </c>
      <c r="H580" t="str">
        <f t="shared" si="37"/>
        <v>Canoas - RS</v>
      </c>
      <c r="I580" s="1" t="s">
        <v>302</v>
      </c>
      <c r="J580" s="3">
        <v>55</v>
      </c>
      <c r="K580" s="4">
        <f t="shared" si="38"/>
        <v>24.121749046094468</v>
      </c>
      <c r="L580" s="1" t="str">
        <f t="shared" si="39"/>
        <v>Peso ideal - parabéns</v>
      </c>
      <c r="M580" t="s">
        <v>47</v>
      </c>
    </row>
    <row r="581" spans="1:13" x14ac:dyDescent="0.25">
      <c r="A581">
        <v>580</v>
      </c>
      <c r="B581" t="s">
        <v>3646</v>
      </c>
      <c r="C581" s="2" t="s">
        <v>3647</v>
      </c>
      <c r="D581" s="2">
        <f t="shared" ca="1" si="36"/>
        <v>69</v>
      </c>
      <c r="E581" t="s">
        <v>23</v>
      </c>
      <c r="F581" t="s">
        <v>3648</v>
      </c>
      <c r="G581" t="s">
        <v>175</v>
      </c>
      <c r="H581" t="str">
        <f t="shared" si="37"/>
        <v>Agrestina - PE</v>
      </c>
      <c r="I581" s="1" t="s">
        <v>31</v>
      </c>
      <c r="J581" s="3">
        <v>70</v>
      </c>
      <c r="K581" s="4">
        <f t="shared" si="38"/>
        <v>26.026174895895306</v>
      </c>
      <c r="L581" s="1" t="str">
        <f t="shared" si="39"/>
        <v>Levemente acima do peso</v>
      </c>
      <c r="M581" t="s">
        <v>14</v>
      </c>
    </row>
    <row r="582" spans="1:13" x14ac:dyDescent="0.25">
      <c r="A582">
        <v>581</v>
      </c>
      <c r="B582" t="s">
        <v>2908</v>
      </c>
      <c r="C582" s="2" t="s">
        <v>2909</v>
      </c>
      <c r="D582" s="2">
        <f t="shared" ca="1" si="36"/>
        <v>43</v>
      </c>
      <c r="E582" t="s">
        <v>23</v>
      </c>
      <c r="F582" t="s">
        <v>126</v>
      </c>
      <c r="G582" t="s">
        <v>127</v>
      </c>
      <c r="H582" t="str">
        <f t="shared" si="37"/>
        <v>Boa Vista - RR</v>
      </c>
      <c r="I582" s="1" t="s">
        <v>13</v>
      </c>
      <c r="J582" s="3">
        <v>75</v>
      </c>
      <c r="K582" s="4">
        <f t="shared" si="38"/>
        <v>25.64891761567662</v>
      </c>
      <c r="L582" s="1" t="str">
        <f t="shared" si="39"/>
        <v>Levemente acima do peso</v>
      </c>
      <c r="M582" t="s">
        <v>26</v>
      </c>
    </row>
    <row r="583" spans="1:13" x14ac:dyDescent="0.25">
      <c r="A583">
        <v>582</v>
      </c>
      <c r="B583" t="s">
        <v>2283</v>
      </c>
      <c r="C583" s="2" t="s">
        <v>2284</v>
      </c>
      <c r="D583" s="2">
        <f t="shared" ca="1" si="36"/>
        <v>25</v>
      </c>
      <c r="E583" t="s">
        <v>23</v>
      </c>
      <c r="F583" t="s">
        <v>208</v>
      </c>
      <c r="G583" t="s">
        <v>30</v>
      </c>
      <c r="H583" t="str">
        <f t="shared" si="37"/>
        <v>Ji-Paraná - RO</v>
      </c>
      <c r="I583" s="1" t="s">
        <v>386</v>
      </c>
      <c r="J583" s="3">
        <v>81</v>
      </c>
      <c r="K583" s="4">
        <f t="shared" si="38"/>
        <v>29.3946871824648</v>
      </c>
      <c r="L583" s="1" t="str">
        <f t="shared" si="39"/>
        <v>Levemente acima do peso</v>
      </c>
      <c r="M583" t="s">
        <v>20</v>
      </c>
    </row>
    <row r="584" spans="1:13" x14ac:dyDescent="0.25">
      <c r="A584">
        <v>583</v>
      </c>
      <c r="B584" t="s">
        <v>391</v>
      </c>
      <c r="C584" s="2" t="s">
        <v>392</v>
      </c>
      <c r="D584" s="2">
        <f t="shared" ca="1" si="36"/>
        <v>50</v>
      </c>
      <c r="E584" t="s">
        <v>23</v>
      </c>
      <c r="F584" t="s">
        <v>189</v>
      </c>
      <c r="G584" t="s">
        <v>190</v>
      </c>
      <c r="H584" t="str">
        <f t="shared" si="37"/>
        <v>Cuiabá - MT</v>
      </c>
      <c r="I584" s="1" t="s">
        <v>90</v>
      </c>
      <c r="J584" s="3">
        <v>63</v>
      </c>
      <c r="K584" s="4">
        <f t="shared" si="38"/>
        <v>21.295294753921041</v>
      </c>
      <c r="L584" s="1" t="str">
        <f t="shared" si="39"/>
        <v>Peso ideal - parabéns</v>
      </c>
      <c r="M584" t="s">
        <v>20</v>
      </c>
    </row>
    <row r="585" spans="1:13" x14ac:dyDescent="0.25">
      <c r="A585">
        <v>584</v>
      </c>
      <c r="B585" t="s">
        <v>692</v>
      </c>
      <c r="C585" s="2" t="s">
        <v>693</v>
      </c>
      <c r="D585" s="2">
        <f t="shared" ca="1" si="36"/>
        <v>79</v>
      </c>
      <c r="E585" t="s">
        <v>10</v>
      </c>
      <c r="F585" t="s">
        <v>64</v>
      </c>
      <c r="G585" t="s">
        <v>65</v>
      </c>
      <c r="H585" t="str">
        <f t="shared" si="37"/>
        <v>Salvador - BA</v>
      </c>
      <c r="I585" s="1" t="s">
        <v>694</v>
      </c>
      <c r="J585" s="3">
        <v>103</v>
      </c>
      <c r="K585" s="4">
        <f t="shared" si="38"/>
        <v>29.772228003237366</v>
      </c>
      <c r="L585" s="1" t="str">
        <f t="shared" si="39"/>
        <v>Levemente acima do peso</v>
      </c>
      <c r="M585" t="s">
        <v>95</v>
      </c>
    </row>
    <row r="586" spans="1:13" x14ac:dyDescent="0.25">
      <c r="A586">
        <v>585</v>
      </c>
      <c r="B586" t="s">
        <v>4117</v>
      </c>
      <c r="C586" s="2" t="s">
        <v>4118</v>
      </c>
      <c r="D586" s="2">
        <f t="shared" ca="1" si="36"/>
        <v>41</v>
      </c>
      <c r="E586" t="s">
        <v>10</v>
      </c>
      <c r="F586" t="s">
        <v>208</v>
      </c>
      <c r="G586" t="s">
        <v>30</v>
      </c>
      <c r="H586" t="str">
        <f t="shared" si="37"/>
        <v>Ji-Paraná - RO</v>
      </c>
      <c r="I586" s="1" t="s">
        <v>90</v>
      </c>
      <c r="J586" s="3">
        <v>79</v>
      </c>
      <c r="K586" s="4">
        <f t="shared" si="38"/>
        <v>26.703623580313685</v>
      </c>
      <c r="L586" s="1" t="str">
        <f t="shared" si="39"/>
        <v>Levemente acima do peso</v>
      </c>
      <c r="M586" t="s">
        <v>14</v>
      </c>
    </row>
    <row r="587" spans="1:13" x14ac:dyDescent="0.25">
      <c r="A587">
        <v>586</v>
      </c>
      <c r="B587" t="s">
        <v>4023</v>
      </c>
      <c r="C587" s="2" t="s">
        <v>4024</v>
      </c>
      <c r="D587" s="2">
        <f t="shared" ca="1" si="36"/>
        <v>75</v>
      </c>
      <c r="E587" t="s">
        <v>10</v>
      </c>
      <c r="F587" t="s">
        <v>354</v>
      </c>
      <c r="G587" t="s">
        <v>30</v>
      </c>
      <c r="H587" t="str">
        <f t="shared" si="37"/>
        <v>Porto Velho - RO</v>
      </c>
      <c r="I587" s="1" t="s">
        <v>166</v>
      </c>
      <c r="J587" s="3">
        <v>84</v>
      </c>
      <c r="K587" s="4">
        <f t="shared" si="38"/>
        <v>29.761904761904766</v>
      </c>
      <c r="L587" s="1" t="str">
        <f t="shared" si="39"/>
        <v>Levemente acima do peso</v>
      </c>
      <c r="M587" t="s">
        <v>47</v>
      </c>
    </row>
    <row r="588" spans="1:13" x14ac:dyDescent="0.25">
      <c r="A588">
        <v>587</v>
      </c>
      <c r="B588" t="s">
        <v>1986</v>
      </c>
      <c r="C588" s="2" t="s">
        <v>904</v>
      </c>
      <c r="D588" s="2">
        <f t="shared" ca="1" si="36"/>
        <v>27</v>
      </c>
      <c r="E588" t="s">
        <v>10</v>
      </c>
      <c r="F588" t="s">
        <v>1987</v>
      </c>
      <c r="G588" t="s">
        <v>46</v>
      </c>
      <c r="H588" t="str">
        <f t="shared" si="37"/>
        <v>Águas Lindas de Goiás - GO</v>
      </c>
      <c r="I588" s="1" t="s">
        <v>694</v>
      </c>
      <c r="J588" s="3">
        <v>70</v>
      </c>
      <c r="K588" s="4">
        <f t="shared" si="38"/>
        <v>20.233553011908889</v>
      </c>
      <c r="L588" s="1" t="str">
        <f t="shared" si="39"/>
        <v>Peso ideal - parabéns</v>
      </c>
      <c r="M588" t="s">
        <v>47</v>
      </c>
    </row>
    <row r="589" spans="1:13" x14ac:dyDescent="0.25">
      <c r="A589">
        <v>588</v>
      </c>
      <c r="B589" t="s">
        <v>1581</v>
      </c>
      <c r="C589" s="2" t="s">
        <v>1582</v>
      </c>
      <c r="D589" s="2">
        <f t="shared" ca="1" si="36"/>
        <v>69</v>
      </c>
      <c r="E589" t="s">
        <v>10</v>
      </c>
      <c r="F589" t="s">
        <v>69</v>
      </c>
      <c r="G589" t="s">
        <v>70</v>
      </c>
      <c r="H589" t="str">
        <f t="shared" si="37"/>
        <v>Aracaju - SE</v>
      </c>
      <c r="I589" s="1" t="s">
        <v>19</v>
      </c>
      <c r="J589" s="3">
        <v>94</v>
      </c>
      <c r="K589" s="4">
        <f t="shared" si="38"/>
        <v>30.004149510038619</v>
      </c>
      <c r="L589" s="1" t="str">
        <f t="shared" si="39"/>
        <v>Obesidade grau I</v>
      </c>
      <c r="M589" t="s">
        <v>76</v>
      </c>
    </row>
    <row r="590" spans="1:13" x14ac:dyDescent="0.25">
      <c r="A590">
        <v>589</v>
      </c>
      <c r="B590" t="s">
        <v>248</v>
      </c>
      <c r="C590" s="2" t="s">
        <v>249</v>
      </c>
      <c r="D590" s="2">
        <f t="shared" ca="1" si="36"/>
        <v>33</v>
      </c>
      <c r="E590" t="s">
        <v>10</v>
      </c>
      <c r="F590" t="s">
        <v>250</v>
      </c>
      <c r="G590" t="s">
        <v>103</v>
      </c>
      <c r="H590" t="str">
        <f t="shared" si="37"/>
        <v>Limeira - SP</v>
      </c>
      <c r="I590" s="1" t="s">
        <v>56</v>
      </c>
      <c r="J590" s="3">
        <v>104</v>
      </c>
      <c r="K590" s="4">
        <f t="shared" si="38"/>
        <v>36.413290851160681</v>
      </c>
      <c r="L590" s="1" t="str">
        <f t="shared" si="39"/>
        <v>Obesidade grau II - severa</v>
      </c>
      <c r="M590" t="s">
        <v>47</v>
      </c>
    </row>
    <row r="591" spans="1:13" x14ac:dyDescent="0.25">
      <c r="A591">
        <v>590</v>
      </c>
      <c r="B591" t="s">
        <v>533</v>
      </c>
      <c r="C591" s="2" t="s">
        <v>534</v>
      </c>
      <c r="D591" s="2">
        <f t="shared" ca="1" si="36"/>
        <v>31</v>
      </c>
      <c r="E591" t="s">
        <v>10</v>
      </c>
      <c r="F591" t="s">
        <v>17</v>
      </c>
      <c r="G591" t="s">
        <v>18</v>
      </c>
      <c r="H591" t="str">
        <f t="shared" si="37"/>
        <v>Campo Grande - MS</v>
      </c>
      <c r="I591" s="1" t="s">
        <v>19</v>
      </c>
      <c r="J591" s="3">
        <v>75</v>
      </c>
      <c r="K591" s="4">
        <f t="shared" si="38"/>
        <v>23.93948099205209</v>
      </c>
      <c r="L591" s="1" t="str">
        <f t="shared" si="39"/>
        <v>Peso ideal - parabéns</v>
      </c>
      <c r="M591" t="s">
        <v>20</v>
      </c>
    </row>
    <row r="592" spans="1:13" x14ac:dyDescent="0.25">
      <c r="A592">
        <v>591</v>
      </c>
      <c r="B592" t="s">
        <v>3523</v>
      </c>
      <c r="C592" s="2" t="s">
        <v>3524</v>
      </c>
      <c r="D592" s="2">
        <f t="shared" ca="1" si="36"/>
        <v>81</v>
      </c>
      <c r="E592" t="s">
        <v>10</v>
      </c>
      <c r="F592" t="s">
        <v>349</v>
      </c>
      <c r="G592" t="s">
        <v>55</v>
      </c>
      <c r="H592" t="str">
        <f t="shared" si="37"/>
        <v>Colombo - PR</v>
      </c>
      <c r="I592" s="1" t="s">
        <v>400</v>
      </c>
      <c r="J592" s="3">
        <v>94</v>
      </c>
      <c r="K592" s="4">
        <f t="shared" si="38"/>
        <v>29.012345679012345</v>
      </c>
      <c r="L592" s="1" t="str">
        <f t="shared" si="39"/>
        <v>Levemente acima do peso</v>
      </c>
      <c r="M592" t="s">
        <v>20</v>
      </c>
    </row>
    <row r="593" spans="1:13" x14ac:dyDescent="0.25">
      <c r="A593">
        <v>592</v>
      </c>
      <c r="B593" t="s">
        <v>3458</v>
      </c>
      <c r="C593" s="2" t="s">
        <v>3459</v>
      </c>
      <c r="D593" s="2">
        <f t="shared" ca="1" si="36"/>
        <v>46</v>
      </c>
      <c r="E593" t="s">
        <v>10</v>
      </c>
      <c r="F593" t="s">
        <v>126</v>
      </c>
      <c r="G593" t="s">
        <v>127</v>
      </c>
      <c r="H593" t="str">
        <f t="shared" si="37"/>
        <v>Boa Vista - RR</v>
      </c>
      <c r="I593" s="1" t="s">
        <v>113</v>
      </c>
      <c r="J593" s="3">
        <v>60</v>
      </c>
      <c r="K593" s="4">
        <f t="shared" si="38"/>
        <v>22.582709172343712</v>
      </c>
      <c r="L593" s="1" t="str">
        <f t="shared" si="39"/>
        <v>Peso ideal - parabéns</v>
      </c>
      <c r="M593" t="s">
        <v>95</v>
      </c>
    </row>
    <row r="594" spans="1:13" x14ac:dyDescent="0.25">
      <c r="A594">
        <v>593</v>
      </c>
      <c r="B594" t="s">
        <v>4086</v>
      </c>
      <c r="C594" s="2" t="s">
        <v>4021</v>
      </c>
      <c r="D594" s="2">
        <f t="shared" ca="1" si="36"/>
        <v>58</v>
      </c>
      <c r="E594" t="s">
        <v>10</v>
      </c>
      <c r="F594" t="s">
        <v>158</v>
      </c>
      <c r="G594" t="s">
        <v>159</v>
      </c>
      <c r="H594" t="str">
        <f t="shared" si="37"/>
        <v>Brasília - DF</v>
      </c>
      <c r="I594" s="1" t="s">
        <v>318</v>
      </c>
      <c r="J594" s="3">
        <v>87</v>
      </c>
      <c r="K594" s="4">
        <f t="shared" si="38"/>
        <v>23.600260416666668</v>
      </c>
      <c r="L594" s="1" t="str">
        <f t="shared" si="39"/>
        <v>Peso ideal - parabéns</v>
      </c>
      <c r="M594" t="s">
        <v>76</v>
      </c>
    </row>
    <row r="595" spans="1:13" x14ac:dyDescent="0.25">
      <c r="A595">
        <v>594</v>
      </c>
      <c r="B595" t="s">
        <v>2581</v>
      </c>
      <c r="C595" s="2" t="s">
        <v>2582</v>
      </c>
      <c r="D595" s="2">
        <f t="shared" ca="1" si="36"/>
        <v>25</v>
      </c>
      <c r="E595" t="s">
        <v>10</v>
      </c>
      <c r="F595" t="s">
        <v>69</v>
      </c>
      <c r="G595" t="s">
        <v>70</v>
      </c>
      <c r="H595" t="str">
        <f t="shared" si="37"/>
        <v>Aracaju - SE</v>
      </c>
      <c r="I595" s="1" t="s">
        <v>694</v>
      </c>
      <c r="J595" s="3">
        <v>88</v>
      </c>
      <c r="K595" s="4">
        <f t="shared" si="38"/>
        <v>25.436466643542602</v>
      </c>
      <c r="L595" s="1" t="str">
        <f t="shared" si="39"/>
        <v>Levemente acima do peso</v>
      </c>
      <c r="M595" t="s">
        <v>26</v>
      </c>
    </row>
    <row r="596" spans="1:13" x14ac:dyDescent="0.25">
      <c r="A596">
        <v>595</v>
      </c>
      <c r="B596" t="s">
        <v>4142</v>
      </c>
      <c r="C596" s="2" t="s">
        <v>3374</v>
      </c>
      <c r="D596" s="2">
        <f t="shared" ca="1" si="36"/>
        <v>43</v>
      </c>
      <c r="E596" t="s">
        <v>10</v>
      </c>
      <c r="F596" t="s">
        <v>4143</v>
      </c>
      <c r="G596" t="s">
        <v>36</v>
      </c>
      <c r="H596" t="str">
        <f t="shared" si="37"/>
        <v>Presidente Dutra - MA</v>
      </c>
      <c r="I596" s="1" t="s">
        <v>255</v>
      </c>
      <c r="J596" s="3">
        <v>79</v>
      </c>
      <c r="K596" s="4">
        <f t="shared" si="38"/>
        <v>19.948991187091234</v>
      </c>
      <c r="L596" s="1" t="str">
        <f t="shared" si="39"/>
        <v>Peso ideal - parabéns</v>
      </c>
      <c r="M596" t="s">
        <v>83</v>
      </c>
    </row>
    <row r="597" spans="1:13" x14ac:dyDescent="0.25">
      <c r="A597">
        <v>596</v>
      </c>
      <c r="B597" t="s">
        <v>2552</v>
      </c>
      <c r="C597" s="2" t="s">
        <v>2553</v>
      </c>
      <c r="D597" s="2">
        <f t="shared" ca="1" si="36"/>
        <v>57</v>
      </c>
      <c r="E597" t="s">
        <v>10</v>
      </c>
      <c r="F597" t="s">
        <v>153</v>
      </c>
      <c r="G597" t="s">
        <v>154</v>
      </c>
      <c r="H597" t="str">
        <f t="shared" si="37"/>
        <v>Manaus - AM</v>
      </c>
      <c r="I597" s="1" t="s">
        <v>86</v>
      </c>
      <c r="J597" s="3">
        <v>74</v>
      </c>
      <c r="K597" s="4">
        <f t="shared" si="38"/>
        <v>22.587833094227893</v>
      </c>
      <c r="L597" s="1" t="str">
        <f t="shared" si="39"/>
        <v>Peso ideal - parabéns</v>
      </c>
      <c r="M597" t="s">
        <v>95</v>
      </c>
    </row>
    <row r="598" spans="1:13" x14ac:dyDescent="0.25">
      <c r="A598">
        <v>597</v>
      </c>
      <c r="B598" t="s">
        <v>2573</v>
      </c>
      <c r="C598" s="2" t="s">
        <v>2574</v>
      </c>
      <c r="D598" s="2">
        <f t="shared" ca="1" si="36"/>
        <v>36</v>
      </c>
      <c r="E598" t="s">
        <v>10</v>
      </c>
      <c r="F598" t="s">
        <v>267</v>
      </c>
      <c r="G598" t="s">
        <v>103</v>
      </c>
      <c r="H598" t="str">
        <f t="shared" si="37"/>
        <v>São Paulo - SP</v>
      </c>
      <c r="I598" s="1" t="s">
        <v>262</v>
      </c>
      <c r="J598" s="3">
        <v>82</v>
      </c>
      <c r="K598" s="4">
        <f t="shared" si="38"/>
        <v>22.714681440443215</v>
      </c>
      <c r="L598" s="1" t="str">
        <f t="shared" si="39"/>
        <v>Peso ideal - parabéns</v>
      </c>
      <c r="M598" t="s">
        <v>20</v>
      </c>
    </row>
    <row r="599" spans="1:13" x14ac:dyDescent="0.25">
      <c r="A599">
        <v>598</v>
      </c>
      <c r="B599" t="s">
        <v>2781</v>
      </c>
      <c r="C599" s="2" t="s">
        <v>2782</v>
      </c>
      <c r="D599" s="2">
        <f t="shared" ca="1" si="36"/>
        <v>42</v>
      </c>
      <c r="E599" t="s">
        <v>10</v>
      </c>
      <c r="F599" t="s">
        <v>2783</v>
      </c>
      <c r="G599" t="s">
        <v>103</v>
      </c>
      <c r="H599" t="str">
        <f t="shared" si="37"/>
        <v>Embu das Artes - SP</v>
      </c>
      <c r="I599" s="1" t="s">
        <v>160</v>
      </c>
      <c r="J599" s="3">
        <v>87</v>
      </c>
      <c r="K599" s="4">
        <f t="shared" si="38"/>
        <v>25.697069943289225</v>
      </c>
      <c r="L599" s="1" t="str">
        <f t="shared" si="39"/>
        <v>Levemente acima do peso</v>
      </c>
      <c r="M599" t="s">
        <v>26</v>
      </c>
    </row>
    <row r="600" spans="1:13" x14ac:dyDescent="0.25">
      <c r="A600">
        <v>599</v>
      </c>
      <c r="B600" t="s">
        <v>3810</v>
      </c>
      <c r="C600" s="2" t="s">
        <v>3811</v>
      </c>
      <c r="D600" s="2">
        <f t="shared" ca="1" si="36"/>
        <v>49</v>
      </c>
      <c r="E600" t="s">
        <v>10</v>
      </c>
      <c r="F600" t="s">
        <v>236</v>
      </c>
      <c r="G600" t="s">
        <v>237</v>
      </c>
      <c r="H600" t="str">
        <f t="shared" si="37"/>
        <v>Teresina - PI</v>
      </c>
      <c r="I600" s="1" t="s">
        <v>447</v>
      </c>
      <c r="J600" s="3">
        <v>79</v>
      </c>
      <c r="K600" s="4">
        <f t="shared" si="38"/>
        <v>25.795918367346939</v>
      </c>
      <c r="L600" s="1" t="str">
        <f t="shared" si="39"/>
        <v>Levemente acima do peso</v>
      </c>
      <c r="M600" t="s">
        <v>95</v>
      </c>
    </row>
    <row r="601" spans="1:13" x14ac:dyDescent="0.25">
      <c r="A601">
        <v>600</v>
      </c>
      <c r="B601" t="s">
        <v>4072</v>
      </c>
      <c r="C601" s="2" t="s">
        <v>4073</v>
      </c>
      <c r="D601" s="2">
        <f t="shared" ca="1" si="36"/>
        <v>44</v>
      </c>
      <c r="E601" t="s">
        <v>10</v>
      </c>
      <c r="F601" t="s">
        <v>158</v>
      </c>
      <c r="G601" t="s">
        <v>159</v>
      </c>
      <c r="H601" t="str">
        <f t="shared" si="37"/>
        <v>Brasília - DF</v>
      </c>
      <c r="I601" s="1" t="s">
        <v>166</v>
      </c>
      <c r="J601" s="3">
        <v>75</v>
      </c>
      <c r="K601" s="4">
        <f t="shared" si="38"/>
        <v>26.573129251700685</v>
      </c>
      <c r="L601" s="1" t="str">
        <f t="shared" si="39"/>
        <v>Levemente acima do peso</v>
      </c>
      <c r="M601" t="s">
        <v>14</v>
      </c>
    </row>
    <row r="602" spans="1:13" x14ac:dyDescent="0.25">
      <c r="A602">
        <v>601</v>
      </c>
      <c r="B602" t="s">
        <v>3167</v>
      </c>
      <c r="C602" s="2" t="s">
        <v>3168</v>
      </c>
      <c r="D602" s="2">
        <f t="shared" ca="1" si="36"/>
        <v>39</v>
      </c>
      <c r="E602" t="s">
        <v>10</v>
      </c>
      <c r="F602" t="s">
        <v>135</v>
      </c>
      <c r="G602" t="s">
        <v>75</v>
      </c>
      <c r="H602" t="str">
        <f t="shared" si="37"/>
        <v>Santana - AP</v>
      </c>
      <c r="I602" s="1" t="s">
        <v>400</v>
      </c>
      <c r="J602" s="3">
        <v>83</v>
      </c>
      <c r="K602" s="4">
        <f t="shared" si="38"/>
        <v>25.617283950617281</v>
      </c>
      <c r="L602" s="1" t="str">
        <f t="shared" si="39"/>
        <v>Levemente acima do peso</v>
      </c>
      <c r="M602" t="s">
        <v>26</v>
      </c>
    </row>
    <row r="603" spans="1:13" x14ac:dyDescent="0.25">
      <c r="A603">
        <v>602</v>
      </c>
      <c r="B603" t="s">
        <v>634</v>
      </c>
      <c r="C603" s="2" t="s">
        <v>635</v>
      </c>
      <c r="D603" s="2">
        <f t="shared" ca="1" si="36"/>
        <v>31</v>
      </c>
      <c r="E603" t="s">
        <v>10</v>
      </c>
      <c r="F603" t="s">
        <v>636</v>
      </c>
      <c r="G603" t="s">
        <v>131</v>
      </c>
      <c r="H603" t="str">
        <f t="shared" si="37"/>
        <v>Criciúma - SC</v>
      </c>
      <c r="I603" s="1" t="s">
        <v>66</v>
      </c>
      <c r="J603" s="3">
        <v>90</v>
      </c>
      <c r="K603" s="4">
        <f t="shared" si="38"/>
        <v>25.464010864644639</v>
      </c>
      <c r="L603" s="1" t="str">
        <f t="shared" si="39"/>
        <v>Levemente acima do peso</v>
      </c>
      <c r="M603" t="s">
        <v>47</v>
      </c>
    </row>
    <row r="604" spans="1:13" x14ac:dyDescent="0.25">
      <c r="A604">
        <v>603</v>
      </c>
      <c r="B604" t="s">
        <v>4165</v>
      </c>
      <c r="C604" s="2" t="s">
        <v>2907</v>
      </c>
      <c r="D604" s="2">
        <f t="shared" ca="1" si="36"/>
        <v>35</v>
      </c>
      <c r="E604" t="s">
        <v>10</v>
      </c>
      <c r="F604" t="s">
        <v>2008</v>
      </c>
      <c r="G604" t="s">
        <v>12</v>
      </c>
      <c r="H604" t="str">
        <f t="shared" si="37"/>
        <v>Sobral - CE</v>
      </c>
      <c r="I604" s="1" t="s">
        <v>155</v>
      </c>
      <c r="J604" s="3">
        <v>107</v>
      </c>
      <c r="K604" s="4">
        <f t="shared" si="38"/>
        <v>32.302861973191639</v>
      </c>
      <c r="L604" s="1" t="str">
        <f t="shared" si="39"/>
        <v>Obesidade grau I</v>
      </c>
      <c r="M604" t="s">
        <v>20</v>
      </c>
    </row>
    <row r="605" spans="1:13" x14ac:dyDescent="0.25">
      <c r="A605">
        <v>604</v>
      </c>
      <c r="B605" t="s">
        <v>4135</v>
      </c>
      <c r="C605" s="2" t="s">
        <v>3795</v>
      </c>
      <c r="D605" s="2">
        <f t="shared" ca="1" si="36"/>
        <v>53</v>
      </c>
      <c r="E605" t="s">
        <v>10</v>
      </c>
      <c r="F605" t="s">
        <v>17</v>
      </c>
      <c r="G605" t="s">
        <v>18</v>
      </c>
      <c r="H605" t="str">
        <f t="shared" si="37"/>
        <v>Campo Grande - MS</v>
      </c>
      <c r="I605" s="1" t="s">
        <v>262</v>
      </c>
      <c r="J605" s="3">
        <v>101</v>
      </c>
      <c r="K605" s="4">
        <f t="shared" si="38"/>
        <v>27.977839335180057</v>
      </c>
      <c r="L605" s="1" t="str">
        <f t="shared" si="39"/>
        <v>Levemente acima do peso</v>
      </c>
      <c r="M605" t="s">
        <v>14</v>
      </c>
    </row>
    <row r="606" spans="1:13" x14ac:dyDescent="0.25">
      <c r="A606">
        <v>605</v>
      </c>
      <c r="B606" t="s">
        <v>2792</v>
      </c>
      <c r="C606" s="2" t="s">
        <v>2793</v>
      </c>
      <c r="D606" s="2">
        <f t="shared" ca="1" si="36"/>
        <v>32</v>
      </c>
      <c r="E606" t="s">
        <v>10</v>
      </c>
      <c r="F606" t="s">
        <v>208</v>
      </c>
      <c r="G606" t="s">
        <v>30</v>
      </c>
      <c r="H606" t="str">
        <f t="shared" si="37"/>
        <v>Ji-Paraná - RO</v>
      </c>
      <c r="I606" s="1" t="s">
        <v>201</v>
      </c>
      <c r="J606" s="3">
        <v>77</v>
      </c>
      <c r="K606" s="4">
        <f t="shared" si="38"/>
        <v>20.043731778425659</v>
      </c>
      <c r="L606" s="1" t="str">
        <f t="shared" si="39"/>
        <v>Peso ideal - parabéns</v>
      </c>
      <c r="M606" t="s">
        <v>26</v>
      </c>
    </row>
    <row r="607" spans="1:13" x14ac:dyDescent="0.25">
      <c r="A607">
        <v>606</v>
      </c>
      <c r="B607" t="s">
        <v>3543</v>
      </c>
      <c r="C607" s="2" t="s">
        <v>3440</v>
      </c>
      <c r="D607" s="2">
        <f t="shared" ca="1" si="36"/>
        <v>69</v>
      </c>
      <c r="E607" t="s">
        <v>10</v>
      </c>
      <c r="F607" t="s">
        <v>775</v>
      </c>
      <c r="G607" t="s">
        <v>51</v>
      </c>
      <c r="H607" t="str">
        <f t="shared" si="37"/>
        <v>Rio de Janeiro - RJ</v>
      </c>
      <c r="I607" s="1" t="s">
        <v>179</v>
      </c>
      <c r="J607" s="3">
        <v>54</v>
      </c>
      <c r="K607" s="4">
        <f t="shared" si="38"/>
        <v>17.8359096313912</v>
      </c>
      <c r="L607" s="1" t="str">
        <f t="shared" si="39"/>
        <v>Abaixo do peso</v>
      </c>
      <c r="M607" t="s">
        <v>32</v>
      </c>
    </row>
    <row r="608" spans="1:13" x14ac:dyDescent="0.25">
      <c r="A608">
        <v>607</v>
      </c>
      <c r="B608" t="s">
        <v>4098</v>
      </c>
      <c r="C608" s="2" t="s">
        <v>4066</v>
      </c>
      <c r="D608" s="2">
        <f t="shared" ca="1" si="36"/>
        <v>22</v>
      </c>
      <c r="E608" t="s">
        <v>23</v>
      </c>
      <c r="F608" t="s">
        <v>383</v>
      </c>
      <c r="G608" t="s">
        <v>237</v>
      </c>
      <c r="H608" t="str">
        <f t="shared" si="37"/>
        <v>Parnaíba - PI</v>
      </c>
      <c r="I608" s="1" t="s">
        <v>205</v>
      </c>
      <c r="J608" s="3">
        <v>67</v>
      </c>
      <c r="K608" s="4">
        <f t="shared" si="38"/>
        <v>28.621470374642232</v>
      </c>
      <c r="L608" s="1" t="str">
        <f t="shared" si="39"/>
        <v>Levemente acima do peso</v>
      </c>
      <c r="M608" t="s">
        <v>95</v>
      </c>
    </row>
    <row r="609" spans="1:13" x14ac:dyDescent="0.25">
      <c r="A609">
        <v>608</v>
      </c>
      <c r="B609" t="s">
        <v>2162</v>
      </c>
      <c r="C609" s="2" t="s">
        <v>2163</v>
      </c>
      <c r="D609" s="2">
        <f t="shared" ca="1" si="36"/>
        <v>33</v>
      </c>
      <c r="E609" t="s">
        <v>23</v>
      </c>
      <c r="F609" t="s">
        <v>69</v>
      </c>
      <c r="G609" t="s">
        <v>70</v>
      </c>
      <c r="H609" t="str">
        <f t="shared" si="37"/>
        <v>Aracaju - SE</v>
      </c>
      <c r="I609" s="1" t="s">
        <v>281</v>
      </c>
      <c r="J609" s="3">
        <v>45</v>
      </c>
      <c r="K609" s="4">
        <f t="shared" si="38"/>
        <v>17.146776406035663</v>
      </c>
      <c r="L609" s="1" t="str">
        <f t="shared" si="39"/>
        <v>Abaixo do peso</v>
      </c>
      <c r="M609" t="s">
        <v>26</v>
      </c>
    </row>
    <row r="610" spans="1:13" x14ac:dyDescent="0.25">
      <c r="A610">
        <v>609</v>
      </c>
      <c r="B610" t="s">
        <v>3028</v>
      </c>
      <c r="C610" s="2" t="s">
        <v>3029</v>
      </c>
      <c r="D610" s="2">
        <f t="shared" ca="1" si="36"/>
        <v>37</v>
      </c>
      <c r="E610" t="s">
        <v>23</v>
      </c>
      <c r="F610" t="s">
        <v>182</v>
      </c>
      <c r="G610" t="s">
        <v>55</v>
      </c>
      <c r="H610" t="str">
        <f t="shared" si="37"/>
        <v>Curitiba - PR</v>
      </c>
      <c r="I610" s="1" t="s">
        <v>166</v>
      </c>
      <c r="J610" s="3">
        <v>68</v>
      </c>
      <c r="K610" s="4">
        <f t="shared" si="38"/>
        <v>24.092970521541954</v>
      </c>
      <c r="L610" s="1" t="str">
        <f t="shared" si="39"/>
        <v>Peso ideal - parabéns</v>
      </c>
      <c r="M610" t="s">
        <v>32</v>
      </c>
    </row>
    <row r="611" spans="1:13" x14ac:dyDescent="0.25">
      <c r="A611">
        <v>610</v>
      </c>
      <c r="B611" t="s">
        <v>2769</v>
      </c>
      <c r="C611" s="2" t="s">
        <v>2770</v>
      </c>
      <c r="D611" s="2">
        <f t="shared" ca="1" si="36"/>
        <v>20</v>
      </c>
      <c r="E611" t="s">
        <v>23</v>
      </c>
      <c r="F611" t="s">
        <v>45</v>
      </c>
      <c r="G611" t="s">
        <v>46</v>
      </c>
      <c r="H611" t="str">
        <f t="shared" si="37"/>
        <v>Goiânia - GO</v>
      </c>
      <c r="I611" s="1" t="s">
        <v>386</v>
      </c>
      <c r="J611" s="3">
        <v>77</v>
      </c>
      <c r="K611" s="4">
        <f t="shared" si="38"/>
        <v>27.94309769197271</v>
      </c>
      <c r="L611" s="1" t="str">
        <f t="shared" si="39"/>
        <v>Levemente acima do peso</v>
      </c>
      <c r="M611" t="s">
        <v>20</v>
      </c>
    </row>
    <row r="612" spans="1:13" x14ac:dyDescent="0.25">
      <c r="A612">
        <v>611</v>
      </c>
      <c r="B612" t="s">
        <v>514</v>
      </c>
      <c r="C612" s="2" t="s">
        <v>515</v>
      </c>
      <c r="D612" s="2">
        <f t="shared" ca="1" si="36"/>
        <v>29</v>
      </c>
      <c r="E612" t="s">
        <v>23</v>
      </c>
      <c r="F612" t="s">
        <v>24</v>
      </c>
      <c r="G612" t="s">
        <v>25</v>
      </c>
      <c r="H612" t="str">
        <f t="shared" si="37"/>
        <v>Natal - RN</v>
      </c>
      <c r="I612" s="1" t="s">
        <v>13</v>
      </c>
      <c r="J612" s="3">
        <v>74</v>
      </c>
      <c r="K612" s="4">
        <f t="shared" si="38"/>
        <v>25.306932047467601</v>
      </c>
      <c r="L612" s="1" t="str">
        <f t="shared" si="39"/>
        <v>Levemente acima do peso</v>
      </c>
      <c r="M612" t="s">
        <v>14</v>
      </c>
    </row>
    <row r="613" spans="1:13" x14ac:dyDescent="0.25">
      <c r="A613">
        <v>612</v>
      </c>
      <c r="B613" t="s">
        <v>646</v>
      </c>
      <c r="C613" s="2" t="s">
        <v>574</v>
      </c>
      <c r="D613" s="2">
        <f t="shared" ca="1" si="36"/>
        <v>67</v>
      </c>
      <c r="E613" t="s">
        <v>23</v>
      </c>
      <c r="F613" t="s">
        <v>647</v>
      </c>
      <c r="G613" t="s">
        <v>12</v>
      </c>
      <c r="H613" t="str">
        <f t="shared" si="37"/>
        <v>Quixadá - CE</v>
      </c>
      <c r="I613" s="1" t="s">
        <v>194</v>
      </c>
      <c r="J613" s="3">
        <v>65</v>
      </c>
      <c r="K613" s="4">
        <f t="shared" si="38"/>
        <v>18.991964937910883</v>
      </c>
      <c r="L613" s="1" t="str">
        <f t="shared" si="39"/>
        <v>Peso ideal - parabéns</v>
      </c>
      <c r="M613" t="s">
        <v>76</v>
      </c>
    </row>
    <row r="614" spans="1:13" x14ac:dyDescent="0.25">
      <c r="A614">
        <v>613</v>
      </c>
      <c r="B614" t="s">
        <v>1677</v>
      </c>
      <c r="C614" s="2" t="s">
        <v>1678</v>
      </c>
      <c r="D614" s="2">
        <f t="shared" ca="1" si="36"/>
        <v>49</v>
      </c>
      <c r="E614" t="s">
        <v>23</v>
      </c>
      <c r="F614" t="s">
        <v>189</v>
      </c>
      <c r="G614" t="s">
        <v>190</v>
      </c>
      <c r="H614" t="str">
        <f t="shared" si="37"/>
        <v>Cuiabá - MT</v>
      </c>
      <c r="I614" s="1" t="s">
        <v>56</v>
      </c>
      <c r="J614" s="3">
        <v>54</v>
      </c>
      <c r="K614" s="4">
        <f t="shared" si="38"/>
        <v>18.906901018871892</v>
      </c>
      <c r="L614" s="1" t="str">
        <f t="shared" si="39"/>
        <v>Peso ideal - parabéns</v>
      </c>
      <c r="M614" t="s">
        <v>20</v>
      </c>
    </row>
    <row r="615" spans="1:13" x14ac:dyDescent="0.25">
      <c r="A615">
        <v>614</v>
      </c>
      <c r="B615" t="s">
        <v>3387</v>
      </c>
      <c r="C615" s="2" t="s">
        <v>3388</v>
      </c>
      <c r="D615" s="2">
        <f t="shared" ca="1" si="36"/>
        <v>69</v>
      </c>
      <c r="E615" t="s">
        <v>23</v>
      </c>
      <c r="F615" t="s">
        <v>182</v>
      </c>
      <c r="G615" t="s">
        <v>55</v>
      </c>
      <c r="H615" t="str">
        <f t="shared" si="37"/>
        <v>Curitiba - PR</v>
      </c>
      <c r="I615" s="1" t="s">
        <v>205</v>
      </c>
      <c r="J615" s="3">
        <v>52</v>
      </c>
      <c r="K615" s="4">
        <f t="shared" si="38"/>
        <v>22.213678499722331</v>
      </c>
      <c r="L615" s="1" t="str">
        <f t="shared" si="39"/>
        <v>Peso ideal - parabéns</v>
      </c>
      <c r="M615" t="s">
        <v>26</v>
      </c>
    </row>
    <row r="616" spans="1:13" x14ac:dyDescent="0.25">
      <c r="A616">
        <v>615</v>
      </c>
      <c r="B616" t="s">
        <v>3176</v>
      </c>
      <c r="C616" s="2" t="s">
        <v>3177</v>
      </c>
      <c r="D616" s="2">
        <f t="shared" ca="1" si="36"/>
        <v>63</v>
      </c>
      <c r="E616" t="s">
        <v>23</v>
      </c>
      <c r="F616" t="s">
        <v>3178</v>
      </c>
      <c r="G616" t="s">
        <v>103</v>
      </c>
      <c r="H616" t="str">
        <f t="shared" si="37"/>
        <v>Ribeirão Pires - SP</v>
      </c>
      <c r="I616" s="1" t="s">
        <v>416</v>
      </c>
      <c r="J616" s="3">
        <v>52</v>
      </c>
      <c r="K616" s="4">
        <f t="shared" si="38"/>
        <v>20.060954438486167</v>
      </c>
      <c r="L616" s="1" t="str">
        <f t="shared" si="39"/>
        <v>Peso ideal - parabéns</v>
      </c>
      <c r="M616" t="s">
        <v>76</v>
      </c>
    </row>
    <row r="617" spans="1:13" x14ac:dyDescent="0.25">
      <c r="A617">
        <v>616</v>
      </c>
      <c r="B617" t="s">
        <v>1779</v>
      </c>
      <c r="C617" s="2" t="s">
        <v>1780</v>
      </c>
      <c r="D617" s="2">
        <f t="shared" ca="1" si="36"/>
        <v>79</v>
      </c>
      <c r="E617" t="s">
        <v>23</v>
      </c>
      <c r="F617" t="s">
        <v>158</v>
      </c>
      <c r="G617" t="s">
        <v>159</v>
      </c>
      <c r="H617" t="str">
        <f t="shared" si="37"/>
        <v>Brasília - DF</v>
      </c>
      <c r="I617" s="1" t="s">
        <v>104</v>
      </c>
      <c r="J617" s="3">
        <v>83</v>
      </c>
      <c r="K617" s="4">
        <f t="shared" si="38"/>
        <v>28.719723183391007</v>
      </c>
      <c r="L617" s="1" t="str">
        <f t="shared" si="39"/>
        <v>Levemente acima do peso</v>
      </c>
      <c r="M617" t="s">
        <v>76</v>
      </c>
    </row>
    <row r="618" spans="1:13" x14ac:dyDescent="0.25">
      <c r="A618">
        <v>617</v>
      </c>
      <c r="B618" t="s">
        <v>1912</v>
      </c>
      <c r="C618" s="2" t="s">
        <v>1913</v>
      </c>
      <c r="D618" s="2">
        <f t="shared" ca="1" si="36"/>
        <v>69</v>
      </c>
      <c r="E618" t="s">
        <v>23</v>
      </c>
      <c r="F618" t="s">
        <v>11</v>
      </c>
      <c r="G618" t="s">
        <v>12</v>
      </c>
      <c r="H618" t="str">
        <f t="shared" si="37"/>
        <v>Caucaia - CE</v>
      </c>
      <c r="I618" s="1" t="s">
        <v>194</v>
      </c>
      <c r="J618" s="3">
        <v>63</v>
      </c>
      <c r="K618" s="4">
        <f t="shared" si="38"/>
        <v>18.407596785975162</v>
      </c>
      <c r="L618" s="1" t="str">
        <f t="shared" si="39"/>
        <v>Abaixo do peso</v>
      </c>
      <c r="M618" t="s">
        <v>32</v>
      </c>
    </row>
    <row r="619" spans="1:13" x14ac:dyDescent="0.25">
      <c r="A619">
        <v>618</v>
      </c>
      <c r="B619" t="s">
        <v>263</v>
      </c>
      <c r="C619" s="2" t="s">
        <v>264</v>
      </c>
      <c r="D619" s="2">
        <f t="shared" ca="1" si="36"/>
        <v>55</v>
      </c>
      <c r="E619" t="s">
        <v>23</v>
      </c>
      <c r="F619" t="s">
        <v>158</v>
      </c>
      <c r="G619" t="s">
        <v>159</v>
      </c>
      <c r="H619" t="str">
        <f t="shared" si="37"/>
        <v>Brasília - DF</v>
      </c>
      <c r="I619" s="1" t="s">
        <v>198</v>
      </c>
      <c r="J619" s="3">
        <v>49</v>
      </c>
      <c r="K619" s="4">
        <f t="shared" si="38"/>
        <v>19.879102600511175</v>
      </c>
      <c r="L619" s="1" t="str">
        <f t="shared" si="39"/>
        <v>Peso ideal - parabéns</v>
      </c>
      <c r="M619" t="s">
        <v>26</v>
      </c>
    </row>
    <row r="620" spans="1:13" x14ac:dyDescent="0.25">
      <c r="A620">
        <v>619</v>
      </c>
      <c r="B620" t="s">
        <v>930</v>
      </c>
      <c r="C620" s="2" t="s">
        <v>931</v>
      </c>
      <c r="D620" s="2">
        <f t="shared" ca="1" si="36"/>
        <v>72</v>
      </c>
      <c r="E620" t="s">
        <v>23</v>
      </c>
      <c r="F620" t="s">
        <v>932</v>
      </c>
      <c r="G620" t="s">
        <v>46</v>
      </c>
      <c r="H620" t="str">
        <f t="shared" si="37"/>
        <v>Rio Verde - GO</v>
      </c>
      <c r="I620" s="1" t="s">
        <v>281</v>
      </c>
      <c r="J620" s="3">
        <v>75</v>
      </c>
      <c r="K620" s="4">
        <f t="shared" si="38"/>
        <v>28.577960676726104</v>
      </c>
      <c r="L620" s="1" t="str">
        <f t="shared" si="39"/>
        <v>Levemente acima do peso</v>
      </c>
      <c r="M620" t="s">
        <v>14</v>
      </c>
    </row>
    <row r="621" spans="1:13" x14ac:dyDescent="0.25">
      <c r="A621">
        <v>620</v>
      </c>
      <c r="B621" t="s">
        <v>3664</v>
      </c>
      <c r="C621" s="2" t="s">
        <v>3665</v>
      </c>
      <c r="D621" s="2">
        <f t="shared" ca="1" si="36"/>
        <v>49</v>
      </c>
      <c r="E621" t="s">
        <v>23</v>
      </c>
      <c r="F621" t="s">
        <v>3666</v>
      </c>
      <c r="G621" t="s">
        <v>103</v>
      </c>
      <c r="H621" t="str">
        <f t="shared" si="37"/>
        <v>Bauru - SP</v>
      </c>
      <c r="I621" s="1" t="s">
        <v>42</v>
      </c>
      <c r="J621" s="3">
        <v>52</v>
      </c>
      <c r="K621" s="4">
        <f t="shared" si="38"/>
        <v>16.229206329390468</v>
      </c>
      <c r="L621" s="1" t="str">
        <f t="shared" si="39"/>
        <v>Muito abaixo do peso</v>
      </c>
      <c r="M621" t="s">
        <v>26</v>
      </c>
    </row>
    <row r="622" spans="1:13" x14ac:dyDescent="0.25">
      <c r="A622">
        <v>621</v>
      </c>
      <c r="B622" t="s">
        <v>3455</v>
      </c>
      <c r="C622" s="2" t="s">
        <v>3456</v>
      </c>
      <c r="D622" s="2">
        <f t="shared" ca="1" si="36"/>
        <v>50</v>
      </c>
      <c r="E622" t="s">
        <v>23</v>
      </c>
      <c r="F622" t="s">
        <v>158</v>
      </c>
      <c r="G622" t="s">
        <v>159</v>
      </c>
      <c r="H622" t="str">
        <f t="shared" si="37"/>
        <v>Brasília - DF</v>
      </c>
      <c r="I622" s="1" t="s">
        <v>104</v>
      </c>
      <c r="J622" s="3">
        <v>52</v>
      </c>
      <c r="K622" s="4">
        <f t="shared" si="38"/>
        <v>17.993079584775089</v>
      </c>
      <c r="L622" s="1" t="str">
        <f t="shared" si="39"/>
        <v>Abaixo do peso</v>
      </c>
      <c r="M622" t="s">
        <v>26</v>
      </c>
    </row>
    <row r="623" spans="1:13" x14ac:dyDescent="0.25">
      <c r="A623">
        <v>622</v>
      </c>
      <c r="B623" t="s">
        <v>3378</v>
      </c>
      <c r="C623" s="2" t="s">
        <v>3379</v>
      </c>
      <c r="D623" s="2">
        <f t="shared" ca="1" si="36"/>
        <v>42</v>
      </c>
      <c r="E623" t="s">
        <v>23</v>
      </c>
      <c r="F623" t="s">
        <v>616</v>
      </c>
      <c r="G623" t="s">
        <v>273</v>
      </c>
      <c r="H623" t="str">
        <f t="shared" si="37"/>
        <v>Serra - ES</v>
      </c>
      <c r="I623" s="1" t="s">
        <v>447</v>
      </c>
      <c r="J623" s="3">
        <v>72</v>
      </c>
      <c r="K623" s="4">
        <f t="shared" si="38"/>
        <v>23.510204081632654</v>
      </c>
      <c r="L623" s="1" t="str">
        <f t="shared" si="39"/>
        <v>Peso ideal - parabéns</v>
      </c>
      <c r="M623" t="s">
        <v>76</v>
      </c>
    </row>
    <row r="624" spans="1:13" x14ac:dyDescent="0.25">
      <c r="A624">
        <v>623</v>
      </c>
      <c r="B624" t="s">
        <v>842</v>
      </c>
      <c r="C624" s="2" t="s">
        <v>843</v>
      </c>
      <c r="D624" s="2">
        <f t="shared" ca="1" si="36"/>
        <v>32</v>
      </c>
      <c r="E624" t="s">
        <v>23</v>
      </c>
      <c r="F624" t="s">
        <v>135</v>
      </c>
      <c r="G624" t="s">
        <v>75</v>
      </c>
      <c r="H624" t="str">
        <f t="shared" si="37"/>
        <v>Santana - AP</v>
      </c>
      <c r="I624" s="1" t="s">
        <v>194</v>
      </c>
      <c r="J624" s="3">
        <v>81</v>
      </c>
      <c r="K624" s="4">
        <f t="shared" si="38"/>
        <v>23.666910153396639</v>
      </c>
      <c r="L624" s="1" t="str">
        <f t="shared" si="39"/>
        <v>Peso ideal - parabéns</v>
      </c>
      <c r="M624" t="s">
        <v>83</v>
      </c>
    </row>
    <row r="625" spans="1:13" x14ac:dyDescent="0.25">
      <c r="A625">
        <v>624</v>
      </c>
      <c r="B625" t="s">
        <v>2316</v>
      </c>
      <c r="C625" s="2" t="s">
        <v>2317</v>
      </c>
      <c r="D625" s="2">
        <f t="shared" ca="1" si="36"/>
        <v>67</v>
      </c>
      <c r="E625" t="s">
        <v>23</v>
      </c>
      <c r="F625" t="s">
        <v>24</v>
      </c>
      <c r="G625" t="s">
        <v>25</v>
      </c>
      <c r="H625" t="str">
        <f t="shared" si="37"/>
        <v>Natal - RN</v>
      </c>
      <c r="I625" s="1" t="s">
        <v>166</v>
      </c>
      <c r="J625" s="3">
        <v>69</v>
      </c>
      <c r="K625" s="4">
        <f t="shared" si="38"/>
        <v>24.447278911564631</v>
      </c>
      <c r="L625" s="1" t="str">
        <f t="shared" si="39"/>
        <v>Peso ideal - parabéns</v>
      </c>
      <c r="M625" t="s">
        <v>47</v>
      </c>
    </row>
    <row r="626" spans="1:13" x14ac:dyDescent="0.25">
      <c r="A626">
        <v>625</v>
      </c>
      <c r="B626" t="s">
        <v>1897</v>
      </c>
      <c r="C626" s="2" t="s">
        <v>1898</v>
      </c>
      <c r="D626" s="2">
        <f t="shared" ca="1" si="36"/>
        <v>82</v>
      </c>
      <c r="E626" t="s">
        <v>23</v>
      </c>
      <c r="F626" t="s">
        <v>1899</v>
      </c>
      <c r="G626" t="s">
        <v>55</v>
      </c>
      <c r="H626" t="str">
        <f t="shared" si="37"/>
        <v>Campo Mourão - PR</v>
      </c>
      <c r="I626" s="1" t="s">
        <v>90</v>
      </c>
      <c r="J626" s="3">
        <v>50</v>
      </c>
      <c r="K626" s="4">
        <f t="shared" si="38"/>
        <v>16.901027582477017</v>
      </c>
      <c r="L626" s="1" t="str">
        <f t="shared" si="39"/>
        <v>Muito abaixo do peso</v>
      </c>
      <c r="M626" t="s">
        <v>76</v>
      </c>
    </row>
    <row r="627" spans="1:13" x14ac:dyDescent="0.25">
      <c r="A627">
        <v>626</v>
      </c>
      <c r="B627" t="s">
        <v>2617</v>
      </c>
      <c r="C627" s="2" t="s">
        <v>2618</v>
      </c>
      <c r="D627" s="2">
        <f t="shared" ca="1" si="36"/>
        <v>24</v>
      </c>
      <c r="E627" t="s">
        <v>23</v>
      </c>
      <c r="F627" t="s">
        <v>267</v>
      </c>
      <c r="G627" t="s">
        <v>103</v>
      </c>
      <c r="H627" t="str">
        <f t="shared" si="37"/>
        <v>São Paulo - SP</v>
      </c>
      <c r="I627" s="1" t="s">
        <v>286</v>
      </c>
      <c r="J627" s="3">
        <v>80</v>
      </c>
      <c r="K627" s="4">
        <f t="shared" si="38"/>
        <v>29.384756657483933</v>
      </c>
      <c r="L627" s="1" t="str">
        <f t="shared" si="39"/>
        <v>Levemente acima do peso</v>
      </c>
      <c r="M627" t="s">
        <v>26</v>
      </c>
    </row>
    <row r="628" spans="1:13" x14ac:dyDescent="0.25">
      <c r="A628">
        <v>627</v>
      </c>
      <c r="B628" t="s">
        <v>2601</v>
      </c>
      <c r="C628" s="2" t="s">
        <v>2602</v>
      </c>
      <c r="D628" s="2">
        <f t="shared" ca="1" si="36"/>
        <v>46</v>
      </c>
      <c r="E628" t="s">
        <v>23</v>
      </c>
      <c r="F628" t="s">
        <v>74</v>
      </c>
      <c r="G628" t="s">
        <v>75</v>
      </c>
      <c r="H628" t="str">
        <f t="shared" si="37"/>
        <v>Macapá - AP</v>
      </c>
      <c r="I628" s="1" t="s">
        <v>123</v>
      </c>
      <c r="J628" s="3">
        <v>64</v>
      </c>
      <c r="K628" s="4">
        <f t="shared" si="38"/>
        <v>20.66115702479339</v>
      </c>
      <c r="L628" s="1" t="str">
        <f t="shared" si="39"/>
        <v>Peso ideal - parabéns</v>
      </c>
      <c r="M628" t="s">
        <v>76</v>
      </c>
    </row>
    <row r="629" spans="1:13" x14ac:dyDescent="0.25">
      <c r="A629">
        <v>628</v>
      </c>
      <c r="B629" t="s">
        <v>363</v>
      </c>
      <c r="C629" s="2" t="s">
        <v>364</v>
      </c>
      <c r="D629" s="2">
        <f t="shared" ca="1" si="36"/>
        <v>58</v>
      </c>
      <c r="E629" t="s">
        <v>23</v>
      </c>
      <c r="F629" t="s">
        <v>365</v>
      </c>
      <c r="G629" t="s">
        <v>41</v>
      </c>
      <c r="H629" t="str">
        <f t="shared" si="37"/>
        <v>Cabedelo - PB</v>
      </c>
      <c r="I629" s="1" t="s">
        <v>71</v>
      </c>
      <c r="J629" s="3">
        <v>64</v>
      </c>
      <c r="K629" s="4">
        <f t="shared" si="38"/>
        <v>19.110752784496398</v>
      </c>
      <c r="L629" s="1" t="str">
        <f t="shared" si="39"/>
        <v>Peso ideal - parabéns</v>
      </c>
      <c r="M629" t="s">
        <v>14</v>
      </c>
    </row>
    <row r="630" spans="1:13" x14ac:dyDescent="0.25">
      <c r="A630">
        <v>629</v>
      </c>
      <c r="B630" t="s">
        <v>3072</v>
      </c>
      <c r="C630" s="2" t="s">
        <v>3073</v>
      </c>
      <c r="D630" s="2">
        <f t="shared" ca="1" si="36"/>
        <v>77</v>
      </c>
      <c r="E630" t="s">
        <v>23</v>
      </c>
      <c r="F630" t="s">
        <v>1503</v>
      </c>
      <c r="G630" t="s">
        <v>55</v>
      </c>
      <c r="H630" t="str">
        <f t="shared" si="37"/>
        <v>Maringá - PR</v>
      </c>
      <c r="I630" s="1" t="s">
        <v>90</v>
      </c>
      <c r="J630" s="3">
        <v>86</v>
      </c>
      <c r="K630" s="4">
        <f t="shared" si="38"/>
        <v>29.069767441860467</v>
      </c>
      <c r="L630" s="1" t="str">
        <f t="shared" si="39"/>
        <v>Levemente acima do peso</v>
      </c>
      <c r="M630" t="s">
        <v>14</v>
      </c>
    </row>
    <row r="631" spans="1:13" x14ac:dyDescent="0.25">
      <c r="A631">
        <v>630</v>
      </c>
      <c r="B631" t="s">
        <v>1228</v>
      </c>
      <c r="C631" s="2" t="s">
        <v>1229</v>
      </c>
      <c r="D631" s="2">
        <f t="shared" ca="1" si="36"/>
        <v>79</v>
      </c>
      <c r="E631" t="s">
        <v>23</v>
      </c>
      <c r="F631" t="s">
        <v>528</v>
      </c>
      <c r="G631" t="s">
        <v>51</v>
      </c>
      <c r="H631" t="str">
        <f t="shared" si="37"/>
        <v>Nova Iguaçu - RJ</v>
      </c>
      <c r="I631" s="1" t="s">
        <v>94</v>
      </c>
      <c r="J631" s="3">
        <v>80</v>
      </c>
      <c r="K631" s="4">
        <f t="shared" si="38"/>
        <v>26.729927495071667</v>
      </c>
      <c r="L631" s="1" t="str">
        <f t="shared" si="39"/>
        <v>Levemente acima do peso</v>
      </c>
      <c r="M631" t="s">
        <v>26</v>
      </c>
    </row>
    <row r="632" spans="1:13" x14ac:dyDescent="0.25">
      <c r="A632">
        <v>631</v>
      </c>
      <c r="B632" t="s">
        <v>1084</v>
      </c>
      <c r="C632" s="2" t="s">
        <v>1085</v>
      </c>
      <c r="D632" s="2">
        <f t="shared" ca="1" si="36"/>
        <v>82</v>
      </c>
      <c r="E632" t="s">
        <v>23</v>
      </c>
      <c r="F632" t="s">
        <v>69</v>
      </c>
      <c r="G632" t="s">
        <v>70</v>
      </c>
      <c r="H632" t="str">
        <f t="shared" si="37"/>
        <v>Aracaju - SE</v>
      </c>
      <c r="I632" s="1" t="s">
        <v>416</v>
      </c>
      <c r="J632" s="3">
        <v>70</v>
      </c>
      <c r="K632" s="4">
        <f t="shared" si="38"/>
        <v>27.005130974885226</v>
      </c>
      <c r="L632" s="1" t="str">
        <f t="shared" si="39"/>
        <v>Levemente acima do peso</v>
      </c>
      <c r="M632" t="s">
        <v>95</v>
      </c>
    </row>
    <row r="633" spans="1:13" x14ac:dyDescent="0.25">
      <c r="A633">
        <v>632</v>
      </c>
      <c r="B633" t="s">
        <v>555</v>
      </c>
      <c r="C633" s="2" t="s">
        <v>556</v>
      </c>
      <c r="D633" s="2">
        <f t="shared" ca="1" si="36"/>
        <v>69</v>
      </c>
      <c r="E633" t="s">
        <v>23</v>
      </c>
      <c r="F633" t="s">
        <v>40</v>
      </c>
      <c r="G633" t="s">
        <v>41</v>
      </c>
      <c r="H633" t="str">
        <f t="shared" si="37"/>
        <v>Campina Grande - PB</v>
      </c>
      <c r="I633" s="1" t="s">
        <v>113</v>
      </c>
      <c r="J633" s="3">
        <v>86</v>
      </c>
      <c r="K633" s="4">
        <f t="shared" si="38"/>
        <v>32.368549813692653</v>
      </c>
      <c r="L633" s="1" t="str">
        <f t="shared" si="39"/>
        <v>Obesidade grau I</v>
      </c>
      <c r="M633" t="s">
        <v>26</v>
      </c>
    </row>
    <row r="634" spans="1:13" x14ac:dyDescent="0.25">
      <c r="A634">
        <v>633</v>
      </c>
      <c r="B634" t="s">
        <v>2422</v>
      </c>
      <c r="C634" s="2" t="s">
        <v>2423</v>
      </c>
      <c r="D634" s="2">
        <f t="shared" ca="1" si="36"/>
        <v>34</v>
      </c>
      <c r="E634" t="s">
        <v>23</v>
      </c>
      <c r="F634" t="s">
        <v>107</v>
      </c>
      <c r="G634" t="s">
        <v>36</v>
      </c>
      <c r="H634" t="str">
        <f t="shared" si="37"/>
        <v>São Luís - MA</v>
      </c>
      <c r="I634" s="1" t="s">
        <v>286</v>
      </c>
      <c r="J634" s="3">
        <v>53</v>
      </c>
      <c r="K634" s="4">
        <f t="shared" si="38"/>
        <v>19.467401285583104</v>
      </c>
      <c r="L634" s="1" t="str">
        <f t="shared" si="39"/>
        <v>Peso ideal - parabéns</v>
      </c>
      <c r="M634" t="s">
        <v>83</v>
      </c>
    </row>
    <row r="635" spans="1:13" x14ac:dyDescent="0.25">
      <c r="A635">
        <v>634</v>
      </c>
      <c r="B635" t="s">
        <v>773</v>
      </c>
      <c r="C635" s="2" t="s">
        <v>774</v>
      </c>
      <c r="D635" s="2">
        <f t="shared" ca="1" si="36"/>
        <v>27</v>
      </c>
      <c r="E635" t="s">
        <v>23</v>
      </c>
      <c r="F635" t="s">
        <v>775</v>
      </c>
      <c r="G635" t="s">
        <v>51</v>
      </c>
      <c r="H635" t="str">
        <f t="shared" si="37"/>
        <v>Rio de Janeiro - RJ</v>
      </c>
      <c r="I635" s="1" t="s">
        <v>104</v>
      </c>
      <c r="J635" s="3">
        <v>66</v>
      </c>
      <c r="K635" s="4">
        <f t="shared" si="38"/>
        <v>22.837370242214536</v>
      </c>
      <c r="L635" s="1" t="str">
        <f t="shared" si="39"/>
        <v>Peso ideal - parabéns</v>
      </c>
      <c r="M635" t="s">
        <v>83</v>
      </c>
    </row>
    <row r="636" spans="1:13" x14ac:dyDescent="0.25">
      <c r="A636">
        <v>635</v>
      </c>
      <c r="B636" t="s">
        <v>3779</v>
      </c>
      <c r="C636" s="2" t="s">
        <v>3758</v>
      </c>
      <c r="D636" s="2">
        <f t="shared" ca="1" si="36"/>
        <v>48</v>
      </c>
      <c r="E636" t="s">
        <v>10</v>
      </c>
      <c r="F636" t="s">
        <v>564</v>
      </c>
      <c r="G636" t="s">
        <v>565</v>
      </c>
      <c r="H636" t="str">
        <f t="shared" si="37"/>
        <v>Rio Branco - AC</v>
      </c>
      <c r="I636" s="1" t="s">
        <v>179</v>
      </c>
      <c r="J636" s="3">
        <v>98</v>
      </c>
      <c r="K636" s="4">
        <f t="shared" si="38"/>
        <v>32.368873034746997</v>
      </c>
      <c r="L636" s="1" t="str">
        <f t="shared" si="39"/>
        <v>Obesidade grau I</v>
      </c>
      <c r="M636" t="s">
        <v>32</v>
      </c>
    </row>
    <row r="637" spans="1:13" x14ac:dyDescent="0.25">
      <c r="A637">
        <v>636</v>
      </c>
      <c r="B637" t="s">
        <v>3779</v>
      </c>
      <c r="C637" s="2" t="s">
        <v>3758</v>
      </c>
      <c r="D637" s="2">
        <f t="shared" ca="1" si="36"/>
        <v>48</v>
      </c>
      <c r="E637" t="s">
        <v>10</v>
      </c>
      <c r="F637" t="s">
        <v>564</v>
      </c>
      <c r="G637" t="s">
        <v>565</v>
      </c>
      <c r="H637" t="str">
        <f t="shared" si="37"/>
        <v>Rio Branco - AC</v>
      </c>
      <c r="I637" s="1" t="s">
        <v>179</v>
      </c>
      <c r="J637" s="3">
        <v>98</v>
      </c>
      <c r="K637" s="4">
        <f t="shared" si="38"/>
        <v>32.368873034746997</v>
      </c>
      <c r="L637" s="1" t="str">
        <f t="shared" si="39"/>
        <v>Obesidade grau I</v>
      </c>
      <c r="M637" t="s">
        <v>32</v>
      </c>
    </row>
    <row r="638" spans="1:13" x14ac:dyDescent="0.25">
      <c r="A638">
        <v>637</v>
      </c>
      <c r="B638" t="s">
        <v>3881</v>
      </c>
      <c r="C638" s="2" t="s">
        <v>3882</v>
      </c>
      <c r="D638" s="2">
        <f t="shared" ca="1" si="36"/>
        <v>51</v>
      </c>
      <c r="E638" t="s">
        <v>10</v>
      </c>
      <c r="F638" t="s">
        <v>17</v>
      </c>
      <c r="G638" t="s">
        <v>18</v>
      </c>
      <c r="H638" t="str">
        <f t="shared" si="37"/>
        <v>Campo Grande - MS</v>
      </c>
      <c r="I638" s="1" t="s">
        <v>123</v>
      </c>
      <c r="J638" s="3">
        <v>102</v>
      </c>
      <c r="K638" s="4">
        <f t="shared" si="38"/>
        <v>32.928719008264466</v>
      </c>
      <c r="L638" s="1" t="str">
        <f t="shared" si="39"/>
        <v>Obesidade grau I</v>
      </c>
      <c r="M638" t="s">
        <v>47</v>
      </c>
    </row>
    <row r="639" spans="1:13" x14ac:dyDescent="0.25">
      <c r="A639">
        <v>638</v>
      </c>
      <c r="B639" t="s">
        <v>903</v>
      </c>
      <c r="C639" s="2" t="s">
        <v>904</v>
      </c>
      <c r="D639" s="2">
        <f t="shared" ca="1" si="36"/>
        <v>27</v>
      </c>
      <c r="E639" t="s">
        <v>10</v>
      </c>
      <c r="F639" t="s">
        <v>280</v>
      </c>
      <c r="G639" t="s">
        <v>175</v>
      </c>
      <c r="H639" t="str">
        <f t="shared" si="37"/>
        <v>Recife - PE</v>
      </c>
      <c r="I639" s="1" t="s">
        <v>194</v>
      </c>
      <c r="J639" s="3">
        <v>62</v>
      </c>
      <c r="K639" s="4">
        <f t="shared" si="38"/>
        <v>18.115412710007302</v>
      </c>
      <c r="L639" s="1" t="str">
        <f t="shared" si="39"/>
        <v>Abaixo do peso</v>
      </c>
      <c r="M639" t="s">
        <v>76</v>
      </c>
    </row>
    <row r="640" spans="1:13" x14ac:dyDescent="0.25">
      <c r="A640">
        <v>639</v>
      </c>
      <c r="B640" t="s">
        <v>3361</v>
      </c>
      <c r="C640" s="2" t="s">
        <v>2992</v>
      </c>
      <c r="D640" s="2">
        <f t="shared" ca="1" si="36"/>
        <v>60</v>
      </c>
      <c r="E640" t="s">
        <v>10</v>
      </c>
      <c r="F640" t="s">
        <v>380</v>
      </c>
      <c r="G640" t="s">
        <v>112</v>
      </c>
      <c r="H640" t="str">
        <f t="shared" si="37"/>
        <v>Ananindeua - PA</v>
      </c>
      <c r="I640" s="1" t="s">
        <v>104</v>
      </c>
      <c r="J640" s="3">
        <v>54</v>
      </c>
      <c r="K640" s="4">
        <f t="shared" si="38"/>
        <v>18.68512110726644</v>
      </c>
      <c r="L640" s="1" t="str">
        <f t="shared" si="39"/>
        <v>Peso ideal - parabéns</v>
      </c>
      <c r="M640" t="s">
        <v>14</v>
      </c>
    </row>
    <row r="641" spans="1:13" x14ac:dyDescent="0.25">
      <c r="A641">
        <v>640</v>
      </c>
      <c r="B641" t="s">
        <v>3356</v>
      </c>
      <c r="C641" s="2" t="s">
        <v>3357</v>
      </c>
      <c r="D641" s="2">
        <f t="shared" ca="1" si="36"/>
        <v>40</v>
      </c>
      <c r="E641" t="s">
        <v>10</v>
      </c>
      <c r="F641" t="s">
        <v>24</v>
      </c>
      <c r="G641" t="s">
        <v>25</v>
      </c>
      <c r="H641" t="str">
        <f t="shared" si="37"/>
        <v>Natal - RN</v>
      </c>
      <c r="I641" s="1" t="s">
        <v>71</v>
      </c>
      <c r="J641" s="3">
        <v>57</v>
      </c>
      <c r="K641" s="4">
        <f t="shared" si="38"/>
        <v>17.020514198692105</v>
      </c>
      <c r="L641" s="1" t="str">
        <f t="shared" si="39"/>
        <v>Abaixo do peso</v>
      </c>
      <c r="M641" t="s">
        <v>95</v>
      </c>
    </row>
    <row r="642" spans="1:13" x14ac:dyDescent="0.25">
      <c r="A642">
        <v>641</v>
      </c>
      <c r="B642" t="s">
        <v>2140</v>
      </c>
      <c r="C642" s="2" t="s">
        <v>2141</v>
      </c>
      <c r="D642" s="2">
        <f t="shared" ca="1" si="36"/>
        <v>79</v>
      </c>
      <c r="E642" t="s">
        <v>10</v>
      </c>
      <c r="F642" t="s">
        <v>17</v>
      </c>
      <c r="G642" t="s">
        <v>18</v>
      </c>
      <c r="H642" t="str">
        <f t="shared" si="37"/>
        <v>Campo Grande - MS</v>
      </c>
      <c r="I642" s="1" t="s">
        <v>37</v>
      </c>
      <c r="J642" s="3">
        <v>52</v>
      </c>
      <c r="K642" s="4">
        <f t="shared" si="38"/>
        <v>13.398953850910871</v>
      </c>
      <c r="L642" s="1" t="str">
        <f t="shared" si="39"/>
        <v>Muito abaixo do peso</v>
      </c>
      <c r="M642" t="s">
        <v>20</v>
      </c>
    </row>
    <row r="643" spans="1:13" x14ac:dyDescent="0.25">
      <c r="A643">
        <v>642</v>
      </c>
      <c r="B643" t="s">
        <v>2374</v>
      </c>
      <c r="C643" s="2" t="s">
        <v>2375</v>
      </c>
      <c r="D643" s="2">
        <f t="shared" ref="D643:D706" ca="1" si="40">YEAR(TODAY())-YEAR(C643)</f>
        <v>59</v>
      </c>
      <c r="E643" t="s">
        <v>23</v>
      </c>
      <c r="F643" t="s">
        <v>267</v>
      </c>
      <c r="G643" t="s">
        <v>103</v>
      </c>
      <c r="H643" t="str">
        <f t="shared" ref="H643:H706" si="41">CONCATENATE(F643," - ",G643)</f>
        <v>São Paulo - SP</v>
      </c>
      <c r="I643" s="1" t="s">
        <v>194</v>
      </c>
      <c r="J643" s="3">
        <v>78</v>
      </c>
      <c r="K643" s="4">
        <f t="shared" ref="K643:K706" si="42">J643/(I643*I643)</f>
        <v>22.790357925493058</v>
      </c>
      <c r="L643" s="1" t="str">
        <f t="shared" ref="L643:L706" si="43">IF(K643&gt;=40,"Obesidade grau III - mórbida",
IF(K643&gt;=35,"Obesidade grau II - severa",
IF(K643&gt;=30,"Obesidade grau I",
IF(K643&gt;=25,"Levemente acima do peso",
IF(K643&gt;=18.6,"Peso ideal - parabéns",
IF(K643&gt;=17,"Abaixo do peso",
"Muito abaixo do peso"))))))</f>
        <v>Peso ideal - parabéns</v>
      </c>
      <c r="M643" t="s">
        <v>76</v>
      </c>
    </row>
    <row r="644" spans="1:13" x14ac:dyDescent="0.25">
      <c r="A644">
        <v>643</v>
      </c>
      <c r="B644" t="s">
        <v>2713</v>
      </c>
      <c r="C644" s="2" t="s">
        <v>2714</v>
      </c>
      <c r="D644" s="2">
        <f t="shared" ca="1" si="40"/>
        <v>81</v>
      </c>
      <c r="E644" t="s">
        <v>23</v>
      </c>
      <c r="F644" t="s">
        <v>454</v>
      </c>
      <c r="G644" t="s">
        <v>60</v>
      </c>
      <c r="H644" t="str">
        <f t="shared" si="41"/>
        <v>Gurupi - TO</v>
      </c>
      <c r="I644" s="1" t="s">
        <v>582</v>
      </c>
      <c r="J644" s="3">
        <v>62</v>
      </c>
      <c r="K644" s="4">
        <f t="shared" si="42"/>
        <v>25.476660092044707</v>
      </c>
      <c r="L644" s="1" t="str">
        <f t="shared" si="43"/>
        <v>Levemente acima do peso</v>
      </c>
      <c r="M644" t="s">
        <v>95</v>
      </c>
    </row>
    <row r="645" spans="1:13" x14ac:dyDescent="0.25">
      <c r="A645">
        <v>644</v>
      </c>
      <c r="B645" t="s">
        <v>1185</v>
      </c>
      <c r="C645" s="2" t="s">
        <v>1186</v>
      </c>
      <c r="D645" s="2">
        <f t="shared" ca="1" si="40"/>
        <v>39</v>
      </c>
      <c r="E645" t="s">
        <v>23</v>
      </c>
      <c r="F645" t="s">
        <v>59</v>
      </c>
      <c r="G645" t="s">
        <v>60</v>
      </c>
      <c r="H645" t="str">
        <f t="shared" si="41"/>
        <v>Palmas - TO</v>
      </c>
      <c r="I645" s="1" t="s">
        <v>213</v>
      </c>
      <c r="J645" s="3">
        <v>84</v>
      </c>
      <c r="K645" s="4">
        <f t="shared" si="42"/>
        <v>36.357340720221607</v>
      </c>
      <c r="L645" s="1" t="str">
        <f t="shared" si="43"/>
        <v>Obesidade grau II - severa</v>
      </c>
      <c r="M645" t="s">
        <v>14</v>
      </c>
    </row>
    <row r="646" spans="1:13" x14ac:dyDescent="0.25">
      <c r="A646">
        <v>645</v>
      </c>
      <c r="B646" t="s">
        <v>2153</v>
      </c>
      <c r="C646" s="2" t="s">
        <v>2154</v>
      </c>
      <c r="D646" s="2">
        <f t="shared" ca="1" si="40"/>
        <v>42</v>
      </c>
      <c r="E646" t="s">
        <v>23</v>
      </c>
      <c r="F646" t="s">
        <v>446</v>
      </c>
      <c r="G646" t="s">
        <v>170</v>
      </c>
      <c r="H646" t="str">
        <f t="shared" si="41"/>
        <v>Arapiraca - AL</v>
      </c>
      <c r="I646" s="1" t="s">
        <v>104</v>
      </c>
      <c r="J646" s="3">
        <v>54</v>
      </c>
      <c r="K646" s="4">
        <f t="shared" si="42"/>
        <v>18.68512110726644</v>
      </c>
      <c r="L646" s="1" t="str">
        <f t="shared" si="43"/>
        <v>Peso ideal - parabéns</v>
      </c>
      <c r="M646" t="s">
        <v>20</v>
      </c>
    </row>
    <row r="647" spans="1:13" x14ac:dyDescent="0.25">
      <c r="A647">
        <v>646</v>
      </c>
      <c r="B647" t="s">
        <v>411</v>
      </c>
      <c r="C647" s="2" t="s">
        <v>412</v>
      </c>
      <c r="D647" s="2">
        <f t="shared" ca="1" si="40"/>
        <v>73</v>
      </c>
      <c r="E647" t="s">
        <v>23</v>
      </c>
      <c r="F647" t="s">
        <v>236</v>
      </c>
      <c r="G647" t="s">
        <v>237</v>
      </c>
      <c r="H647" t="str">
        <f t="shared" si="41"/>
        <v>Teresina - PI</v>
      </c>
      <c r="I647" s="1" t="s">
        <v>71</v>
      </c>
      <c r="J647" s="3">
        <v>61</v>
      </c>
      <c r="K647" s="4">
        <f t="shared" si="42"/>
        <v>18.214936247723131</v>
      </c>
      <c r="L647" s="1" t="str">
        <f t="shared" si="43"/>
        <v>Abaixo do peso</v>
      </c>
      <c r="M647" t="s">
        <v>32</v>
      </c>
    </row>
    <row r="648" spans="1:13" x14ac:dyDescent="0.25">
      <c r="A648">
        <v>647</v>
      </c>
      <c r="B648" t="s">
        <v>4126</v>
      </c>
      <c r="C648" s="2" t="s">
        <v>4127</v>
      </c>
      <c r="D648" s="2">
        <f t="shared" ca="1" si="40"/>
        <v>31</v>
      </c>
      <c r="E648" t="s">
        <v>23</v>
      </c>
      <c r="F648" t="s">
        <v>59</v>
      </c>
      <c r="G648" t="s">
        <v>60</v>
      </c>
      <c r="H648" t="str">
        <f t="shared" si="41"/>
        <v>Palmas - TO</v>
      </c>
      <c r="I648" s="1" t="s">
        <v>205</v>
      </c>
      <c r="J648" s="3">
        <v>88</v>
      </c>
      <c r="K648" s="4">
        <f t="shared" si="42"/>
        <v>37.592378999530098</v>
      </c>
      <c r="L648" s="1" t="str">
        <f t="shared" si="43"/>
        <v>Obesidade grau II - severa</v>
      </c>
      <c r="M648" t="s">
        <v>76</v>
      </c>
    </row>
    <row r="649" spans="1:13" x14ac:dyDescent="0.25">
      <c r="A649">
        <v>648</v>
      </c>
      <c r="B649" t="s">
        <v>3433</v>
      </c>
      <c r="C649" s="2" t="s">
        <v>3434</v>
      </c>
      <c r="D649" s="2">
        <f t="shared" ca="1" si="40"/>
        <v>78</v>
      </c>
      <c r="E649" t="s">
        <v>10</v>
      </c>
      <c r="F649" t="s">
        <v>775</v>
      </c>
      <c r="G649" t="s">
        <v>51</v>
      </c>
      <c r="H649" t="str">
        <f t="shared" si="41"/>
        <v>Rio de Janeiro - RJ</v>
      </c>
      <c r="I649" s="1" t="s">
        <v>262</v>
      </c>
      <c r="J649" s="3">
        <v>98</v>
      </c>
      <c r="K649" s="4">
        <f t="shared" si="42"/>
        <v>27.146814404432135</v>
      </c>
      <c r="L649" s="1" t="str">
        <f t="shared" si="43"/>
        <v>Levemente acima do peso</v>
      </c>
      <c r="M649" t="s">
        <v>32</v>
      </c>
    </row>
    <row r="650" spans="1:13" x14ac:dyDescent="0.25">
      <c r="A650">
        <v>649</v>
      </c>
      <c r="B650" t="s">
        <v>1938</v>
      </c>
      <c r="C650" s="2" t="s">
        <v>1939</v>
      </c>
      <c r="D650" s="2">
        <f t="shared" ca="1" si="40"/>
        <v>70</v>
      </c>
      <c r="E650" t="s">
        <v>10</v>
      </c>
      <c r="F650" t="s">
        <v>1083</v>
      </c>
      <c r="G650" t="s">
        <v>65</v>
      </c>
      <c r="H650" t="str">
        <f t="shared" si="41"/>
        <v>Itabuna - BA</v>
      </c>
      <c r="I650" s="1" t="s">
        <v>166</v>
      </c>
      <c r="J650" s="3">
        <v>93</v>
      </c>
      <c r="K650" s="4">
        <f t="shared" si="42"/>
        <v>32.950680272108848</v>
      </c>
      <c r="L650" s="1" t="str">
        <f t="shared" si="43"/>
        <v>Obesidade grau I</v>
      </c>
      <c r="M650" t="s">
        <v>14</v>
      </c>
    </row>
    <row r="651" spans="1:13" x14ac:dyDescent="0.25">
      <c r="A651">
        <v>650</v>
      </c>
      <c r="B651" t="s">
        <v>4027</v>
      </c>
      <c r="C651" s="2" t="s">
        <v>4028</v>
      </c>
      <c r="D651" s="2">
        <f t="shared" ca="1" si="40"/>
        <v>75</v>
      </c>
      <c r="E651" t="s">
        <v>10</v>
      </c>
      <c r="F651" t="s">
        <v>153</v>
      </c>
      <c r="G651" t="s">
        <v>154</v>
      </c>
      <c r="H651" t="str">
        <f t="shared" si="41"/>
        <v>Manaus - AM</v>
      </c>
      <c r="I651" s="1" t="s">
        <v>37</v>
      </c>
      <c r="J651" s="3">
        <v>73</v>
      </c>
      <c r="K651" s="4">
        <f t="shared" si="42"/>
        <v>18.810069829163339</v>
      </c>
      <c r="L651" s="1" t="str">
        <f t="shared" si="43"/>
        <v>Peso ideal - parabéns</v>
      </c>
      <c r="M651" t="s">
        <v>14</v>
      </c>
    </row>
    <row r="652" spans="1:13" x14ac:dyDescent="0.25">
      <c r="A652">
        <v>651</v>
      </c>
      <c r="B652" t="s">
        <v>3216</v>
      </c>
      <c r="C652" s="2" t="s">
        <v>3217</v>
      </c>
      <c r="D652" s="2">
        <f t="shared" ca="1" si="40"/>
        <v>46</v>
      </c>
      <c r="E652" t="s">
        <v>10</v>
      </c>
      <c r="F652" t="s">
        <v>241</v>
      </c>
      <c r="G652" t="s">
        <v>190</v>
      </c>
      <c r="H652" t="str">
        <f t="shared" si="41"/>
        <v>Várzea Grande - MT</v>
      </c>
      <c r="I652" s="1" t="s">
        <v>94</v>
      </c>
      <c r="J652" s="3">
        <v>107</v>
      </c>
      <c r="K652" s="4">
        <f t="shared" si="42"/>
        <v>35.751278024658355</v>
      </c>
      <c r="L652" s="1" t="str">
        <f t="shared" si="43"/>
        <v>Obesidade grau II - severa</v>
      </c>
      <c r="M652" t="s">
        <v>26</v>
      </c>
    </row>
    <row r="653" spans="1:13" x14ac:dyDescent="0.25">
      <c r="A653">
        <v>652</v>
      </c>
      <c r="B653" t="s">
        <v>714</v>
      </c>
      <c r="C653" s="2" t="s">
        <v>715</v>
      </c>
      <c r="D653" s="2">
        <f t="shared" ca="1" si="40"/>
        <v>49</v>
      </c>
      <c r="E653" t="s">
        <v>10</v>
      </c>
      <c r="F653" t="s">
        <v>446</v>
      </c>
      <c r="G653" t="s">
        <v>170</v>
      </c>
      <c r="H653" t="str">
        <f t="shared" si="41"/>
        <v>Arapiraca - AL</v>
      </c>
      <c r="I653" s="1" t="s">
        <v>416</v>
      </c>
      <c r="J653" s="3">
        <v>94</v>
      </c>
      <c r="K653" s="4">
        <f t="shared" si="42"/>
        <v>36.264033023417305</v>
      </c>
      <c r="L653" s="1" t="str">
        <f t="shared" si="43"/>
        <v>Obesidade grau II - severa</v>
      </c>
      <c r="M653" t="s">
        <v>47</v>
      </c>
    </row>
    <row r="654" spans="1:13" x14ac:dyDescent="0.25">
      <c r="A654">
        <v>653</v>
      </c>
      <c r="B654" t="s">
        <v>4034</v>
      </c>
      <c r="C654" s="2" t="s">
        <v>3565</v>
      </c>
      <c r="D654" s="2">
        <f t="shared" ca="1" si="40"/>
        <v>54</v>
      </c>
      <c r="E654" t="s">
        <v>10</v>
      </c>
      <c r="F654" t="s">
        <v>182</v>
      </c>
      <c r="G654" t="s">
        <v>55</v>
      </c>
      <c r="H654" t="str">
        <f t="shared" si="41"/>
        <v>Curitiba - PR</v>
      </c>
      <c r="I654" s="1" t="s">
        <v>56</v>
      </c>
      <c r="J654" s="3">
        <v>81</v>
      </c>
      <c r="K654" s="4">
        <f t="shared" si="42"/>
        <v>28.360351528307834</v>
      </c>
      <c r="L654" s="1" t="str">
        <f t="shared" si="43"/>
        <v>Levemente acima do peso</v>
      </c>
      <c r="M654" t="s">
        <v>95</v>
      </c>
    </row>
    <row r="655" spans="1:13" x14ac:dyDescent="0.25">
      <c r="A655">
        <v>654</v>
      </c>
      <c r="B655" t="s">
        <v>324</v>
      </c>
      <c r="C655" s="2" t="s">
        <v>325</v>
      </c>
      <c r="D655" s="2">
        <f t="shared" ca="1" si="40"/>
        <v>54</v>
      </c>
      <c r="E655" t="s">
        <v>10</v>
      </c>
      <c r="F655" t="s">
        <v>326</v>
      </c>
      <c r="G655" t="s">
        <v>65</v>
      </c>
      <c r="H655" t="str">
        <f t="shared" si="41"/>
        <v>Abaíra - BA</v>
      </c>
      <c r="I655" s="1" t="s">
        <v>286</v>
      </c>
      <c r="J655" s="3">
        <v>90</v>
      </c>
      <c r="K655" s="4">
        <f t="shared" si="42"/>
        <v>33.057851239669425</v>
      </c>
      <c r="L655" s="1" t="str">
        <f t="shared" si="43"/>
        <v>Obesidade grau I</v>
      </c>
      <c r="M655" t="s">
        <v>32</v>
      </c>
    </row>
    <row r="656" spans="1:13" x14ac:dyDescent="0.25">
      <c r="A656">
        <v>655</v>
      </c>
      <c r="B656" t="s">
        <v>448</v>
      </c>
      <c r="C656" s="2" t="s">
        <v>449</v>
      </c>
      <c r="D656" s="2">
        <f t="shared" ca="1" si="40"/>
        <v>60</v>
      </c>
      <c r="E656" t="s">
        <v>10</v>
      </c>
      <c r="F656" t="s">
        <v>241</v>
      </c>
      <c r="G656" t="s">
        <v>190</v>
      </c>
      <c r="H656" t="str">
        <f t="shared" si="41"/>
        <v>Várzea Grande - MT</v>
      </c>
      <c r="I656" s="1" t="s">
        <v>104</v>
      </c>
      <c r="J656" s="3">
        <v>57</v>
      </c>
      <c r="K656" s="4">
        <f t="shared" si="42"/>
        <v>19.723183391003463</v>
      </c>
      <c r="L656" s="1" t="str">
        <f t="shared" si="43"/>
        <v>Peso ideal - parabéns</v>
      </c>
      <c r="M656" t="s">
        <v>32</v>
      </c>
    </row>
    <row r="657" spans="1:13" x14ac:dyDescent="0.25">
      <c r="A657">
        <v>656</v>
      </c>
      <c r="B657" t="s">
        <v>3294</v>
      </c>
      <c r="C657" s="2" t="s">
        <v>2893</v>
      </c>
      <c r="D657" s="2">
        <f t="shared" ca="1" si="40"/>
        <v>81</v>
      </c>
      <c r="E657" t="s">
        <v>10</v>
      </c>
      <c r="F657" t="s">
        <v>241</v>
      </c>
      <c r="G657" t="s">
        <v>190</v>
      </c>
      <c r="H657" t="str">
        <f t="shared" si="41"/>
        <v>Várzea Grande - MT</v>
      </c>
      <c r="I657" s="1" t="s">
        <v>94</v>
      </c>
      <c r="J657" s="3">
        <v>70</v>
      </c>
      <c r="K657" s="4">
        <f t="shared" si="42"/>
        <v>23.388686558187711</v>
      </c>
      <c r="L657" s="1" t="str">
        <f t="shared" si="43"/>
        <v>Peso ideal - parabéns</v>
      </c>
      <c r="M657" t="s">
        <v>95</v>
      </c>
    </row>
    <row r="658" spans="1:13" x14ac:dyDescent="0.25">
      <c r="A658">
        <v>657</v>
      </c>
      <c r="B658" t="s">
        <v>2929</v>
      </c>
      <c r="C658" s="2" t="s">
        <v>2930</v>
      </c>
      <c r="D658" s="2">
        <f t="shared" ca="1" si="40"/>
        <v>44</v>
      </c>
      <c r="E658" t="s">
        <v>10</v>
      </c>
      <c r="F658" t="s">
        <v>1342</v>
      </c>
      <c r="G658" t="s">
        <v>273</v>
      </c>
      <c r="H658" t="str">
        <f t="shared" si="41"/>
        <v>Colatina - ES</v>
      </c>
      <c r="I658" s="1" t="s">
        <v>155</v>
      </c>
      <c r="J658" s="3">
        <v>55</v>
      </c>
      <c r="K658" s="4">
        <f t="shared" si="42"/>
        <v>16.604274846033086</v>
      </c>
      <c r="L658" s="1" t="str">
        <f t="shared" si="43"/>
        <v>Muito abaixo do peso</v>
      </c>
      <c r="M658" t="s">
        <v>20</v>
      </c>
    </row>
    <row r="659" spans="1:13" x14ac:dyDescent="0.25">
      <c r="A659">
        <v>658</v>
      </c>
      <c r="B659" t="s">
        <v>3519</v>
      </c>
      <c r="C659" s="2" t="s">
        <v>3520</v>
      </c>
      <c r="D659" s="2">
        <f t="shared" ca="1" si="40"/>
        <v>47</v>
      </c>
      <c r="E659" t="s">
        <v>23</v>
      </c>
      <c r="F659" t="s">
        <v>182</v>
      </c>
      <c r="G659" t="s">
        <v>55</v>
      </c>
      <c r="H659" t="str">
        <f t="shared" si="41"/>
        <v>Curitiba - PR</v>
      </c>
      <c r="I659" s="1" t="s">
        <v>191</v>
      </c>
      <c r="J659" s="3">
        <v>54</v>
      </c>
      <c r="K659" s="4">
        <f t="shared" si="42"/>
        <v>21.093749999999996</v>
      </c>
      <c r="L659" s="1" t="str">
        <f t="shared" si="43"/>
        <v>Peso ideal - parabéns</v>
      </c>
      <c r="M659" t="s">
        <v>83</v>
      </c>
    </row>
    <row r="660" spans="1:13" x14ac:dyDescent="0.25">
      <c r="A660">
        <v>659</v>
      </c>
      <c r="B660" t="s">
        <v>319</v>
      </c>
      <c r="C660" s="2" t="s">
        <v>320</v>
      </c>
      <c r="D660" s="2">
        <f t="shared" ca="1" si="40"/>
        <v>40</v>
      </c>
      <c r="E660" t="s">
        <v>23</v>
      </c>
      <c r="F660" t="s">
        <v>321</v>
      </c>
      <c r="G660" t="s">
        <v>273</v>
      </c>
      <c r="H660" t="str">
        <f t="shared" si="41"/>
        <v>Cariacica - ES</v>
      </c>
      <c r="I660" s="1" t="s">
        <v>198</v>
      </c>
      <c r="J660" s="3">
        <v>85</v>
      </c>
      <c r="K660" s="4">
        <f t="shared" si="42"/>
        <v>34.484157572315304</v>
      </c>
      <c r="L660" s="1" t="str">
        <f t="shared" si="43"/>
        <v>Obesidade grau I</v>
      </c>
      <c r="M660" t="s">
        <v>95</v>
      </c>
    </row>
    <row r="661" spans="1:13" x14ac:dyDescent="0.25">
      <c r="A661">
        <v>660</v>
      </c>
      <c r="B661" t="s">
        <v>1998</v>
      </c>
      <c r="C661" s="2" t="s">
        <v>1999</v>
      </c>
      <c r="D661" s="2">
        <f t="shared" ca="1" si="40"/>
        <v>75</v>
      </c>
      <c r="E661" t="s">
        <v>23</v>
      </c>
      <c r="F661" t="s">
        <v>915</v>
      </c>
      <c r="G661" t="s">
        <v>175</v>
      </c>
      <c r="H661" t="str">
        <f t="shared" si="41"/>
        <v>Olinda - PE</v>
      </c>
      <c r="I661" s="1" t="s">
        <v>247</v>
      </c>
      <c r="J661" s="3">
        <v>71</v>
      </c>
      <c r="K661" s="4">
        <f t="shared" si="42"/>
        <v>31.555555555555557</v>
      </c>
      <c r="L661" s="1" t="str">
        <f t="shared" si="43"/>
        <v>Obesidade grau I</v>
      </c>
      <c r="M661" t="s">
        <v>32</v>
      </c>
    </row>
    <row r="662" spans="1:13" x14ac:dyDescent="0.25">
      <c r="A662">
        <v>661</v>
      </c>
      <c r="B662" t="s">
        <v>799</v>
      </c>
      <c r="C662" s="2" t="s">
        <v>800</v>
      </c>
      <c r="D662" s="2">
        <f t="shared" ca="1" si="40"/>
        <v>70</v>
      </c>
      <c r="E662" t="s">
        <v>23</v>
      </c>
      <c r="F662" t="s">
        <v>153</v>
      </c>
      <c r="G662" t="s">
        <v>154</v>
      </c>
      <c r="H662" t="str">
        <f t="shared" si="41"/>
        <v>Manaus - AM</v>
      </c>
      <c r="I662" s="1" t="s">
        <v>194</v>
      </c>
      <c r="J662" s="3">
        <v>54</v>
      </c>
      <c r="K662" s="4">
        <f t="shared" si="42"/>
        <v>15.777940102264425</v>
      </c>
      <c r="L662" s="1" t="str">
        <f t="shared" si="43"/>
        <v>Muito abaixo do peso</v>
      </c>
      <c r="M662" t="s">
        <v>14</v>
      </c>
    </row>
    <row r="663" spans="1:13" x14ac:dyDescent="0.25">
      <c r="A663">
        <v>662</v>
      </c>
      <c r="B663" t="s">
        <v>1924</v>
      </c>
      <c r="C663" s="2" t="s">
        <v>1925</v>
      </c>
      <c r="D663" s="2">
        <f t="shared" ca="1" si="40"/>
        <v>39</v>
      </c>
      <c r="E663" t="s">
        <v>23</v>
      </c>
      <c r="F663" t="s">
        <v>711</v>
      </c>
      <c r="G663" t="s">
        <v>175</v>
      </c>
      <c r="H663" t="str">
        <f t="shared" si="41"/>
        <v>Camaragibe - PE</v>
      </c>
      <c r="I663" s="1" t="s">
        <v>191</v>
      </c>
      <c r="J663" s="3">
        <v>75</v>
      </c>
      <c r="K663" s="4">
        <f t="shared" si="42"/>
        <v>29.296874999999993</v>
      </c>
      <c r="L663" s="1" t="str">
        <f t="shared" si="43"/>
        <v>Levemente acima do peso</v>
      </c>
      <c r="M663" t="s">
        <v>47</v>
      </c>
    </row>
    <row r="664" spans="1:13" x14ac:dyDescent="0.25">
      <c r="A664">
        <v>663</v>
      </c>
      <c r="B664" t="s">
        <v>1319</v>
      </c>
      <c r="C664" s="2" t="s">
        <v>1320</v>
      </c>
      <c r="D664" s="2">
        <f t="shared" ca="1" si="40"/>
        <v>70</v>
      </c>
      <c r="E664" t="s">
        <v>23</v>
      </c>
      <c r="F664" t="s">
        <v>204</v>
      </c>
      <c r="G664" t="s">
        <v>112</v>
      </c>
      <c r="H664" t="str">
        <f t="shared" si="41"/>
        <v>Belém - PA</v>
      </c>
      <c r="I664" s="1" t="s">
        <v>123</v>
      </c>
      <c r="J664" s="3">
        <v>49</v>
      </c>
      <c r="K664" s="4">
        <f t="shared" si="42"/>
        <v>15.818698347107439</v>
      </c>
      <c r="L664" s="1" t="str">
        <f t="shared" si="43"/>
        <v>Muito abaixo do peso</v>
      </c>
      <c r="M664" t="s">
        <v>32</v>
      </c>
    </row>
    <row r="665" spans="1:13" x14ac:dyDescent="0.25">
      <c r="A665">
        <v>664</v>
      </c>
      <c r="B665" t="s">
        <v>3109</v>
      </c>
      <c r="C665" s="2" t="s">
        <v>3110</v>
      </c>
      <c r="D665" s="2">
        <f t="shared" ca="1" si="40"/>
        <v>32</v>
      </c>
      <c r="E665" t="s">
        <v>23</v>
      </c>
      <c r="F665" t="s">
        <v>915</v>
      </c>
      <c r="G665" t="s">
        <v>175</v>
      </c>
      <c r="H665" t="str">
        <f t="shared" si="41"/>
        <v>Olinda - PE</v>
      </c>
      <c r="I665" s="1" t="s">
        <v>400</v>
      </c>
      <c r="J665" s="3">
        <v>56</v>
      </c>
      <c r="K665" s="4">
        <f t="shared" si="42"/>
        <v>17.283950617283949</v>
      </c>
      <c r="L665" s="1" t="str">
        <f t="shared" si="43"/>
        <v>Abaixo do peso</v>
      </c>
      <c r="M665" t="s">
        <v>95</v>
      </c>
    </row>
    <row r="666" spans="1:13" x14ac:dyDescent="0.25">
      <c r="A666">
        <v>665</v>
      </c>
      <c r="B666" t="s">
        <v>3313</v>
      </c>
      <c r="C666" s="2" t="s">
        <v>3314</v>
      </c>
      <c r="D666" s="2">
        <f t="shared" ca="1" si="40"/>
        <v>25</v>
      </c>
      <c r="E666" t="s">
        <v>10</v>
      </c>
      <c r="F666" t="s">
        <v>250</v>
      </c>
      <c r="G666" t="s">
        <v>103</v>
      </c>
      <c r="H666" t="str">
        <f t="shared" si="41"/>
        <v>Limeira - SP</v>
      </c>
      <c r="I666" s="1" t="s">
        <v>86</v>
      </c>
      <c r="J666" s="3">
        <v>58</v>
      </c>
      <c r="K666" s="4">
        <f t="shared" si="42"/>
        <v>17.703977290070512</v>
      </c>
      <c r="L666" s="1" t="str">
        <f t="shared" si="43"/>
        <v>Abaixo do peso</v>
      </c>
      <c r="M666" t="s">
        <v>20</v>
      </c>
    </row>
    <row r="667" spans="1:13" x14ac:dyDescent="0.25">
      <c r="A667">
        <v>666</v>
      </c>
      <c r="B667" t="s">
        <v>3182</v>
      </c>
      <c r="C667" s="2" t="s">
        <v>3183</v>
      </c>
      <c r="D667" s="2">
        <f t="shared" ca="1" si="40"/>
        <v>32</v>
      </c>
      <c r="E667" t="s">
        <v>10</v>
      </c>
      <c r="F667" t="s">
        <v>241</v>
      </c>
      <c r="G667" t="s">
        <v>190</v>
      </c>
      <c r="H667" t="str">
        <f t="shared" si="41"/>
        <v>Várzea Grande - MT</v>
      </c>
      <c r="I667" s="1" t="s">
        <v>639</v>
      </c>
      <c r="J667" s="3">
        <v>82</v>
      </c>
      <c r="K667" s="4">
        <f t="shared" si="42"/>
        <v>20.5</v>
      </c>
      <c r="L667" s="1" t="str">
        <f t="shared" si="43"/>
        <v>Peso ideal - parabéns</v>
      </c>
      <c r="M667" t="s">
        <v>32</v>
      </c>
    </row>
    <row r="668" spans="1:13" x14ac:dyDescent="0.25">
      <c r="A668">
        <v>667</v>
      </c>
      <c r="B668" t="s">
        <v>2939</v>
      </c>
      <c r="C668" s="2" t="s">
        <v>2940</v>
      </c>
      <c r="D668" s="2">
        <f t="shared" ca="1" si="40"/>
        <v>21</v>
      </c>
      <c r="E668" t="s">
        <v>10</v>
      </c>
      <c r="F668" t="s">
        <v>564</v>
      </c>
      <c r="G668" t="s">
        <v>565</v>
      </c>
      <c r="H668" t="str">
        <f t="shared" si="41"/>
        <v>Rio Branco - AC</v>
      </c>
      <c r="I668" s="1" t="s">
        <v>286</v>
      </c>
      <c r="J668" s="3">
        <v>78</v>
      </c>
      <c r="K668" s="4">
        <f t="shared" si="42"/>
        <v>28.650137741046834</v>
      </c>
      <c r="L668" s="1" t="str">
        <f t="shared" si="43"/>
        <v>Levemente acima do peso</v>
      </c>
      <c r="M668" t="s">
        <v>14</v>
      </c>
    </row>
    <row r="669" spans="1:13" x14ac:dyDescent="0.25">
      <c r="A669">
        <v>668</v>
      </c>
      <c r="B669" t="s">
        <v>2263</v>
      </c>
      <c r="C669" s="2" t="s">
        <v>2264</v>
      </c>
      <c r="D669" s="2">
        <f t="shared" ca="1" si="40"/>
        <v>66</v>
      </c>
      <c r="E669" t="s">
        <v>10</v>
      </c>
      <c r="F669" t="s">
        <v>64</v>
      </c>
      <c r="G669" t="s">
        <v>65</v>
      </c>
      <c r="H669" t="str">
        <f t="shared" si="41"/>
        <v>Salvador - BA</v>
      </c>
      <c r="I669" s="1" t="s">
        <v>66</v>
      </c>
      <c r="J669" s="3">
        <v>99</v>
      </c>
      <c r="K669" s="4">
        <f t="shared" si="42"/>
        <v>28.010411951109102</v>
      </c>
      <c r="L669" s="1" t="str">
        <f t="shared" si="43"/>
        <v>Levemente acima do peso</v>
      </c>
      <c r="M669" t="s">
        <v>47</v>
      </c>
    </row>
    <row r="670" spans="1:13" x14ac:dyDescent="0.25">
      <c r="A670">
        <v>669</v>
      </c>
      <c r="B670" t="s">
        <v>3550</v>
      </c>
      <c r="C670" s="2" t="s">
        <v>3551</v>
      </c>
      <c r="D670" s="2">
        <f t="shared" ca="1" si="40"/>
        <v>68</v>
      </c>
      <c r="E670" t="s">
        <v>10</v>
      </c>
      <c r="F670" t="s">
        <v>153</v>
      </c>
      <c r="G670" t="s">
        <v>154</v>
      </c>
      <c r="H670" t="str">
        <f t="shared" si="41"/>
        <v>Manaus - AM</v>
      </c>
      <c r="I670" s="1" t="s">
        <v>218</v>
      </c>
      <c r="J670" s="3">
        <v>78</v>
      </c>
      <c r="K670" s="4">
        <f t="shared" si="42"/>
        <v>20.940159467368254</v>
      </c>
      <c r="L670" s="1" t="str">
        <f t="shared" si="43"/>
        <v>Peso ideal - parabéns</v>
      </c>
      <c r="M670" t="s">
        <v>20</v>
      </c>
    </row>
    <row r="671" spans="1:13" x14ac:dyDescent="0.25">
      <c r="A671">
        <v>670</v>
      </c>
      <c r="B671" t="s">
        <v>3185</v>
      </c>
      <c r="C671" s="2" t="s">
        <v>3186</v>
      </c>
      <c r="D671" s="2">
        <f t="shared" ca="1" si="40"/>
        <v>23</v>
      </c>
      <c r="E671" t="s">
        <v>10</v>
      </c>
      <c r="F671" t="s">
        <v>1310</v>
      </c>
      <c r="G671" t="s">
        <v>51</v>
      </c>
      <c r="H671" t="str">
        <f t="shared" si="41"/>
        <v>Campos dos Goytacazes - RJ</v>
      </c>
      <c r="I671" s="1" t="s">
        <v>148</v>
      </c>
      <c r="J671" s="3">
        <v>106</v>
      </c>
      <c r="K671" s="4">
        <f t="shared" si="42"/>
        <v>27.876397107166341</v>
      </c>
      <c r="L671" s="1" t="str">
        <f t="shared" si="43"/>
        <v>Levemente acima do peso</v>
      </c>
      <c r="M671" t="s">
        <v>20</v>
      </c>
    </row>
    <row r="672" spans="1:13" x14ac:dyDescent="0.25">
      <c r="A672">
        <v>671</v>
      </c>
      <c r="B672" t="s">
        <v>2302</v>
      </c>
      <c r="C672" s="2" t="s">
        <v>2303</v>
      </c>
      <c r="D672" s="2">
        <f t="shared" ca="1" si="40"/>
        <v>35</v>
      </c>
      <c r="E672" t="s">
        <v>10</v>
      </c>
      <c r="F672" t="s">
        <v>498</v>
      </c>
      <c r="G672" t="s">
        <v>131</v>
      </c>
      <c r="H672" t="str">
        <f t="shared" si="41"/>
        <v>Florianópolis - SC</v>
      </c>
      <c r="I672" s="1" t="s">
        <v>218</v>
      </c>
      <c r="J672" s="3">
        <v>87</v>
      </c>
      <c r="K672" s="4">
        <f t="shared" si="42"/>
        <v>23.356331713603051</v>
      </c>
      <c r="L672" s="1" t="str">
        <f t="shared" si="43"/>
        <v>Peso ideal - parabéns</v>
      </c>
      <c r="M672" t="s">
        <v>20</v>
      </c>
    </row>
    <row r="673" spans="1:13" x14ac:dyDescent="0.25">
      <c r="A673">
        <v>672</v>
      </c>
      <c r="B673" t="s">
        <v>368</v>
      </c>
      <c r="C673" s="2" t="s">
        <v>217</v>
      </c>
      <c r="D673" s="2">
        <f t="shared" ca="1" si="40"/>
        <v>77</v>
      </c>
      <c r="E673" t="s">
        <v>10</v>
      </c>
      <c r="F673" t="s">
        <v>189</v>
      </c>
      <c r="G673" t="s">
        <v>190</v>
      </c>
      <c r="H673" t="str">
        <f t="shared" si="41"/>
        <v>Cuiabá - MT</v>
      </c>
      <c r="I673" s="1" t="s">
        <v>218</v>
      </c>
      <c r="J673" s="3">
        <v>103</v>
      </c>
      <c r="K673" s="4">
        <f t="shared" si="42"/>
        <v>27.651749040242692</v>
      </c>
      <c r="L673" s="1" t="str">
        <f t="shared" si="43"/>
        <v>Levemente acima do peso</v>
      </c>
      <c r="M673" t="s">
        <v>95</v>
      </c>
    </row>
    <row r="674" spans="1:13" x14ac:dyDescent="0.25">
      <c r="A674">
        <v>673</v>
      </c>
      <c r="B674" t="s">
        <v>1195</v>
      </c>
      <c r="C674" s="2" t="s">
        <v>1196</v>
      </c>
      <c r="D674" s="2">
        <f t="shared" ca="1" si="40"/>
        <v>37</v>
      </c>
      <c r="E674" t="s">
        <v>10</v>
      </c>
      <c r="F674" t="s">
        <v>1197</v>
      </c>
      <c r="G674" t="s">
        <v>55</v>
      </c>
      <c r="H674" t="str">
        <f t="shared" si="41"/>
        <v>Paranaguá - PR</v>
      </c>
      <c r="I674" s="1" t="s">
        <v>201</v>
      </c>
      <c r="J674" s="3">
        <v>64</v>
      </c>
      <c r="K674" s="4">
        <f t="shared" si="42"/>
        <v>16.659725114535611</v>
      </c>
      <c r="L674" s="1" t="str">
        <f t="shared" si="43"/>
        <v>Muito abaixo do peso</v>
      </c>
      <c r="M674" t="s">
        <v>20</v>
      </c>
    </row>
    <row r="675" spans="1:13" x14ac:dyDescent="0.25">
      <c r="A675">
        <v>674</v>
      </c>
      <c r="B675" t="s">
        <v>562</v>
      </c>
      <c r="C675" s="2" t="s">
        <v>563</v>
      </c>
      <c r="D675" s="2">
        <f t="shared" ca="1" si="40"/>
        <v>59</v>
      </c>
      <c r="E675" t="s">
        <v>10</v>
      </c>
      <c r="F675" t="s">
        <v>564</v>
      </c>
      <c r="G675" t="s">
        <v>565</v>
      </c>
      <c r="H675" t="str">
        <f t="shared" si="41"/>
        <v>Rio Branco - AC</v>
      </c>
      <c r="I675" s="1" t="s">
        <v>218</v>
      </c>
      <c r="J675" s="3">
        <v>66</v>
      </c>
      <c r="K675" s="4">
        <f t="shared" si="42"/>
        <v>17.718596472388523</v>
      </c>
      <c r="L675" s="1" t="str">
        <f t="shared" si="43"/>
        <v>Abaixo do peso</v>
      </c>
      <c r="M675" t="s">
        <v>20</v>
      </c>
    </row>
    <row r="676" spans="1:13" x14ac:dyDescent="0.25">
      <c r="A676">
        <v>675</v>
      </c>
      <c r="B676" t="s">
        <v>1804</v>
      </c>
      <c r="C676" s="2" t="s">
        <v>1805</v>
      </c>
      <c r="D676" s="2">
        <f t="shared" ca="1" si="40"/>
        <v>54</v>
      </c>
      <c r="E676" t="s">
        <v>10</v>
      </c>
      <c r="F676" t="s">
        <v>462</v>
      </c>
      <c r="G676" t="s">
        <v>36</v>
      </c>
      <c r="H676" t="str">
        <f t="shared" si="41"/>
        <v>Caxias - MA</v>
      </c>
      <c r="I676" s="1" t="s">
        <v>94</v>
      </c>
      <c r="J676" s="3">
        <v>67</v>
      </c>
      <c r="K676" s="4">
        <f t="shared" si="42"/>
        <v>22.386314277122523</v>
      </c>
      <c r="L676" s="1" t="str">
        <f t="shared" si="43"/>
        <v>Peso ideal - parabéns</v>
      </c>
      <c r="M676" t="s">
        <v>26</v>
      </c>
    </row>
    <row r="677" spans="1:13" x14ac:dyDescent="0.25">
      <c r="A677">
        <v>676</v>
      </c>
      <c r="B677" t="s">
        <v>430</v>
      </c>
      <c r="C677" s="2" t="s">
        <v>431</v>
      </c>
      <c r="D677" s="2">
        <f t="shared" ca="1" si="40"/>
        <v>68</v>
      </c>
      <c r="E677" t="s">
        <v>10</v>
      </c>
      <c r="F677" t="s">
        <v>383</v>
      </c>
      <c r="G677" t="s">
        <v>237</v>
      </c>
      <c r="H677" t="str">
        <f t="shared" si="41"/>
        <v>Parnaíba - PI</v>
      </c>
      <c r="I677" s="1" t="s">
        <v>160</v>
      </c>
      <c r="J677" s="3">
        <v>52</v>
      </c>
      <c r="K677" s="4">
        <f t="shared" si="42"/>
        <v>15.359168241965973</v>
      </c>
      <c r="L677" s="1" t="str">
        <f t="shared" si="43"/>
        <v>Muito abaixo do peso</v>
      </c>
      <c r="M677" t="s">
        <v>32</v>
      </c>
    </row>
    <row r="678" spans="1:13" x14ac:dyDescent="0.25">
      <c r="A678">
        <v>677</v>
      </c>
      <c r="B678" t="s">
        <v>3636</v>
      </c>
      <c r="C678" s="2" t="s">
        <v>3637</v>
      </c>
      <c r="D678" s="2">
        <f t="shared" ca="1" si="40"/>
        <v>25</v>
      </c>
      <c r="E678" t="s">
        <v>10</v>
      </c>
      <c r="F678" t="s">
        <v>339</v>
      </c>
      <c r="G678" t="s">
        <v>46</v>
      </c>
      <c r="H678" t="str">
        <f t="shared" si="41"/>
        <v>Jataí - GO</v>
      </c>
      <c r="I678" s="1" t="s">
        <v>42</v>
      </c>
      <c r="J678" s="3">
        <v>58</v>
      </c>
      <c r="K678" s="4">
        <f t="shared" si="42"/>
        <v>18.101807059704754</v>
      </c>
      <c r="L678" s="1" t="str">
        <f t="shared" si="43"/>
        <v>Abaixo do peso</v>
      </c>
      <c r="M678" t="s">
        <v>32</v>
      </c>
    </row>
    <row r="679" spans="1:13" x14ac:dyDescent="0.25">
      <c r="A679">
        <v>678</v>
      </c>
      <c r="B679" t="s">
        <v>1013</v>
      </c>
      <c r="C679" s="2" t="s">
        <v>1014</v>
      </c>
      <c r="D679" s="2">
        <f t="shared" ca="1" si="40"/>
        <v>20</v>
      </c>
      <c r="E679" t="s">
        <v>10</v>
      </c>
      <c r="F679" t="s">
        <v>244</v>
      </c>
      <c r="G679" t="s">
        <v>60</v>
      </c>
      <c r="H679" t="str">
        <f t="shared" si="41"/>
        <v>Araguaína - TO</v>
      </c>
      <c r="I679" s="1" t="s">
        <v>56</v>
      </c>
      <c r="J679" s="3">
        <v>92</v>
      </c>
      <c r="K679" s="4">
        <f t="shared" si="42"/>
        <v>32.211757291411367</v>
      </c>
      <c r="L679" s="1" t="str">
        <f t="shared" si="43"/>
        <v>Obesidade grau I</v>
      </c>
      <c r="M679" t="s">
        <v>26</v>
      </c>
    </row>
    <row r="680" spans="1:13" x14ac:dyDescent="0.25">
      <c r="A680">
        <v>679</v>
      </c>
      <c r="B680" t="s">
        <v>2396</v>
      </c>
      <c r="C680" s="2" t="s">
        <v>2397</v>
      </c>
      <c r="D680" s="2">
        <f t="shared" ca="1" si="40"/>
        <v>46</v>
      </c>
      <c r="E680" t="s">
        <v>10</v>
      </c>
      <c r="F680" t="s">
        <v>236</v>
      </c>
      <c r="G680" t="s">
        <v>237</v>
      </c>
      <c r="H680" t="str">
        <f t="shared" si="41"/>
        <v>Teresina - PI</v>
      </c>
      <c r="I680" s="1" t="s">
        <v>191</v>
      </c>
      <c r="J680" s="3">
        <v>50</v>
      </c>
      <c r="K680" s="4">
        <f t="shared" si="42"/>
        <v>19.531249999999996</v>
      </c>
      <c r="L680" s="1" t="str">
        <f t="shared" si="43"/>
        <v>Peso ideal - parabéns</v>
      </c>
      <c r="M680" t="s">
        <v>14</v>
      </c>
    </row>
    <row r="681" spans="1:13" x14ac:dyDescent="0.25">
      <c r="A681">
        <v>680</v>
      </c>
      <c r="B681" t="s">
        <v>2986</v>
      </c>
      <c r="C681" s="2" t="s">
        <v>2827</v>
      </c>
      <c r="D681" s="2">
        <f t="shared" ca="1" si="40"/>
        <v>37</v>
      </c>
      <c r="E681" t="s">
        <v>10</v>
      </c>
      <c r="F681" t="s">
        <v>126</v>
      </c>
      <c r="G681" t="s">
        <v>127</v>
      </c>
      <c r="H681" t="str">
        <f t="shared" si="41"/>
        <v>Boa Vista - RR</v>
      </c>
      <c r="I681" s="1" t="s">
        <v>255</v>
      </c>
      <c r="J681" s="3">
        <v>67</v>
      </c>
      <c r="K681" s="4">
        <f t="shared" si="42"/>
        <v>16.918764677659656</v>
      </c>
      <c r="L681" s="1" t="str">
        <f t="shared" si="43"/>
        <v>Muito abaixo do peso</v>
      </c>
      <c r="M681" t="s">
        <v>76</v>
      </c>
    </row>
    <row r="682" spans="1:13" x14ac:dyDescent="0.25">
      <c r="A682">
        <v>681</v>
      </c>
      <c r="B682" t="s">
        <v>1852</v>
      </c>
      <c r="C682" s="2" t="s">
        <v>1853</v>
      </c>
      <c r="D682" s="2">
        <f t="shared" ca="1" si="40"/>
        <v>33</v>
      </c>
      <c r="E682" t="s">
        <v>10</v>
      </c>
      <c r="F682" t="s">
        <v>153</v>
      </c>
      <c r="G682" t="s">
        <v>154</v>
      </c>
      <c r="H682" t="str">
        <f t="shared" si="41"/>
        <v>Manaus - AM</v>
      </c>
      <c r="I682" s="1" t="s">
        <v>99</v>
      </c>
      <c r="J682" s="3">
        <v>92</v>
      </c>
      <c r="K682" s="4">
        <f t="shared" si="42"/>
        <v>24.444680624933575</v>
      </c>
      <c r="L682" s="1" t="str">
        <f t="shared" si="43"/>
        <v>Peso ideal - parabéns</v>
      </c>
      <c r="M682" t="s">
        <v>76</v>
      </c>
    </row>
    <row r="683" spans="1:13" x14ac:dyDescent="0.25">
      <c r="A683">
        <v>682</v>
      </c>
      <c r="B683" t="s">
        <v>2401</v>
      </c>
      <c r="C683" s="2" t="s">
        <v>2402</v>
      </c>
      <c r="D683" s="2">
        <f t="shared" ca="1" si="40"/>
        <v>61</v>
      </c>
      <c r="E683" t="s">
        <v>10</v>
      </c>
      <c r="F683" t="s">
        <v>796</v>
      </c>
      <c r="G683" t="s">
        <v>131</v>
      </c>
      <c r="H683" t="str">
        <f t="shared" si="41"/>
        <v>Joinville - SC</v>
      </c>
      <c r="I683" s="1" t="s">
        <v>262</v>
      </c>
      <c r="J683" s="3">
        <v>78</v>
      </c>
      <c r="K683" s="4">
        <f t="shared" si="42"/>
        <v>21.606648199445985</v>
      </c>
      <c r="L683" s="1" t="str">
        <f t="shared" si="43"/>
        <v>Peso ideal - parabéns</v>
      </c>
      <c r="M683" t="s">
        <v>14</v>
      </c>
    </row>
    <row r="684" spans="1:13" x14ac:dyDescent="0.25">
      <c r="A684">
        <v>683</v>
      </c>
      <c r="B684" t="s">
        <v>2393</v>
      </c>
      <c r="C684" s="2" t="s">
        <v>2394</v>
      </c>
      <c r="D684" s="2">
        <f t="shared" ca="1" si="40"/>
        <v>25</v>
      </c>
      <c r="E684" t="s">
        <v>10</v>
      </c>
      <c r="F684" t="s">
        <v>354</v>
      </c>
      <c r="G684" t="s">
        <v>30</v>
      </c>
      <c r="H684" t="str">
        <f t="shared" si="41"/>
        <v>Porto Velho - RO</v>
      </c>
      <c r="I684" s="1" t="s">
        <v>639</v>
      </c>
      <c r="J684" s="3">
        <v>101</v>
      </c>
      <c r="K684" s="4">
        <f t="shared" si="42"/>
        <v>25.25</v>
      </c>
      <c r="L684" s="1" t="str">
        <f t="shared" si="43"/>
        <v>Levemente acima do peso</v>
      </c>
      <c r="M684" t="s">
        <v>32</v>
      </c>
    </row>
    <row r="685" spans="1:13" x14ac:dyDescent="0.25">
      <c r="A685">
        <v>684</v>
      </c>
      <c r="B685" t="s">
        <v>1895</v>
      </c>
      <c r="C685" s="2" t="s">
        <v>1896</v>
      </c>
      <c r="D685" s="2">
        <f t="shared" ca="1" si="40"/>
        <v>32</v>
      </c>
      <c r="E685" t="s">
        <v>10</v>
      </c>
      <c r="F685" t="s">
        <v>395</v>
      </c>
      <c r="G685" t="s">
        <v>36</v>
      </c>
      <c r="H685" t="str">
        <f t="shared" si="41"/>
        <v>Imperatriz - MA</v>
      </c>
      <c r="I685" s="1" t="s">
        <v>71</v>
      </c>
      <c r="J685" s="3">
        <v>71</v>
      </c>
      <c r="K685" s="4">
        <f t="shared" si="42"/>
        <v>21.200991370300692</v>
      </c>
      <c r="L685" s="1" t="str">
        <f t="shared" si="43"/>
        <v>Peso ideal - parabéns</v>
      </c>
      <c r="M685" t="s">
        <v>32</v>
      </c>
    </row>
    <row r="686" spans="1:13" x14ac:dyDescent="0.25">
      <c r="A686">
        <v>685</v>
      </c>
      <c r="B686" t="s">
        <v>1800</v>
      </c>
      <c r="C686" s="2" t="s">
        <v>1801</v>
      </c>
      <c r="D686" s="2">
        <f t="shared" ca="1" si="40"/>
        <v>69</v>
      </c>
      <c r="E686" t="s">
        <v>23</v>
      </c>
      <c r="F686" t="s">
        <v>711</v>
      </c>
      <c r="G686" t="s">
        <v>175</v>
      </c>
      <c r="H686" t="str">
        <f t="shared" si="41"/>
        <v>Camaragibe - PE</v>
      </c>
      <c r="I686" s="1" t="s">
        <v>104</v>
      </c>
      <c r="J686" s="3">
        <v>46</v>
      </c>
      <c r="K686" s="4">
        <f t="shared" si="42"/>
        <v>15.91695501730104</v>
      </c>
      <c r="L686" s="1" t="str">
        <f t="shared" si="43"/>
        <v>Muito abaixo do peso</v>
      </c>
      <c r="M686" t="s">
        <v>32</v>
      </c>
    </row>
    <row r="687" spans="1:13" x14ac:dyDescent="0.25">
      <c r="A687">
        <v>686</v>
      </c>
      <c r="B687" t="s">
        <v>1152</v>
      </c>
      <c r="C687" s="2" t="s">
        <v>1087</v>
      </c>
      <c r="D687" s="2">
        <f t="shared" ca="1" si="40"/>
        <v>26</v>
      </c>
      <c r="E687" t="s">
        <v>23</v>
      </c>
      <c r="F687" t="s">
        <v>876</v>
      </c>
      <c r="G687" t="s">
        <v>310</v>
      </c>
      <c r="H687" t="str">
        <f t="shared" si="41"/>
        <v>Caxias do Sul - RS</v>
      </c>
      <c r="I687" s="1" t="s">
        <v>19</v>
      </c>
      <c r="J687" s="3">
        <v>45</v>
      </c>
      <c r="K687" s="4">
        <f t="shared" si="42"/>
        <v>14.363688595231254</v>
      </c>
      <c r="L687" s="1" t="str">
        <f t="shared" si="43"/>
        <v>Muito abaixo do peso</v>
      </c>
      <c r="M687" t="s">
        <v>32</v>
      </c>
    </row>
    <row r="688" spans="1:13" x14ac:dyDescent="0.25">
      <c r="A688">
        <v>687</v>
      </c>
      <c r="B688" t="s">
        <v>2904</v>
      </c>
      <c r="C688" s="2" t="s">
        <v>2905</v>
      </c>
      <c r="D688" s="2">
        <f t="shared" ca="1" si="40"/>
        <v>44</v>
      </c>
      <c r="E688" t="s">
        <v>23</v>
      </c>
      <c r="F688" t="s">
        <v>59</v>
      </c>
      <c r="G688" t="s">
        <v>60</v>
      </c>
      <c r="H688" t="str">
        <f t="shared" si="41"/>
        <v>Palmas - TO</v>
      </c>
      <c r="I688" s="1" t="s">
        <v>302</v>
      </c>
      <c r="J688" s="3">
        <v>50</v>
      </c>
      <c r="K688" s="4">
        <f t="shared" si="42"/>
        <v>21.928862769176792</v>
      </c>
      <c r="L688" s="1" t="str">
        <f t="shared" si="43"/>
        <v>Peso ideal - parabéns</v>
      </c>
      <c r="M688" t="s">
        <v>26</v>
      </c>
    </row>
    <row r="689" spans="1:13" x14ac:dyDescent="0.25">
      <c r="A689">
        <v>688</v>
      </c>
      <c r="B689" t="s">
        <v>2257</v>
      </c>
      <c r="C689" s="2" t="s">
        <v>2258</v>
      </c>
      <c r="D689" s="2">
        <f t="shared" ca="1" si="40"/>
        <v>80</v>
      </c>
      <c r="E689" t="s">
        <v>23</v>
      </c>
      <c r="F689" t="s">
        <v>681</v>
      </c>
      <c r="G689" t="s">
        <v>175</v>
      </c>
      <c r="H689" t="str">
        <f t="shared" si="41"/>
        <v>Jaboatão dos Guararapes - PE</v>
      </c>
      <c r="I689" s="1" t="s">
        <v>209</v>
      </c>
      <c r="J689" s="3">
        <v>47</v>
      </c>
      <c r="K689" s="4">
        <f t="shared" si="42"/>
        <v>19.817844493169169</v>
      </c>
      <c r="L689" s="1" t="str">
        <f t="shared" si="43"/>
        <v>Peso ideal - parabéns</v>
      </c>
      <c r="M689" t="s">
        <v>32</v>
      </c>
    </row>
    <row r="690" spans="1:13" x14ac:dyDescent="0.25">
      <c r="A690">
        <v>689</v>
      </c>
      <c r="B690" t="s">
        <v>1755</v>
      </c>
      <c r="C690" s="2" t="s">
        <v>1756</v>
      </c>
      <c r="D690" s="2">
        <f t="shared" ca="1" si="40"/>
        <v>54</v>
      </c>
      <c r="E690" t="s">
        <v>23</v>
      </c>
      <c r="F690" t="s">
        <v>354</v>
      </c>
      <c r="G690" t="s">
        <v>30</v>
      </c>
      <c r="H690" t="str">
        <f t="shared" si="41"/>
        <v>Porto Velho - RO</v>
      </c>
      <c r="I690" s="1" t="s">
        <v>386</v>
      </c>
      <c r="J690" s="3">
        <v>87</v>
      </c>
      <c r="K690" s="4">
        <f t="shared" si="42"/>
        <v>31.572071418202935</v>
      </c>
      <c r="L690" s="1" t="str">
        <f t="shared" si="43"/>
        <v>Obesidade grau I</v>
      </c>
      <c r="M690" t="s">
        <v>95</v>
      </c>
    </row>
    <row r="691" spans="1:13" x14ac:dyDescent="0.25">
      <c r="A691">
        <v>690</v>
      </c>
      <c r="B691" t="s">
        <v>1812</v>
      </c>
      <c r="C691" s="2" t="s">
        <v>1813</v>
      </c>
      <c r="D691" s="2">
        <f t="shared" ca="1" si="40"/>
        <v>45</v>
      </c>
      <c r="E691" t="s">
        <v>23</v>
      </c>
      <c r="F691" t="s">
        <v>182</v>
      </c>
      <c r="G691" t="s">
        <v>55</v>
      </c>
      <c r="H691" t="str">
        <f t="shared" si="41"/>
        <v>Curitiba - PR</v>
      </c>
      <c r="I691" s="1" t="s">
        <v>209</v>
      </c>
      <c r="J691" s="3">
        <v>89</v>
      </c>
      <c r="K691" s="4">
        <f t="shared" si="42"/>
        <v>37.527407657277791</v>
      </c>
      <c r="L691" s="1" t="str">
        <f t="shared" si="43"/>
        <v>Obesidade grau II - severa</v>
      </c>
      <c r="M691" t="s">
        <v>26</v>
      </c>
    </row>
    <row r="692" spans="1:13" x14ac:dyDescent="0.25">
      <c r="A692">
        <v>691</v>
      </c>
      <c r="B692" t="s">
        <v>3478</v>
      </c>
      <c r="C692" s="2" t="s">
        <v>3479</v>
      </c>
      <c r="D692" s="2">
        <f t="shared" ca="1" si="40"/>
        <v>31</v>
      </c>
      <c r="E692" t="s">
        <v>23</v>
      </c>
      <c r="F692" t="s">
        <v>354</v>
      </c>
      <c r="G692" t="s">
        <v>30</v>
      </c>
      <c r="H692" t="str">
        <f t="shared" si="41"/>
        <v>Porto Velho - RO</v>
      </c>
      <c r="I692" s="1" t="s">
        <v>155</v>
      </c>
      <c r="J692" s="3">
        <v>61</v>
      </c>
      <c r="K692" s="4">
        <f t="shared" si="42"/>
        <v>18.415650283782149</v>
      </c>
      <c r="L692" s="1" t="str">
        <f t="shared" si="43"/>
        <v>Abaixo do peso</v>
      </c>
      <c r="M692" t="s">
        <v>20</v>
      </c>
    </row>
    <row r="693" spans="1:13" x14ac:dyDescent="0.25">
      <c r="A693">
        <v>692</v>
      </c>
      <c r="B693" t="s">
        <v>859</v>
      </c>
      <c r="C693" s="2" t="s">
        <v>860</v>
      </c>
      <c r="D693" s="2">
        <f t="shared" ca="1" si="40"/>
        <v>60</v>
      </c>
      <c r="E693" t="s">
        <v>23</v>
      </c>
      <c r="F693" t="s">
        <v>24</v>
      </c>
      <c r="G693" t="s">
        <v>25</v>
      </c>
      <c r="H693" t="str">
        <f t="shared" si="41"/>
        <v>Natal - RN</v>
      </c>
      <c r="I693" s="1" t="s">
        <v>582</v>
      </c>
      <c r="J693" s="3">
        <v>57</v>
      </c>
      <c r="K693" s="4">
        <f t="shared" si="42"/>
        <v>23.422090729783037</v>
      </c>
      <c r="L693" s="1" t="str">
        <f t="shared" si="43"/>
        <v>Peso ideal - parabéns</v>
      </c>
      <c r="M693" t="s">
        <v>32</v>
      </c>
    </row>
    <row r="694" spans="1:13" x14ac:dyDescent="0.25">
      <c r="A694">
        <v>693</v>
      </c>
      <c r="B694" t="s">
        <v>361</v>
      </c>
      <c r="C694" s="2" t="s">
        <v>362</v>
      </c>
      <c r="D694" s="2">
        <f t="shared" ca="1" si="40"/>
        <v>34</v>
      </c>
      <c r="E694" t="s">
        <v>23</v>
      </c>
      <c r="F694" t="s">
        <v>69</v>
      </c>
      <c r="G694" t="s">
        <v>70</v>
      </c>
      <c r="H694" t="str">
        <f t="shared" si="41"/>
        <v>Aracaju - SE</v>
      </c>
      <c r="I694" s="1" t="s">
        <v>360</v>
      </c>
      <c r="J694" s="3">
        <v>84</v>
      </c>
      <c r="K694" s="4">
        <f t="shared" si="42"/>
        <v>33.648453773433737</v>
      </c>
      <c r="L694" s="1" t="str">
        <f t="shared" si="43"/>
        <v>Obesidade grau I</v>
      </c>
      <c r="M694" t="s">
        <v>32</v>
      </c>
    </row>
    <row r="695" spans="1:13" x14ac:dyDescent="0.25">
      <c r="A695">
        <v>694</v>
      </c>
      <c r="B695" t="s">
        <v>3746</v>
      </c>
      <c r="C695" s="2" t="s">
        <v>3526</v>
      </c>
      <c r="D695" s="2">
        <f t="shared" ca="1" si="40"/>
        <v>48</v>
      </c>
      <c r="E695" t="s">
        <v>23</v>
      </c>
      <c r="F695" t="s">
        <v>126</v>
      </c>
      <c r="G695" t="s">
        <v>127</v>
      </c>
      <c r="H695" t="str">
        <f t="shared" si="41"/>
        <v>Boa Vista - RR</v>
      </c>
      <c r="I695" s="1" t="s">
        <v>56</v>
      </c>
      <c r="J695" s="3">
        <v>77</v>
      </c>
      <c r="K695" s="4">
        <f t="shared" si="42"/>
        <v>26.959840341724732</v>
      </c>
      <c r="L695" s="1" t="str">
        <f t="shared" si="43"/>
        <v>Levemente acima do peso</v>
      </c>
      <c r="M695" t="s">
        <v>83</v>
      </c>
    </row>
    <row r="696" spans="1:13" x14ac:dyDescent="0.25">
      <c r="A696">
        <v>695</v>
      </c>
      <c r="B696" t="s">
        <v>1347</v>
      </c>
      <c r="C696" s="2" t="s">
        <v>1348</v>
      </c>
      <c r="D696" s="2">
        <f t="shared" ca="1" si="40"/>
        <v>39</v>
      </c>
      <c r="E696" t="s">
        <v>23</v>
      </c>
      <c r="F696" t="s">
        <v>64</v>
      </c>
      <c r="G696" t="s">
        <v>65</v>
      </c>
      <c r="H696" t="str">
        <f t="shared" si="41"/>
        <v>Salvador - BA</v>
      </c>
      <c r="I696" s="1" t="s">
        <v>90</v>
      </c>
      <c r="J696" s="3">
        <v>82</v>
      </c>
      <c r="K696" s="4">
        <f t="shared" si="42"/>
        <v>27.717685235262305</v>
      </c>
      <c r="L696" s="1" t="str">
        <f t="shared" si="43"/>
        <v>Levemente acima do peso</v>
      </c>
      <c r="M696" t="s">
        <v>32</v>
      </c>
    </row>
    <row r="697" spans="1:13" x14ac:dyDescent="0.25">
      <c r="A697">
        <v>696</v>
      </c>
      <c r="B697" t="s">
        <v>1788</v>
      </c>
      <c r="C697" s="2" t="s">
        <v>1789</v>
      </c>
      <c r="D697" s="2">
        <f t="shared" ca="1" si="40"/>
        <v>46</v>
      </c>
      <c r="E697" t="s">
        <v>23</v>
      </c>
      <c r="F697" t="s">
        <v>1790</v>
      </c>
      <c r="G697" t="s">
        <v>51</v>
      </c>
      <c r="H697" t="str">
        <f t="shared" si="41"/>
        <v>Volta Redonda - RJ</v>
      </c>
      <c r="I697" s="1" t="s">
        <v>247</v>
      </c>
      <c r="J697" s="3">
        <v>45</v>
      </c>
      <c r="K697" s="4">
        <f t="shared" si="42"/>
        <v>20</v>
      </c>
      <c r="L697" s="1" t="str">
        <f t="shared" si="43"/>
        <v>Peso ideal - parabéns</v>
      </c>
      <c r="M697" t="s">
        <v>83</v>
      </c>
    </row>
    <row r="698" spans="1:13" x14ac:dyDescent="0.25">
      <c r="A698">
        <v>697</v>
      </c>
      <c r="B698" t="s">
        <v>846</v>
      </c>
      <c r="C698" s="2" t="s">
        <v>847</v>
      </c>
      <c r="D698" s="2">
        <f t="shared" ca="1" si="40"/>
        <v>61</v>
      </c>
      <c r="E698" t="s">
        <v>10</v>
      </c>
      <c r="F698" t="s">
        <v>189</v>
      </c>
      <c r="G698" t="s">
        <v>190</v>
      </c>
      <c r="H698" t="str">
        <f t="shared" si="41"/>
        <v>Cuiabá - MT</v>
      </c>
      <c r="I698" s="1" t="s">
        <v>400</v>
      </c>
      <c r="J698" s="3">
        <v>104</v>
      </c>
      <c r="K698" s="4">
        <f t="shared" si="42"/>
        <v>32.098765432098766</v>
      </c>
      <c r="L698" s="1" t="str">
        <f t="shared" si="43"/>
        <v>Obesidade grau I</v>
      </c>
      <c r="M698" t="s">
        <v>26</v>
      </c>
    </row>
    <row r="699" spans="1:13" x14ac:dyDescent="0.25">
      <c r="A699">
        <v>698</v>
      </c>
      <c r="B699" t="s">
        <v>3279</v>
      </c>
      <c r="C699" s="2" t="s">
        <v>3280</v>
      </c>
      <c r="D699" s="2">
        <f t="shared" ca="1" si="40"/>
        <v>24</v>
      </c>
      <c r="E699" t="s">
        <v>10</v>
      </c>
      <c r="F699" t="s">
        <v>3281</v>
      </c>
      <c r="G699" t="s">
        <v>154</v>
      </c>
      <c r="H699" t="str">
        <f t="shared" si="41"/>
        <v>Manacapuru - AM</v>
      </c>
      <c r="I699" s="1" t="s">
        <v>94</v>
      </c>
      <c r="J699" s="3">
        <v>82</v>
      </c>
      <c r="K699" s="4">
        <f t="shared" si="42"/>
        <v>27.398175682448461</v>
      </c>
      <c r="L699" s="1" t="str">
        <f t="shared" si="43"/>
        <v>Levemente acima do peso</v>
      </c>
      <c r="M699" t="s">
        <v>47</v>
      </c>
    </row>
    <row r="700" spans="1:13" x14ac:dyDescent="0.25">
      <c r="A700">
        <v>699</v>
      </c>
      <c r="B700" t="s">
        <v>3694</v>
      </c>
      <c r="C700" s="2" t="s">
        <v>3695</v>
      </c>
      <c r="D700" s="2">
        <f t="shared" ca="1" si="40"/>
        <v>58</v>
      </c>
      <c r="E700" t="s">
        <v>10</v>
      </c>
      <c r="F700" t="s">
        <v>439</v>
      </c>
      <c r="G700" t="s">
        <v>190</v>
      </c>
      <c r="H700" t="str">
        <f t="shared" si="41"/>
        <v>Rondonópolis - MT</v>
      </c>
      <c r="I700" s="1" t="s">
        <v>66</v>
      </c>
      <c r="J700" s="3">
        <v>62</v>
      </c>
      <c r="K700" s="4">
        <f t="shared" si="42"/>
        <v>17.541874151199639</v>
      </c>
      <c r="L700" s="1" t="str">
        <f t="shared" si="43"/>
        <v>Abaixo do peso</v>
      </c>
      <c r="M700" t="s">
        <v>76</v>
      </c>
    </row>
    <row r="701" spans="1:13" x14ac:dyDescent="0.25">
      <c r="A701">
        <v>700</v>
      </c>
      <c r="B701" t="s">
        <v>3908</v>
      </c>
      <c r="C701" s="2" t="s">
        <v>3878</v>
      </c>
      <c r="D701" s="2">
        <f t="shared" ca="1" si="40"/>
        <v>26</v>
      </c>
      <c r="E701" t="s">
        <v>10</v>
      </c>
      <c r="F701" t="s">
        <v>158</v>
      </c>
      <c r="G701" t="s">
        <v>159</v>
      </c>
      <c r="H701" t="str">
        <f t="shared" si="41"/>
        <v>Brasília - DF</v>
      </c>
      <c r="I701" s="1" t="s">
        <v>201</v>
      </c>
      <c r="J701" s="3">
        <v>72</v>
      </c>
      <c r="K701" s="4">
        <f t="shared" si="42"/>
        <v>18.742190753852562</v>
      </c>
      <c r="L701" s="1" t="str">
        <f t="shared" si="43"/>
        <v>Peso ideal - parabéns</v>
      </c>
      <c r="M701" t="s">
        <v>26</v>
      </c>
    </row>
    <row r="702" spans="1:13" x14ac:dyDescent="0.25">
      <c r="A702">
        <v>701</v>
      </c>
      <c r="B702" t="s">
        <v>2615</v>
      </c>
      <c r="C702" s="2" t="s">
        <v>2616</v>
      </c>
      <c r="D702" s="2">
        <f t="shared" ca="1" si="40"/>
        <v>78</v>
      </c>
      <c r="E702" t="s">
        <v>10</v>
      </c>
      <c r="F702" t="s">
        <v>169</v>
      </c>
      <c r="G702" t="s">
        <v>170</v>
      </c>
      <c r="H702" t="str">
        <f t="shared" si="41"/>
        <v>Maceió - AL</v>
      </c>
      <c r="I702" s="1" t="s">
        <v>171</v>
      </c>
      <c r="J702" s="3">
        <v>79</v>
      </c>
      <c r="K702" s="4">
        <f t="shared" si="42"/>
        <v>28.326580372189753</v>
      </c>
      <c r="L702" s="1" t="str">
        <f t="shared" si="43"/>
        <v>Levemente acima do peso</v>
      </c>
      <c r="M702" t="s">
        <v>95</v>
      </c>
    </row>
    <row r="703" spans="1:13" x14ac:dyDescent="0.25">
      <c r="A703">
        <v>702</v>
      </c>
      <c r="B703" t="s">
        <v>1029</v>
      </c>
      <c r="C703" s="2" t="s">
        <v>1030</v>
      </c>
      <c r="D703" s="2">
        <f t="shared" ca="1" si="40"/>
        <v>52</v>
      </c>
      <c r="E703" t="s">
        <v>10</v>
      </c>
      <c r="F703" t="s">
        <v>40</v>
      </c>
      <c r="G703" t="s">
        <v>41</v>
      </c>
      <c r="H703" t="str">
        <f t="shared" si="41"/>
        <v>Campina Grande - PB</v>
      </c>
      <c r="I703" s="1" t="s">
        <v>113</v>
      </c>
      <c r="J703" s="3">
        <v>102</v>
      </c>
      <c r="K703" s="4">
        <f t="shared" si="42"/>
        <v>38.390605592984308</v>
      </c>
      <c r="L703" s="1" t="str">
        <f t="shared" si="43"/>
        <v>Obesidade grau II - severa</v>
      </c>
      <c r="M703" t="s">
        <v>76</v>
      </c>
    </row>
    <row r="704" spans="1:13" x14ac:dyDescent="0.25">
      <c r="A704">
        <v>703</v>
      </c>
      <c r="B704" t="s">
        <v>2468</v>
      </c>
      <c r="C704" s="2" t="s">
        <v>323</v>
      </c>
      <c r="D704" s="2">
        <f t="shared" ca="1" si="40"/>
        <v>81</v>
      </c>
      <c r="E704" t="s">
        <v>10</v>
      </c>
      <c r="F704" t="s">
        <v>74</v>
      </c>
      <c r="G704" t="s">
        <v>75</v>
      </c>
      <c r="H704" t="str">
        <f t="shared" si="41"/>
        <v>Macapá - AP</v>
      </c>
      <c r="I704" s="1" t="s">
        <v>117</v>
      </c>
      <c r="J704" s="3">
        <v>91</v>
      </c>
      <c r="K704" s="4">
        <f t="shared" si="42"/>
        <v>28.721121070571897</v>
      </c>
      <c r="L704" s="1" t="str">
        <f t="shared" si="43"/>
        <v>Levemente acima do peso</v>
      </c>
      <c r="M704" t="s">
        <v>83</v>
      </c>
    </row>
    <row r="705" spans="1:13" x14ac:dyDescent="0.25">
      <c r="A705">
        <v>704</v>
      </c>
      <c r="B705" t="s">
        <v>3892</v>
      </c>
      <c r="C705" s="2" t="s">
        <v>3893</v>
      </c>
      <c r="D705" s="2">
        <f t="shared" ca="1" si="40"/>
        <v>54</v>
      </c>
      <c r="E705" t="s">
        <v>10</v>
      </c>
      <c r="F705" t="s">
        <v>153</v>
      </c>
      <c r="G705" t="s">
        <v>154</v>
      </c>
      <c r="H705" t="str">
        <f t="shared" si="41"/>
        <v>Manaus - AM</v>
      </c>
      <c r="I705" s="1" t="s">
        <v>255</v>
      </c>
      <c r="J705" s="3">
        <v>55</v>
      </c>
      <c r="K705" s="4">
        <f t="shared" si="42"/>
        <v>13.888538168228074</v>
      </c>
      <c r="L705" s="1" t="str">
        <f t="shared" si="43"/>
        <v>Muito abaixo do peso</v>
      </c>
      <c r="M705" t="s">
        <v>47</v>
      </c>
    </row>
    <row r="706" spans="1:13" x14ac:dyDescent="0.25">
      <c r="A706">
        <v>705</v>
      </c>
      <c r="B706" t="s">
        <v>2221</v>
      </c>
      <c r="C706" s="2" t="s">
        <v>2222</v>
      </c>
      <c r="D706" s="2">
        <f t="shared" ca="1" si="40"/>
        <v>48</v>
      </c>
      <c r="E706" t="s">
        <v>10</v>
      </c>
      <c r="F706" t="s">
        <v>169</v>
      </c>
      <c r="G706" t="s">
        <v>170</v>
      </c>
      <c r="H706" t="str">
        <f t="shared" si="41"/>
        <v>Maceió - AL</v>
      </c>
      <c r="I706" s="1" t="s">
        <v>639</v>
      </c>
      <c r="J706" s="3">
        <v>76</v>
      </c>
      <c r="K706" s="4">
        <f t="shared" si="42"/>
        <v>19</v>
      </c>
      <c r="L706" s="1" t="str">
        <f t="shared" si="43"/>
        <v>Peso ideal - parabéns</v>
      </c>
      <c r="M706" t="s">
        <v>32</v>
      </c>
    </row>
    <row r="707" spans="1:13" x14ac:dyDescent="0.25">
      <c r="A707">
        <v>706</v>
      </c>
      <c r="B707" t="s">
        <v>1865</v>
      </c>
      <c r="C707" s="2" t="s">
        <v>1866</v>
      </c>
      <c r="D707" s="2">
        <f t="shared" ref="D707:D770" ca="1" si="44">YEAR(TODAY())-YEAR(C707)</f>
        <v>63</v>
      </c>
      <c r="E707" t="s">
        <v>10</v>
      </c>
      <c r="F707" t="s">
        <v>564</v>
      </c>
      <c r="G707" t="s">
        <v>565</v>
      </c>
      <c r="H707" t="str">
        <f t="shared" ref="H707:H770" si="45">CONCATENATE(F707," - ",G707)</f>
        <v>Rio Branco - AC</v>
      </c>
      <c r="I707" s="1" t="s">
        <v>281</v>
      </c>
      <c r="J707" s="3">
        <v>95</v>
      </c>
      <c r="K707" s="4">
        <f t="shared" ref="K707:K770" si="46">J707/(I707*I707)</f>
        <v>36.198750190519732</v>
      </c>
      <c r="L707" s="1" t="str">
        <f t="shared" ref="L707:L770" si="47">IF(K707&gt;=40,"Obesidade grau III - mórbida",
IF(K707&gt;=35,"Obesidade grau II - severa",
IF(K707&gt;=30,"Obesidade grau I",
IF(K707&gt;=25,"Levemente acima do peso",
IF(K707&gt;=18.6,"Peso ideal - parabéns",
IF(K707&gt;=17,"Abaixo do peso",
"Muito abaixo do peso"))))))</f>
        <v>Obesidade grau II - severa</v>
      </c>
      <c r="M707" t="s">
        <v>26</v>
      </c>
    </row>
    <row r="708" spans="1:13" x14ac:dyDescent="0.25">
      <c r="A708">
        <v>707</v>
      </c>
      <c r="B708" t="s">
        <v>2185</v>
      </c>
      <c r="C708" s="2" t="s">
        <v>2186</v>
      </c>
      <c r="D708" s="2">
        <f t="shared" ca="1" si="44"/>
        <v>54</v>
      </c>
      <c r="E708" t="s">
        <v>10</v>
      </c>
      <c r="F708" t="s">
        <v>17</v>
      </c>
      <c r="G708" t="s">
        <v>18</v>
      </c>
      <c r="H708" t="str">
        <f t="shared" si="45"/>
        <v>Campo Grande - MS</v>
      </c>
      <c r="I708" s="1" t="s">
        <v>218</v>
      </c>
      <c r="J708" s="3">
        <v>71</v>
      </c>
      <c r="K708" s="4">
        <f t="shared" si="46"/>
        <v>19.060914386963407</v>
      </c>
      <c r="L708" s="1" t="str">
        <f t="shared" si="47"/>
        <v>Peso ideal - parabéns</v>
      </c>
      <c r="M708" t="s">
        <v>47</v>
      </c>
    </row>
    <row r="709" spans="1:13" x14ac:dyDescent="0.25">
      <c r="A709">
        <v>708</v>
      </c>
      <c r="B709" t="s">
        <v>2862</v>
      </c>
      <c r="C709" s="2" t="s">
        <v>2863</v>
      </c>
      <c r="D709" s="2">
        <f t="shared" ca="1" si="44"/>
        <v>79</v>
      </c>
      <c r="E709" t="s">
        <v>23</v>
      </c>
      <c r="F709" t="s">
        <v>736</v>
      </c>
      <c r="G709" t="s">
        <v>190</v>
      </c>
      <c r="H709" t="str">
        <f t="shared" si="45"/>
        <v>Sinop - MT</v>
      </c>
      <c r="I709" s="1" t="s">
        <v>386</v>
      </c>
      <c r="J709" s="3">
        <v>82</v>
      </c>
      <c r="K709" s="4">
        <f t="shared" si="46"/>
        <v>29.757584555087824</v>
      </c>
      <c r="L709" s="1" t="str">
        <f t="shared" si="47"/>
        <v>Levemente acima do peso</v>
      </c>
      <c r="M709" t="s">
        <v>20</v>
      </c>
    </row>
    <row r="710" spans="1:13" x14ac:dyDescent="0.25">
      <c r="A710">
        <v>709</v>
      </c>
      <c r="B710" t="s">
        <v>2523</v>
      </c>
      <c r="C710" s="2" t="s">
        <v>2524</v>
      </c>
      <c r="D710" s="2">
        <f t="shared" ca="1" si="44"/>
        <v>48</v>
      </c>
      <c r="E710" t="s">
        <v>23</v>
      </c>
      <c r="F710" t="s">
        <v>79</v>
      </c>
      <c r="G710" t="s">
        <v>46</v>
      </c>
      <c r="H710" t="str">
        <f t="shared" si="45"/>
        <v>Novo Gama - GO</v>
      </c>
      <c r="I710" s="1" t="s">
        <v>56</v>
      </c>
      <c r="J710" s="3">
        <v>74</v>
      </c>
      <c r="K710" s="4">
        <f t="shared" si="46"/>
        <v>25.909456951787405</v>
      </c>
      <c r="L710" s="1" t="str">
        <f t="shared" si="47"/>
        <v>Levemente acima do peso</v>
      </c>
      <c r="M710" t="s">
        <v>95</v>
      </c>
    </row>
    <row r="711" spans="1:13" x14ac:dyDescent="0.25">
      <c r="A711">
        <v>710</v>
      </c>
      <c r="B711" t="s">
        <v>1270</v>
      </c>
      <c r="C711" s="2" t="s">
        <v>1271</v>
      </c>
      <c r="D711" s="2">
        <f t="shared" ca="1" si="44"/>
        <v>82</v>
      </c>
      <c r="E711" t="s">
        <v>23</v>
      </c>
      <c r="F711" t="s">
        <v>64</v>
      </c>
      <c r="G711" t="s">
        <v>65</v>
      </c>
      <c r="H711" t="str">
        <f t="shared" si="45"/>
        <v>Salvador - BA</v>
      </c>
      <c r="I711" s="1" t="s">
        <v>247</v>
      </c>
      <c r="J711" s="3">
        <v>54</v>
      </c>
      <c r="K711" s="4">
        <f t="shared" si="46"/>
        <v>24</v>
      </c>
      <c r="L711" s="1" t="str">
        <f t="shared" si="47"/>
        <v>Peso ideal - parabéns</v>
      </c>
      <c r="M711" t="s">
        <v>20</v>
      </c>
    </row>
    <row r="712" spans="1:13" x14ac:dyDescent="0.25">
      <c r="A712">
        <v>711</v>
      </c>
      <c r="B712" t="s">
        <v>4130</v>
      </c>
      <c r="C712" s="2" t="s">
        <v>4131</v>
      </c>
      <c r="D712" s="2">
        <f t="shared" ca="1" si="44"/>
        <v>60</v>
      </c>
      <c r="E712" t="s">
        <v>23</v>
      </c>
      <c r="F712" t="s">
        <v>158</v>
      </c>
      <c r="G712" t="s">
        <v>159</v>
      </c>
      <c r="H712" t="str">
        <f t="shared" si="45"/>
        <v>Brasília - DF</v>
      </c>
      <c r="I712" s="1" t="s">
        <v>94</v>
      </c>
      <c r="J712" s="3">
        <v>60</v>
      </c>
      <c r="K712" s="4">
        <f t="shared" si="46"/>
        <v>20.047445621303751</v>
      </c>
      <c r="L712" s="1" t="str">
        <f t="shared" si="47"/>
        <v>Peso ideal - parabéns</v>
      </c>
      <c r="M712" t="s">
        <v>32</v>
      </c>
    </row>
    <row r="713" spans="1:13" x14ac:dyDescent="0.25">
      <c r="A713">
        <v>712</v>
      </c>
      <c r="B713" t="s">
        <v>1821</v>
      </c>
      <c r="C713" s="2" t="s">
        <v>1822</v>
      </c>
      <c r="D713" s="2">
        <f t="shared" ca="1" si="44"/>
        <v>51</v>
      </c>
      <c r="E713" t="s">
        <v>23</v>
      </c>
      <c r="F713" t="s">
        <v>178</v>
      </c>
      <c r="G713" t="s">
        <v>46</v>
      </c>
      <c r="H713" t="str">
        <f t="shared" si="45"/>
        <v>Santo Antônio do Descoberto - GO</v>
      </c>
      <c r="I713" s="1" t="s">
        <v>198</v>
      </c>
      <c r="J713" s="3">
        <v>48</v>
      </c>
      <c r="K713" s="4">
        <f t="shared" si="46"/>
        <v>19.473406629072173</v>
      </c>
      <c r="L713" s="1" t="str">
        <f t="shared" si="47"/>
        <v>Peso ideal - parabéns</v>
      </c>
      <c r="M713" t="s">
        <v>32</v>
      </c>
    </row>
    <row r="714" spans="1:13" x14ac:dyDescent="0.25">
      <c r="A714">
        <v>713</v>
      </c>
      <c r="B714" t="s">
        <v>3435</v>
      </c>
      <c r="C714" s="2" t="s">
        <v>3436</v>
      </c>
      <c r="D714" s="2">
        <f t="shared" ca="1" si="44"/>
        <v>52</v>
      </c>
      <c r="E714" t="s">
        <v>23</v>
      </c>
      <c r="F714" t="s">
        <v>69</v>
      </c>
      <c r="G714" t="s">
        <v>70</v>
      </c>
      <c r="H714" t="str">
        <f t="shared" si="45"/>
        <v>Aracaju - SE</v>
      </c>
      <c r="I714" s="1" t="s">
        <v>86</v>
      </c>
      <c r="J714" s="3">
        <v>84</v>
      </c>
      <c r="K714" s="4">
        <f t="shared" si="46"/>
        <v>25.640242971826257</v>
      </c>
      <c r="L714" s="1" t="str">
        <f t="shared" si="47"/>
        <v>Levemente acima do peso</v>
      </c>
      <c r="M714" t="s">
        <v>26</v>
      </c>
    </row>
    <row r="715" spans="1:13" x14ac:dyDescent="0.25">
      <c r="A715">
        <v>714</v>
      </c>
      <c r="B715" t="s">
        <v>3867</v>
      </c>
      <c r="C715" s="2" t="s">
        <v>783</v>
      </c>
      <c r="D715" s="2">
        <f t="shared" ca="1" si="44"/>
        <v>68</v>
      </c>
      <c r="E715" t="s">
        <v>23</v>
      </c>
      <c r="F715" t="s">
        <v>169</v>
      </c>
      <c r="G715" t="s">
        <v>170</v>
      </c>
      <c r="H715" t="str">
        <f t="shared" si="45"/>
        <v>Maceió - AL</v>
      </c>
      <c r="I715" s="1" t="s">
        <v>213</v>
      </c>
      <c r="J715" s="3">
        <v>54</v>
      </c>
      <c r="K715" s="4">
        <f t="shared" si="46"/>
        <v>23.372576177285318</v>
      </c>
      <c r="L715" s="1" t="str">
        <f t="shared" si="47"/>
        <v>Peso ideal - parabéns</v>
      </c>
      <c r="M715" t="s">
        <v>83</v>
      </c>
    </row>
    <row r="716" spans="1:13" x14ac:dyDescent="0.25">
      <c r="A716">
        <v>715</v>
      </c>
      <c r="B716" t="s">
        <v>2129</v>
      </c>
      <c r="C716" s="2" t="s">
        <v>2130</v>
      </c>
      <c r="D716" s="2">
        <f t="shared" ca="1" si="44"/>
        <v>77</v>
      </c>
      <c r="E716" t="s">
        <v>23</v>
      </c>
      <c r="F716" t="s">
        <v>2131</v>
      </c>
      <c r="G716" t="s">
        <v>186</v>
      </c>
      <c r="H716" t="str">
        <f t="shared" si="45"/>
        <v>Divinópolis - MG</v>
      </c>
      <c r="I716" s="1" t="s">
        <v>71</v>
      </c>
      <c r="J716" s="3">
        <v>58</v>
      </c>
      <c r="K716" s="4">
        <f t="shared" si="46"/>
        <v>17.319119710949863</v>
      </c>
      <c r="L716" s="1" t="str">
        <f t="shared" si="47"/>
        <v>Abaixo do peso</v>
      </c>
      <c r="M716" t="s">
        <v>76</v>
      </c>
    </row>
    <row r="717" spans="1:13" x14ac:dyDescent="0.25">
      <c r="A717">
        <v>716</v>
      </c>
      <c r="B717" t="s">
        <v>307</v>
      </c>
      <c r="C717" s="2" t="s">
        <v>308</v>
      </c>
      <c r="D717" s="2">
        <f t="shared" ca="1" si="44"/>
        <v>47</v>
      </c>
      <c r="E717" t="s">
        <v>23</v>
      </c>
      <c r="F717" t="s">
        <v>309</v>
      </c>
      <c r="G717" t="s">
        <v>310</v>
      </c>
      <c r="H717" t="str">
        <f t="shared" si="45"/>
        <v>Gravataí - RS</v>
      </c>
      <c r="I717" s="1" t="s">
        <v>302</v>
      </c>
      <c r="J717" s="3">
        <v>60</v>
      </c>
      <c r="K717" s="4">
        <f t="shared" si="46"/>
        <v>26.314635323012148</v>
      </c>
      <c r="L717" s="1" t="str">
        <f t="shared" si="47"/>
        <v>Levemente acima do peso</v>
      </c>
      <c r="M717" t="s">
        <v>76</v>
      </c>
    </row>
    <row r="718" spans="1:13" x14ac:dyDescent="0.25">
      <c r="A718">
        <v>717</v>
      </c>
      <c r="B718" t="s">
        <v>3992</v>
      </c>
      <c r="C718" s="2" t="s">
        <v>3993</v>
      </c>
      <c r="D718" s="2">
        <f t="shared" ca="1" si="44"/>
        <v>33</v>
      </c>
      <c r="E718" t="s">
        <v>23</v>
      </c>
      <c r="F718" t="s">
        <v>69</v>
      </c>
      <c r="G718" t="s">
        <v>70</v>
      </c>
      <c r="H718" t="str">
        <f t="shared" si="45"/>
        <v>Aracaju - SE</v>
      </c>
      <c r="I718" s="1" t="s">
        <v>575</v>
      </c>
      <c r="J718" s="3">
        <v>82</v>
      </c>
      <c r="K718" s="4">
        <f t="shared" si="46"/>
        <v>32.435425813852298</v>
      </c>
      <c r="L718" s="1" t="str">
        <f t="shared" si="47"/>
        <v>Obesidade grau I</v>
      </c>
      <c r="M718" t="s">
        <v>20</v>
      </c>
    </row>
    <row r="719" spans="1:13" x14ac:dyDescent="0.25">
      <c r="A719">
        <v>718</v>
      </c>
      <c r="B719" t="s">
        <v>2544</v>
      </c>
      <c r="C719" s="2" t="s">
        <v>2545</v>
      </c>
      <c r="D719" s="2">
        <f t="shared" ca="1" si="44"/>
        <v>27</v>
      </c>
      <c r="E719" t="s">
        <v>23</v>
      </c>
      <c r="F719" t="s">
        <v>465</v>
      </c>
      <c r="G719" t="s">
        <v>131</v>
      </c>
      <c r="H719" t="str">
        <f t="shared" si="45"/>
        <v>Chapecó - SC</v>
      </c>
      <c r="I719" s="1" t="s">
        <v>171</v>
      </c>
      <c r="J719" s="3">
        <v>88</v>
      </c>
      <c r="K719" s="4">
        <f t="shared" si="46"/>
        <v>31.553659148768332</v>
      </c>
      <c r="L719" s="1" t="str">
        <f t="shared" si="47"/>
        <v>Obesidade grau I</v>
      </c>
      <c r="M719" t="s">
        <v>76</v>
      </c>
    </row>
    <row r="720" spans="1:13" x14ac:dyDescent="0.25">
      <c r="A720">
        <v>719</v>
      </c>
      <c r="B720" t="s">
        <v>2868</v>
      </c>
      <c r="C720" s="2" t="s">
        <v>2869</v>
      </c>
      <c r="D720" s="2">
        <f t="shared" ca="1" si="44"/>
        <v>65</v>
      </c>
      <c r="E720" t="s">
        <v>23</v>
      </c>
      <c r="F720" t="s">
        <v>564</v>
      </c>
      <c r="G720" t="s">
        <v>565</v>
      </c>
      <c r="H720" t="str">
        <f t="shared" si="45"/>
        <v>Rio Branco - AC</v>
      </c>
      <c r="I720" s="1" t="s">
        <v>281</v>
      </c>
      <c r="J720" s="3">
        <v>88</v>
      </c>
      <c r="K720" s="4">
        <f t="shared" si="46"/>
        <v>33.53147386069196</v>
      </c>
      <c r="L720" s="1" t="str">
        <f t="shared" si="47"/>
        <v>Obesidade grau I</v>
      </c>
      <c r="M720" t="s">
        <v>76</v>
      </c>
    </row>
    <row r="721" spans="1:13" x14ac:dyDescent="0.25">
      <c r="A721">
        <v>720</v>
      </c>
      <c r="B721" t="s">
        <v>1509</v>
      </c>
      <c r="C721" s="2" t="s">
        <v>1510</v>
      </c>
      <c r="D721" s="2">
        <f t="shared" ca="1" si="44"/>
        <v>47</v>
      </c>
      <c r="E721" t="s">
        <v>10</v>
      </c>
      <c r="F721" t="s">
        <v>267</v>
      </c>
      <c r="G721" t="s">
        <v>103</v>
      </c>
      <c r="H721" t="str">
        <f t="shared" si="45"/>
        <v>São Paulo - SP</v>
      </c>
      <c r="I721" s="1" t="s">
        <v>226</v>
      </c>
      <c r="J721" s="3">
        <v>75</v>
      </c>
      <c r="K721" s="4">
        <f t="shared" si="46"/>
        <v>19.130700948882769</v>
      </c>
      <c r="L721" s="1" t="str">
        <f t="shared" si="47"/>
        <v>Peso ideal - parabéns</v>
      </c>
      <c r="M721" t="s">
        <v>32</v>
      </c>
    </row>
    <row r="722" spans="1:13" x14ac:dyDescent="0.25">
      <c r="A722">
        <v>721</v>
      </c>
      <c r="B722" t="s">
        <v>3013</v>
      </c>
      <c r="C722" s="2" t="s">
        <v>3014</v>
      </c>
      <c r="D722" s="2">
        <f t="shared" ca="1" si="44"/>
        <v>55</v>
      </c>
      <c r="E722" t="s">
        <v>10</v>
      </c>
      <c r="F722" t="s">
        <v>2953</v>
      </c>
      <c r="G722" t="s">
        <v>103</v>
      </c>
      <c r="H722" t="str">
        <f t="shared" si="45"/>
        <v>Santo André - SP</v>
      </c>
      <c r="I722" s="1" t="s">
        <v>318</v>
      </c>
      <c r="J722" s="3">
        <v>56</v>
      </c>
      <c r="K722" s="4">
        <f t="shared" si="46"/>
        <v>15.190972222222223</v>
      </c>
      <c r="L722" s="1" t="str">
        <f t="shared" si="47"/>
        <v>Muito abaixo do peso</v>
      </c>
      <c r="M722" t="s">
        <v>26</v>
      </c>
    </row>
    <row r="723" spans="1:13" x14ac:dyDescent="0.25">
      <c r="A723">
        <v>722</v>
      </c>
      <c r="B723" t="s">
        <v>3705</v>
      </c>
      <c r="C723" s="2" t="s">
        <v>3706</v>
      </c>
      <c r="D723" s="2">
        <f t="shared" ca="1" si="44"/>
        <v>48</v>
      </c>
      <c r="E723" t="s">
        <v>10</v>
      </c>
      <c r="F723" t="s">
        <v>1790</v>
      </c>
      <c r="G723" t="s">
        <v>51</v>
      </c>
      <c r="H723" t="str">
        <f t="shared" si="45"/>
        <v>Volta Redonda - RJ</v>
      </c>
      <c r="I723" s="1" t="s">
        <v>99</v>
      </c>
      <c r="J723" s="3">
        <v>52</v>
      </c>
      <c r="K723" s="4">
        <f t="shared" si="46"/>
        <v>13.816558614092891</v>
      </c>
      <c r="L723" s="1" t="str">
        <f t="shared" si="47"/>
        <v>Muito abaixo do peso</v>
      </c>
      <c r="M723" t="s">
        <v>47</v>
      </c>
    </row>
    <row r="724" spans="1:13" x14ac:dyDescent="0.25">
      <c r="A724">
        <v>723</v>
      </c>
      <c r="B724" t="s">
        <v>2398</v>
      </c>
      <c r="C724" s="2" t="s">
        <v>2399</v>
      </c>
      <c r="D724" s="2">
        <f t="shared" ca="1" si="44"/>
        <v>46</v>
      </c>
      <c r="E724" t="s">
        <v>10</v>
      </c>
      <c r="F724" t="s">
        <v>2278</v>
      </c>
      <c r="G724" t="s">
        <v>112</v>
      </c>
      <c r="H724" t="str">
        <f t="shared" si="45"/>
        <v>Marabá - PA</v>
      </c>
      <c r="I724" s="1" t="s">
        <v>56</v>
      </c>
      <c r="J724" s="3">
        <v>68</v>
      </c>
      <c r="K724" s="4">
        <f t="shared" si="46"/>
        <v>23.808690171912751</v>
      </c>
      <c r="L724" s="1" t="str">
        <f t="shared" si="47"/>
        <v>Peso ideal - parabéns</v>
      </c>
      <c r="M724" t="s">
        <v>14</v>
      </c>
    </row>
    <row r="725" spans="1:13" x14ac:dyDescent="0.25">
      <c r="A725">
        <v>724</v>
      </c>
      <c r="B725" t="s">
        <v>3944</v>
      </c>
      <c r="C725" s="2" t="s">
        <v>3945</v>
      </c>
      <c r="D725" s="2">
        <f t="shared" ca="1" si="44"/>
        <v>75</v>
      </c>
      <c r="E725" t="s">
        <v>10</v>
      </c>
      <c r="F725" t="s">
        <v>760</v>
      </c>
      <c r="G725" t="s">
        <v>310</v>
      </c>
      <c r="H725" t="str">
        <f t="shared" si="45"/>
        <v>São Leopoldo - RS</v>
      </c>
      <c r="I725" s="1" t="s">
        <v>281</v>
      </c>
      <c r="J725" s="3">
        <v>85</v>
      </c>
      <c r="K725" s="4">
        <f t="shared" si="46"/>
        <v>32.38835543362292</v>
      </c>
      <c r="L725" s="1" t="str">
        <f t="shared" si="47"/>
        <v>Obesidade grau I</v>
      </c>
      <c r="M725" t="s">
        <v>32</v>
      </c>
    </row>
    <row r="726" spans="1:13" x14ac:dyDescent="0.25">
      <c r="A726">
        <v>725</v>
      </c>
      <c r="B726" t="s">
        <v>3768</v>
      </c>
      <c r="C726" s="2" t="s">
        <v>3399</v>
      </c>
      <c r="D726" s="2">
        <f t="shared" ca="1" si="44"/>
        <v>48</v>
      </c>
      <c r="E726" t="s">
        <v>10</v>
      </c>
      <c r="F726" t="s">
        <v>457</v>
      </c>
      <c r="G726" t="s">
        <v>41</v>
      </c>
      <c r="H726" t="str">
        <f t="shared" si="45"/>
        <v>João Pessoa - PB</v>
      </c>
      <c r="I726" s="1" t="s">
        <v>108</v>
      </c>
      <c r="J726" s="3">
        <v>100</v>
      </c>
      <c r="K726" s="4">
        <f t="shared" si="46"/>
        <v>27.411529289219047</v>
      </c>
      <c r="L726" s="1" t="str">
        <f t="shared" si="47"/>
        <v>Levemente acima do peso</v>
      </c>
      <c r="M726" t="s">
        <v>14</v>
      </c>
    </row>
    <row r="727" spans="1:13" x14ac:dyDescent="0.25">
      <c r="A727">
        <v>726</v>
      </c>
      <c r="B727" t="s">
        <v>3768</v>
      </c>
      <c r="C727" s="2" t="s">
        <v>3399</v>
      </c>
      <c r="D727" s="2">
        <f t="shared" ca="1" si="44"/>
        <v>48</v>
      </c>
      <c r="E727" t="s">
        <v>10</v>
      </c>
      <c r="F727" t="s">
        <v>457</v>
      </c>
      <c r="G727" t="s">
        <v>41</v>
      </c>
      <c r="H727" t="str">
        <f t="shared" si="45"/>
        <v>João Pessoa - PB</v>
      </c>
      <c r="I727" s="1" t="s">
        <v>108</v>
      </c>
      <c r="J727" s="3">
        <v>100</v>
      </c>
      <c r="K727" s="4">
        <f t="shared" si="46"/>
        <v>27.411529289219047</v>
      </c>
      <c r="L727" s="1" t="str">
        <f t="shared" si="47"/>
        <v>Levemente acima do peso</v>
      </c>
      <c r="M727" t="s">
        <v>14</v>
      </c>
    </row>
    <row r="728" spans="1:13" x14ac:dyDescent="0.25">
      <c r="A728">
        <v>727</v>
      </c>
      <c r="B728" t="s">
        <v>3002</v>
      </c>
      <c r="C728" s="2" t="s">
        <v>3003</v>
      </c>
      <c r="D728" s="2">
        <f t="shared" ca="1" si="44"/>
        <v>60</v>
      </c>
      <c r="E728" t="s">
        <v>10</v>
      </c>
      <c r="F728" t="s">
        <v>329</v>
      </c>
      <c r="G728" t="s">
        <v>103</v>
      </c>
      <c r="H728" t="str">
        <f t="shared" si="45"/>
        <v>Guarulhos - SP</v>
      </c>
      <c r="I728" s="1" t="s">
        <v>132</v>
      </c>
      <c r="J728" s="3">
        <v>91</v>
      </c>
      <c r="K728" s="4">
        <f t="shared" si="46"/>
        <v>26.023048986244955</v>
      </c>
      <c r="L728" s="1" t="str">
        <f t="shared" si="47"/>
        <v>Levemente acima do peso</v>
      </c>
      <c r="M728" t="s">
        <v>76</v>
      </c>
    </row>
    <row r="729" spans="1:13" x14ac:dyDescent="0.25">
      <c r="A729">
        <v>728</v>
      </c>
      <c r="B729" t="s">
        <v>3402</v>
      </c>
      <c r="C729" s="2" t="s">
        <v>3403</v>
      </c>
      <c r="D729" s="2">
        <f t="shared" ca="1" si="44"/>
        <v>54</v>
      </c>
      <c r="E729" t="s">
        <v>10</v>
      </c>
      <c r="F729" t="s">
        <v>3404</v>
      </c>
      <c r="G729" t="s">
        <v>310</v>
      </c>
      <c r="H729" t="str">
        <f t="shared" si="45"/>
        <v>Bagé - RS</v>
      </c>
      <c r="I729" s="1" t="s">
        <v>66</v>
      </c>
      <c r="J729" s="3">
        <v>87</v>
      </c>
      <c r="K729" s="4">
        <f t="shared" si="46"/>
        <v>24.615210502489816</v>
      </c>
      <c r="L729" s="1" t="str">
        <f t="shared" si="47"/>
        <v>Peso ideal - parabéns</v>
      </c>
      <c r="M729" t="s">
        <v>76</v>
      </c>
    </row>
    <row r="730" spans="1:13" x14ac:dyDescent="0.25">
      <c r="A730">
        <v>729</v>
      </c>
      <c r="B730" t="s">
        <v>2168</v>
      </c>
      <c r="C730" s="2" t="s">
        <v>2169</v>
      </c>
      <c r="D730" s="2">
        <f t="shared" ca="1" si="44"/>
        <v>30</v>
      </c>
      <c r="E730" t="s">
        <v>10</v>
      </c>
      <c r="F730" t="s">
        <v>2170</v>
      </c>
      <c r="G730" t="s">
        <v>65</v>
      </c>
      <c r="H730" t="str">
        <f t="shared" si="45"/>
        <v>Camaçari - BA</v>
      </c>
      <c r="I730" s="1" t="s">
        <v>31</v>
      </c>
      <c r="J730" s="3">
        <v>69</v>
      </c>
      <c r="K730" s="4">
        <f t="shared" si="46"/>
        <v>25.654372397382513</v>
      </c>
      <c r="L730" s="1" t="str">
        <f t="shared" si="47"/>
        <v>Levemente acima do peso</v>
      </c>
      <c r="M730" t="s">
        <v>47</v>
      </c>
    </row>
    <row r="731" spans="1:13" x14ac:dyDescent="0.25">
      <c r="A731">
        <v>730</v>
      </c>
      <c r="B731" t="s">
        <v>1448</v>
      </c>
      <c r="C731" s="2" t="s">
        <v>1449</v>
      </c>
      <c r="D731" s="2">
        <f t="shared" ca="1" si="44"/>
        <v>22</v>
      </c>
      <c r="E731" t="s">
        <v>10</v>
      </c>
      <c r="F731" t="s">
        <v>1055</v>
      </c>
      <c r="G731" t="s">
        <v>30</v>
      </c>
      <c r="H731" t="str">
        <f t="shared" si="45"/>
        <v>Ariquemes - RO</v>
      </c>
      <c r="I731" s="1" t="s">
        <v>117</v>
      </c>
      <c r="J731" s="3">
        <v>99</v>
      </c>
      <c r="K731" s="4">
        <f t="shared" si="46"/>
        <v>31.246054791061734</v>
      </c>
      <c r="L731" s="1" t="str">
        <f t="shared" si="47"/>
        <v>Obesidade grau I</v>
      </c>
      <c r="M731" t="s">
        <v>14</v>
      </c>
    </row>
    <row r="732" spans="1:13" x14ac:dyDescent="0.25">
      <c r="A732">
        <v>731</v>
      </c>
      <c r="B732" t="s">
        <v>1365</v>
      </c>
      <c r="C732" s="2" t="s">
        <v>1366</v>
      </c>
      <c r="D732" s="2">
        <f t="shared" ca="1" si="44"/>
        <v>23</v>
      </c>
      <c r="E732" t="s">
        <v>10</v>
      </c>
      <c r="F732" t="s">
        <v>89</v>
      </c>
      <c r="G732" t="s">
        <v>12</v>
      </c>
      <c r="H732" t="str">
        <f t="shared" si="45"/>
        <v>Fortaleza - CE</v>
      </c>
      <c r="I732" s="1" t="s">
        <v>262</v>
      </c>
      <c r="J732" s="3">
        <v>104</v>
      </c>
      <c r="K732" s="4">
        <f t="shared" si="46"/>
        <v>28.80886426592798</v>
      </c>
      <c r="L732" s="1" t="str">
        <f t="shared" si="47"/>
        <v>Levemente acima do peso</v>
      </c>
      <c r="M732" t="s">
        <v>95</v>
      </c>
    </row>
    <row r="733" spans="1:13" x14ac:dyDescent="0.25">
      <c r="A733">
        <v>732</v>
      </c>
      <c r="B733" t="s">
        <v>625</v>
      </c>
      <c r="C733" s="2" t="s">
        <v>626</v>
      </c>
      <c r="D733" s="2">
        <f t="shared" ca="1" si="44"/>
        <v>82</v>
      </c>
      <c r="E733" t="s">
        <v>10</v>
      </c>
      <c r="F733" t="s">
        <v>627</v>
      </c>
      <c r="G733" t="s">
        <v>186</v>
      </c>
      <c r="H733" t="str">
        <f t="shared" si="45"/>
        <v>Coronel Fabriciano - MG</v>
      </c>
      <c r="I733" s="1" t="s">
        <v>90</v>
      </c>
      <c r="J733" s="3">
        <v>85</v>
      </c>
      <c r="K733" s="4">
        <f t="shared" si="46"/>
        <v>28.731746890210928</v>
      </c>
      <c r="L733" s="1" t="str">
        <f t="shared" si="47"/>
        <v>Levemente acima do peso</v>
      </c>
      <c r="M733" t="s">
        <v>26</v>
      </c>
    </row>
    <row r="734" spans="1:13" x14ac:dyDescent="0.25">
      <c r="A734">
        <v>733</v>
      </c>
      <c r="B734" t="s">
        <v>524</v>
      </c>
      <c r="C734" s="2" t="s">
        <v>525</v>
      </c>
      <c r="D734" s="2">
        <f t="shared" ca="1" si="44"/>
        <v>70</v>
      </c>
      <c r="E734" t="s">
        <v>10</v>
      </c>
      <c r="F734" t="s">
        <v>169</v>
      </c>
      <c r="G734" t="s">
        <v>170</v>
      </c>
      <c r="H734" t="str">
        <f t="shared" si="45"/>
        <v>Maceió - AL</v>
      </c>
      <c r="I734" s="1" t="s">
        <v>132</v>
      </c>
      <c r="J734" s="3">
        <v>74</v>
      </c>
      <c r="K734" s="4">
        <f t="shared" si="46"/>
        <v>21.161600274528865</v>
      </c>
      <c r="L734" s="1" t="str">
        <f t="shared" si="47"/>
        <v>Peso ideal - parabéns</v>
      </c>
      <c r="M734" t="s">
        <v>26</v>
      </c>
    </row>
    <row r="735" spans="1:13" x14ac:dyDescent="0.25">
      <c r="A735">
        <v>734</v>
      </c>
      <c r="B735" t="s">
        <v>3015</v>
      </c>
      <c r="C735" s="2" t="s">
        <v>3016</v>
      </c>
      <c r="D735" s="2">
        <f t="shared" ca="1" si="44"/>
        <v>70</v>
      </c>
      <c r="E735" t="s">
        <v>10</v>
      </c>
      <c r="F735" t="s">
        <v>69</v>
      </c>
      <c r="G735" t="s">
        <v>70</v>
      </c>
      <c r="H735" t="str">
        <f t="shared" si="45"/>
        <v>Aracaju - SE</v>
      </c>
      <c r="I735" s="1" t="s">
        <v>160</v>
      </c>
      <c r="J735" s="3">
        <v>105</v>
      </c>
      <c r="K735" s="4">
        <f t="shared" si="46"/>
        <v>31.013705103969752</v>
      </c>
      <c r="L735" s="1" t="str">
        <f t="shared" si="47"/>
        <v>Obesidade grau I</v>
      </c>
      <c r="M735" t="s">
        <v>47</v>
      </c>
    </row>
    <row r="736" spans="1:13" x14ac:dyDescent="0.25">
      <c r="A736">
        <v>735</v>
      </c>
      <c r="B736" t="s">
        <v>763</v>
      </c>
      <c r="C736" s="2" t="s">
        <v>764</v>
      </c>
      <c r="D736" s="2">
        <f t="shared" ca="1" si="44"/>
        <v>50</v>
      </c>
      <c r="E736" t="s">
        <v>10</v>
      </c>
      <c r="F736" t="s">
        <v>313</v>
      </c>
      <c r="G736" t="s">
        <v>25</v>
      </c>
      <c r="H736" t="str">
        <f t="shared" si="45"/>
        <v>Parnamirim - RN</v>
      </c>
      <c r="I736" s="1" t="s">
        <v>318</v>
      </c>
      <c r="J736" s="3">
        <v>104</v>
      </c>
      <c r="K736" s="4">
        <f t="shared" si="46"/>
        <v>28.211805555555557</v>
      </c>
      <c r="L736" s="1" t="str">
        <f t="shared" si="47"/>
        <v>Levemente acima do peso</v>
      </c>
      <c r="M736" t="s">
        <v>83</v>
      </c>
    </row>
    <row r="737" spans="1:13" x14ac:dyDescent="0.25">
      <c r="A737">
        <v>736</v>
      </c>
      <c r="B737" t="s">
        <v>1291</v>
      </c>
      <c r="C737" s="2" t="s">
        <v>1292</v>
      </c>
      <c r="D737" s="2">
        <f t="shared" ca="1" si="44"/>
        <v>76</v>
      </c>
      <c r="E737" t="s">
        <v>10</v>
      </c>
      <c r="F737" t="s">
        <v>236</v>
      </c>
      <c r="G737" t="s">
        <v>237</v>
      </c>
      <c r="H737" t="str">
        <f t="shared" si="45"/>
        <v>Teresina - PI</v>
      </c>
      <c r="I737" s="1" t="s">
        <v>160</v>
      </c>
      <c r="J737" s="3">
        <v>94</v>
      </c>
      <c r="K737" s="4">
        <f t="shared" si="46"/>
        <v>27.764650283553873</v>
      </c>
      <c r="L737" s="1" t="str">
        <f t="shared" si="47"/>
        <v>Levemente acima do peso</v>
      </c>
      <c r="M737" t="s">
        <v>32</v>
      </c>
    </row>
    <row r="738" spans="1:13" x14ac:dyDescent="0.25">
      <c r="A738">
        <v>737</v>
      </c>
      <c r="B738" t="s">
        <v>3812</v>
      </c>
      <c r="C738" s="2" t="s">
        <v>3813</v>
      </c>
      <c r="D738" s="2">
        <f t="shared" ca="1" si="44"/>
        <v>37</v>
      </c>
      <c r="E738" t="s">
        <v>23</v>
      </c>
      <c r="F738" t="s">
        <v>3814</v>
      </c>
      <c r="G738" t="s">
        <v>310</v>
      </c>
      <c r="H738" t="str">
        <f t="shared" si="45"/>
        <v>Santo Ângelo - RS</v>
      </c>
      <c r="I738" s="1" t="s">
        <v>155</v>
      </c>
      <c r="J738" s="3">
        <v>55</v>
      </c>
      <c r="K738" s="4">
        <f t="shared" si="46"/>
        <v>16.604274846033086</v>
      </c>
      <c r="L738" s="1" t="str">
        <f t="shared" si="47"/>
        <v>Muito abaixo do peso</v>
      </c>
      <c r="M738" t="s">
        <v>20</v>
      </c>
    </row>
    <row r="739" spans="1:13" x14ac:dyDescent="0.25">
      <c r="A739">
        <v>738</v>
      </c>
      <c r="B739" t="s">
        <v>2267</v>
      </c>
      <c r="C739" s="2" t="s">
        <v>2268</v>
      </c>
      <c r="D739" s="2">
        <f t="shared" ca="1" si="44"/>
        <v>78</v>
      </c>
      <c r="E739" t="s">
        <v>23</v>
      </c>
      <c r="F739" t="s">
        <v>236</v>
      </c>
      <c r="G739" t="s">
        <v>237</v>
      </c>
      <c r="H739" t="str">
        <f t="shared" si="45"/>
        <v>Teresina - PI</v>
      </c>
      <c r="I739" s="1" t="s">
        <v>400</v>
      </c>
      <c r="J739" s="3">
        <v>61</v>
      </c>
      <c r="K739" s="4">
        <f t="shared" si="46"/>
        <v>18.827160493827158</v>
      </c>
      <c r="L739" s="1" t="str">
        <f t="shared" si="47"/>
        <v>Peso ideal - parabéns</v>
      </c>
      <c r="M739" t="s">
        <v>95</v>
      </c>
    </row>
    <row r="740" spans="1:13" x14ac:dyDescent="0.25">
      <c r="A740">
        <v>739</v>
      </c>
      <c r="B740" t="s">
        <v>2960</v>
      </c>
      <c r="C740" s="2" t="s">
        <v>2961</v>
      </c>
      <c r="D740" s="2">
        <f t="shared" ca="1" si="44"/>
        <v>24</v>
      </c>
      <c r="E740" t="s">
        <v>23</v>
      </c>
      <c r="F740" t="s">
        <v>354</v>
      </c>
      <c r="G740" t="s">
        <v>30</v>
      </c>
      <c r="H740" t="str">
        <f t="shared" si="45"/>
        <v>Porto Velho - RO</v>
      </c>
      <c r="I740" s="1" t="s">
        <v>194</v>
      </c>
      <c r="J740" s="3">
        <v>52</v>
      </c>
      <c r="K740" s="4">
        <f t="shared" si="46"/>
        <v>15.193571950328705</v>
      </c>
      <c r="L740" s="1" t="str">
        <f t="shared" si="47"/>
        <v>Muito abaixo do peso</v>
      </c>
      <c r="M740" t="s">
        <v>20</v>
      </c>
    </row>
    <row r="741" spans="1:13" x14ac:dyDescent="0.25">
      <c r="A741">
        <v>740</v>
      </c>
      <c r="B741" t="s">
        <v>1561</v>
      </c>
      <c r="C741" s="2" t="s">
        <v>1562</v>
      </c>
      <c r="D741" s="2">
        <f t="shared" ca="1" si="44"/>
        <v>64</v>
      </c>
      <c r="E741" t="s">
        <v>23</v>
      </c>
      <c r="F741" t="s">
        <v>189</v>
      </c>
      <c r="G741" t="s">
        <v>190</v>
      </c>
      <c r="H741" t="str">
        <f t="shared" si="45"/>
        <v>Cuiabá - MT</v>
      </c>
      <c r="I741" s="1" t="s">
        <v>113</v>
      </c>
      <c r="J741" s="3">
        <v>71</v>
      </c>
      <c r="K741" s="4">
        <f t="shared" si="46"/>
        <v>26.722872520606725</v>
      </c>
      <c r="L741" s="1" t="str">
        <f t="shared" si="47"/>
        <v>Levemente acima do peso</v>
      </c>
      <c r="M741" t="s">
        <v>14</v>
      </c>
    </row>
    <row r="742" spans="1:13" x14ac:dyDescent="0.25">
      <c r="A742">
        <v>741</v>
      </c>
      <c r="B742" t="s">
        <v>3618</v>
      </c>
      <c r="C742" s="2" t="s">
        <v>3137</v>
      </c>
      <c r="D742" s="2">
        <f t="shared" ca="1" si="44"/>
        <v>47</v>
      </c>
      <c r="E742" t="s">
        <v>23</v>
      </c>
      <c r="F742" t="s">
        <v>35</v>
      </c>
      <c r="G742" t="s">
        <v>36</v>
      </c>
      <c r="H742" t="str">
        <f t="shared" si="45"/>
        <v>Timon - MA</v>
      </c>
      <c r="I742" s="1" t="s">
        <v>160</v>
      </c>
      <c r="J742" s="3">
        <v>65</v>
      </c>
      <c r="K742" s="4">
        <f t="shared" si="46"/>
        <v>19.198960302457465</v>
      </c>
      <c r="L742" s="1" t="str">
        <f t="shared" si="47"/>
        <v>Peso ideal - parabéns</v>
      </c>
      <c r="M742" t="s">
        <v>83</v>
      </c>
    </row>
    <row r="743" spans="1:13" x14ac:dyDescent="0.25">
      <c r="A743">
        <v>742</v>
      </c>
      <c r="B743" t="s">
        <v>1025</v>
      </c>
      <c r="C743" s="2" t="s">
        <v>1026</v>
      </c>
      <c r="D743" s="2">
        <f t="shared" ca="1" si="44"/>
        <v>76</v>
      </c>
      <c r="E743" t="s">
        <v>23</v>
      </c>
      <c r="F743" t="s">
        <v>147</v>
      </c>
      <c r="G743" t="s">
        <v>55</v>
      </c>
      <c r="H743" t="str">
        <f t="shared" si="45"/>
        <v>Londrina - PR</v>
      </c>
      <c r="I743" s="1" t="s">
        <v>117</v>
      </c>
      <c r="J743" s="3">
        <v>75</v>
      </c>
      <c r="K743" s="4">
        <f t="shared" si="46"/>
        <v>23.671253629592222</v>
      </c>
      <c r="L743" s="1" t="str">
        <f t="shared" si="47"/>
        <v>Peso ideal - parabéns</v>
      </c>
      <c r="M743" t="s">
        <v>14</v>
      </c>
    </row>
    <row r="744" spans="1:13" x14ac:dyDescent="0.25">
      <c r="A744">
        <v>743</v>
      </c>
      <c r="B744" t="s">
        <v>1433</v>
      </c>
      <c r="C744" s="2" t="s">
        <v>1434</v>
      </c>
      <c r="D744" s="2">
        <f t="shared" ca="1" si="44"/>
        <v>36</v>
      </c>
      <c r="E744" t="s">
        <v>23</v>
      </c>
      <c r="F744" t="s">
        <v>107</v>
      </c>
      <c r="G744" t="s">
        <v>36</v>
      </c>
      <c r="H744" t="str">
        <f t="shared" si="45"/>
        <v>São Luís - MA</v>
      </c>
      <c r="I744" s="1" t="s">
        <v>247</v>
      </c>
      <c r="J744" s="3">
        <v>89</v>
      </c>
      <c r="K744" s="4">
        <f t="shared" si="46"/>
        <v>39.555555555555557</v>
      </c>
      <c r="L744" s="1" t="str">
        <f t="shared" si="47"/>
        <v>Obesidade grau II - severa</v>
      </c>
      <c r="M744" t="s">
        <v>26</v>
      </c>
    </row>
    <row r="745" spans="1:13" x14ac:dyDescent="0.25">
      <c r="A745">
        <v>744</v>
      </c>
      <c r="B745" t="s">
        <v>3457</v>
      </c>
      <c r="C745" s="2" t="s">
        <v>3168</v>
      </c>
      <c r="D745" s="2">
        <f t="shared" ca="1" si="44"/>
        <v>39</v>
      </c>
      <c r="E745" t="s">
        <v>23</v>
      </c>
      <c r="F745" t="s">
        <v>138</v>
      </c>
      <c r="G745" t="s">
        <v>46</v>
      </c>
      <c r="H745" t="str">
        <f t="shared" si="45"/>
        <v>Aparecida de Goiânia - GO</v>
      </c>
      <c r="I745" s="1" t="s">
        <v>155</v>
      </c>
      <c r="J745" s="3">
        <v>70</v>
      </c>
      <c r="K745" s="4">
        <f t="shared" si="46"/>
        <v>21.132713440405748</v>
      </c>
      <c r="L745" s="1" t="str">
        <f t="shared" si="47"/>
        <v>Peso ideal - parabéns</v>
      </c>
      <c r="M745" t="s">
        <v>47</v>
      </c>
    </row>
    <row r="746" spans="1:13" x14ac:dyDescent="0.25">
      <c r="A746">
        <v>745</v>
      </c>
      <c r="B746" t="s">
        <v>503</v>
      </c>
      <c r="C746" s="2" t="s">
        <v>504</v>
      </c>
      <c r="D746" s="2">
        <f t="shared" ca="1" si="44"/>
        <v>82</v>
      </c>
      <c r="E746" t="s">
        <v>23</v>
      </c>
      <c r="F746" t="s">
        <v>126</v>
      </c>
      <c r="G746" t="s">
        <v>127</v>
      </c>
      <c r="H746" t="str">
        <f t="shared" si="45"/>
        <v>Boa Vista - RR</v>
      </c>
      <c r="I746" s="1" t="s">
        <v>247</v>
      </c>
      <c r="J746" s="3">
        <v>57</v>
      </c>
      <c r="K746" s="4">
        <f t="shared" si="46"/>
        <v>25.333333333333332</v>
      </c>
      <c r="L746" s="1" t="str">
        <f t="shared" si="47"/>
        <v>Levemente acima do peso</v>
      </c>
      <c r="M746" t="s">
        <v>95</v>
      </c>
    </row>
    <row r="747" spans="1:13" x14ac:dyDescent="0.25">
      <c r="A747">
        <v>746</v>
      </c>
      <c r="B747" t="s">
        <v>516</v>
      </c>
      <c r="C747" s="2" t="s">
        <v>517</v>
      </c>
      <c r="D747" s="2">
        <f t="shared" ca="1" si="44"/>
        <v>74</v>
      </c>
      <c r="E747" t="s">
        <v>23</v>
      </c>
      <c r="F747" t="s">
        <v>59</v>
      </c>
      <c r="G747" t="s">
        <v>60</v>
      </c>
      <c r="H747" t="str">
        <f t="shared" si="45"/>
        <v>Palmas - TO</v>
      </c>
      <c r="I747" s="1" t="s">
        <v>155</v>
      </c>
      <c r="J747" s="3">
        <v>45</v>
      </c>
      <c r="K747" s="4">
        <f t="shared" si="46"/>
        <v>13.585315783117981</v>
      </c>
      <c r="L747" s="1" t="str">
        <f t="shared" si="47"/>
        <v>Muito abaixo do peso</v>
      </c>
      <c r="M747" t="s">
        <v>83</v>
      </c>
    </row>
    <row r="748" spans="1:13" x14ac:dyDescent="0.25">
      <c r="A748">
        <v>747</v>
      </c>
      <c r="B748" t="s">
        <v>1090</v>
      </c>
      <c r="C748" s="2" t="s">
        <v>1091</v>
      </c>
      <c r="D748" s="2">
        <f t="shared" ca="1" si="44"/>
        <v>44</v>
      </c>
      <c r="E748" t="s">
        <v>10</v>
      </c>
      <c r="F748" t="s">
        <v>126</v>
      </c>
      <c r="G748" t="s">
        <v>127</v>
      </c>
      <c r="H748" t="str">
        <f t="shared" si="45"/>
        <v>Boa Vista - RR</v>
      </c>
      <c r="I748" s="1" t="s">
        <v>694</v>
      </c>
      <c r="J748" s="3">
        <v>51</v>
      </c>
      <c r="K748" s="4">
        <f t="shared" si="46"/>
        <v>14.74158862296219</v>
      </c>
      <c r="L748" s="1" t="str">
        <f t="shared" si="47"/>
        <v>Muito abaixo do peso</v>
      </c>
      <c r="M748" t="s">
        <v>14</v>
      </c>
    </row>
    <row r="749" spans="1:13" x14ac:dyDescent="0.25">
      <c r="A749">
        <v>748</v>
      </c>
      <c r="B749" t="s">
        <v>2217</v>
      </c>
      <c r="C749" s="2" t="s">
        <v>2218</v>
      </c>
      <c r="D749" s="2">
        <f t="shared" ca="1" si="44"/>
        <v>35</v>
      </c>
      <c r="E749" t="s">
        <v>10</v>
      </c>
      <c r="F749" t="s">
        <v>1880</v>
      </c>
      <c r="G749" t="s">
        <v>18</v>
      </c>
      <c r="H749" t="str">
        <f t="shared" si="45"/>
        <v>Dourados - MS</v>
      </c>
      <c r="I749" s="1" t="s">
        <v>90</v>
      </c>
      <c r="J749" s="3">
        <v>93</v>
      </c>
      <c r="K749" s="4">
        <f t="shared" si="46"/>
        <v>31.435911303407252</v>
      </c>
      <c r="L749" s="1" t="str">
        <f t="shared" si="47"/>
        <v>Obesidade grau I</v>
      </c>
      <c r="M749" t="s">
        <v>47</v>
      </c>
    </row>
    <row r="750" spans="1:13" x14ac:dyDescent="0.25">
      <c r="A750">
        <v>749</v>
      </c>
      <c r="B750" t="s">
        <v>3645</v>
      </c>
      <c r="C750" s="2" t="s">
        <v>3497</v>
      </c>
      <c r="D750" s="2">
        <f t="shared" ca="1" si="44"/>
        <v>70</v>
      </c>
      <c r="E750" t="s">
        <v>10</v>
      </c>
      <c r="F750" t="s">
        <v>69</v>
      </c>
      <c r="G750" t="s">
        <v>70</v>
      </c>
      <c r="H750" t="str">
        <f t="shared" si="45"/>
        <v>Aracaju - SE</v>
      </c>
      <c r="I750" s="1" t="s">
        <v>255</v>
      </c>
      <c r="J750" s="3">
        <v>95</v>
      </c>
      <c r="K750" s="4">
        <f t="shared" si="46"/>
        <v>23.989293199666673</v>
      </c>
      <c r="L750" s="1" t="str">
        <f t="shared" si="47"/>
        <v>Peso ideal - parabéns</v>
      </c>
      <c r="M750" t="s">
        <v>26</v>
      </c>
    </row>
    <row r="751" spans="1:13" x14ac:dyDescent="0.25">
      <c r="A751">
        <v>750</v>
      </c>
      <c r="B751" t="s">
        <v>2214</v>
      </c>
      <c r="C751" s="2" t="s">
        <v>2215</v>
      </c>
      <c r="D751" s="2">
        <f t="shared" ca="1" si="44"/>
        <v>34</v>
      </c>
      <c r="E751" t="s">
        <v>10</v>
      </c>
      <c r="F751" t="s">
        <v>2216</v>
      </c>
      <c r="G751" t="s">
        <v>103</v>
      </c>
      <c r="H751" t="str">
        <f t="shared" si="45"/>
        <v>Francisco Morato - SP</v>
      </c>
      <c r="I751" s="1" t="s">
        <v>160</v>
      </c>
      <c r="J751" s="3">
        <v>64</v>
      </c>
      <c r="K751" s="4">
        <f t="shared" si="46"/>
        <v>18.903591682419659</v>
      </c>
      <c r="L751" s="1" t="str">
        <f t="shared" si="47"/>
        <v>Peso ideal - parabéns</v>
      </c>
      <c r="M751" t="s">
        <v>95</v>
      </c>
    </row>
    <row r="752" spans="1:13" x14ac:dyDescent="0.25">
      <c r="A752">
        <v>751</v>
      </c>
      <c r="B752" t="s">
        <v>1244</v>
      </c>
      <c r="C752" s="2" t="s">
        <v>1245</v>
      </c>
      <c r="D752" s="2">
        <f t="shared" ca="1" si="44"/>
        <v>28</v>
      </c>
      <c r="E752" t="s">
        <v>10</v>
      </c>
      <c r="F752" t="s">
        <v>169</v>
      </c>
      <c r="G752" t="s">
        <v>170</v>
      </c>
      <c r="H752" t="str">
        <f t="shared" si="45"/>
        <v>Maceió - AL</v>
      </c>
      <c r="I752" s="1" t="s">
        <v>386</v>
      </c>
      <c r="J752" s="3">
        <v>57</v>
      </c>
      <c r="K752" s="4">
        <f t="shared" si="46"/>
        <v>20.685150239512268</v>
      </c>
      <c r="L752" s="1" t="str">
        <f t="shared" si="47"/>
        <v>Peso ideal - parabéns</v>
      </c>
      <c r="M752" t="s">
        <v>26</v>
      </c>
    </row>
    <row r="753" spans="1:13" x14ac:dyDescent="0.25">
      <c r="A753">
        <v>752</v>
      </c>
      <c r="B753" t="s">
        <v>2732</v>
      </c>
      <c r="C753" s="2" t="s">
        <v>2733</v>
      </c>
      <c r="D753" s="2">
        <f t="shared" ca="1" si="44"/>
        <v>45</v>
      </c>
      <c r="E753" t="s">
        <v>10</v>
      </c>
      <c r="F753" t="s">
        <v>564</v>
      </c>
      <c r="G753" t="s">
        <v>565</v>
      </c>
      <c r="H753" t="str">
        <f t="shared" si="45"/>
        <v>Rio Branco - AC</v>
      </c>
      <c r="I753" s="1" t="s">
        <v>400</v>
      </c>
      <c r="J753" s="3">
        <v>91</v>
      </c>
      <c r="K753" s="4">
        <f t="shared" si="46"/>
        <v>28.086419753086417</v>
      </c>
      <c r="L753" s="1" t="str">
        <f t="shared" si="47"/>
        <v>Levemente acima do peso</v>
      </c>
      <c r="M753" t="s">
        <v>76</v>
      </c>
    </row>
    <row r="754" spans="1:13" x14ac:dyDescent="0.25">
      <c r="A754">
        <v>753</v>
      </c>
      <c r="B754" t="s">
        <v>3864</v>
      </c>
      <c r="C754" s="2" t="s">
        <v>3865</v>
      </c>
      <c r="D754" s="2">
        <f t="shared" ca="1" si="44"/>
        <v>64</v>
      </c>
      <c r="E754" t="s">
        <v>10</v>
      </c>
      <c r="F754" t="s">
        <v>321</v>
      </c>
      <c r="G754" t="s">
        <v>273</v>
      </c>
      <c r="H754" t="str">
        <f t="shared" si="45"/>
        <v>Cariacica - ES</v>
      </c>
      <c r="I754" s="1" t="s">
        <v>86</v>
      </c>
      <c r="J754" s="3">
        <v>102</v>
      </c>
      <c r="K754" s="4">
        <f t="shared" si="46"/>
        <v>31.134580751503311</v>
      </c>
      <c r="L754" s="1" t="str">
        <f t="shared" si="47"/>
        <v>Obesidade grau I</v>
      </c>
      <c r="M754" t="s">
        <v>26</v>
      </c>
    </row>
    <row r="755" spans="1:13" x14ac:dyDescent="0.25">
      <c r="A755">
        <v>754</v>
      </c>
      <c r="B755" t="s">
        <v>2676</v>
      </c>
      <c r="C755" s="2" t="s">
        <v>2677</v>
      </c>
      <c r="D755" s="2">
        <f t="shared" ca="1" si="44"/>
        <v>42</v>
      </c>
      <c r="E755" t="s">
        <v>10</v>
      </c>
      <c r="F755" t="s">
        <v>681</v>
      </c>
      <c r="G755" t="s">
        <v>175</v>
      </c>
      <c r="H755" t="str">
        <f t="shared" si="45"/>
        <v>Jaboatão dos Guararapes - PE</v>
      </c>
      <c r="I755" s="1" t="s">
        <v>19</v>
      </c>
      <c r="J755" s="3">
        <v>54</v>
      </c>
      <c r="K755" s="4">
        <f t="shared" si="46"/>
        <v>17.236426314277505</v>
      </c>
      <c r="L755" s="1" t="str">
        <f t="shared" si="47"/>
        <v>Abaixo do peso</v>
      </c>
      <c r="M755" t="s">
        <v>83</v>
      </c>
    </row>
    <row r="756" spans="1:13" x14ac:dyDescent="0.25">
      <c r="A756">
        <v>755</v>
      </c>
      <c r="B756" t="s">
        <v>4145</v>
      </c>
      <c r="C756" s="2" t="s">
        <v>4146</v>
      </c>
      <c r="D756" s="2">
        <f t="shared" ca="1" si="44"/>
        <v>39</v>
      </c>
      <c r="E756" t="s">
        <v>10</v>
      </c>
      <c r="F756" t="s">
        <v>291</v>
      </c>
      <c r="G756" t="s">
        <v>131</v>
      </c>
      <c r="H756" t="str">
        <f t="shared" si="45"/>
        <v>Blumenau - SC</v>
      </c>
      <c r="I756" s="1" t="s">
        <v>386</v>
      </c>
      <c r="J756" s="3">
        <v>98</v>
      </c>
      <c r="K756" s="4">
        <f t="shared" si="46"/>
        <v>35.563942517056176</v>
      </c>
      <c r="L756" s="1" t="str">
        <f t="shared" si="47"/>
        <v>Obesidade grau II - severa</v>
      </c>
      <c r="M756" t="s">
        <v>95</v>
      </c>
    </row>
    <row r="757" spans="1:13" x14ac:dyDescent="0.25">
      <c r="A757">
        <v>756</v>
      </c>
      <c r="B757" t="s">
        <v>3410</v>
      </c>
      <c r="C757" s="2" t="s">
        <v>3411</v>
      </c>
      <c r="D757" s="2">
        <f t="shared" ca="1" si="44"/>
        <v>60</v>
      </c>
      <c r="E757" t="s">
        <v>10</v>
      </c>
      <c r="F757" t="s">
        <v>24</v>
      </c>
      <c r="G757" t="s">
        <v>25</v>
      </c>
      <c r="H757" t="str">
        <f t="shared" si="45"/>
        <v>Natal - RN</v>
      </c>
      <c r="I757" s="1" t="s">
        <v>94</v>
      </c>
      <c r="J757" s="3">
        <v>71</v>
      </c>
      <c r="K757" s="4">
        <f t="shared" si="46"/>
        <v>23.722810651876106</v>
      </c>
      <c r="L757" s="1" t="str">
        <f t="shared" si="47"/>
        <v>Peso ideal - parabéns</v>
      </c>
      <c r="M757" t="s">
        <v>26</v>
      </c>
    </row>
    <row r="758" spans="1:13" x14ac:dyDescent="0.25">
      <c r="A758">
        <v>757</v>
      </c>
      <c r="B758" t="s">
        <v>2725</v>
      </c>
      <c r="C758" s="2" t="s">
        <v>2726</v>
      </c>
      <c r="D758" s="2">
        <f t="shared" ca="1" si="44"/>
        <v>42</v>
      </c>
      <c r="E758" t="s">
        <v>10</v>
      </c>
      <c r="F758" t="s">
        <v>383</v>
      </c>
      <c r="G758" t="s">
        <v>237</v>
      </c>
      <c r="H758" t="str">
        <f t="shared" si="45"/>
        <v>Parnaíba - PI</v>
      </c>
      <c r="I758" s="1" t="s">
        <v>42</v>
      </c>
      <c r="J758" s="3">
        <v>51</v>
      </c>
      <c r="K758" s="4">
        <f t="shared" si="46"/>
        <v>15.917106207671422</v>
      </c>
      <c r="L758" s="1" t="str">
        <f t="shared" si="47"/>
        <v>Muito abaixo do peso</v>
      </c>
      <c r="M758" t="s">
        <v>26</v>
      </c>
    </row>
    <row r="759" spans="1:13" x14ac:dyDescent="0.25">
      <c r="A759">
        <v>758</v>
      </c>
      <c r="B759" t="s">
        <v>2538</v>
      </c>
      <c r="C759" s="2" t="s">
        <v>2539</v>
      </c>
      <c r="D759" s="2">
        <f t="shared" ca="1" si="44"/>
        <v>29</v>
      </c>
      <c r="E759" t="s">
        <v>10</v>
      </c>
      <c r="F759" t="s">
        <v>64</v>
      </c>
      <c r="G759" t="s">
        <v>65</v>
      </c>
      <c r="H759" t="str">
        <f t="shared" si="45"/>
        <v>Salvador - BA</v>
      </c>
      <c r="I759" s="1" t="s">
        <v>56</v>
      </c>
      <c r="J759" s="3">
        <v>106</v>
      </c>
      <c r="K759" s="4">
        <f t="shared" si="46"/>
        <v>37.113546444452233</v>
      </c>
      <c r="L759" s="1" t="str">
        <f t="shared" si="47"/>
        <v>Obesidade grau II - severa</v>
      </c>
      <c r="M759" t="s">
        <v>95</v>
      </c>
    </row>
    <row r="760" spans="1:13" x14ac:dyDescent="0.25">
      <c r="A760">
        <v>759</v>
      </c>
      <c r="B760" t="s">
        <v>588</v>
      </c>
      <c r="C760" s="2" t="s">
        <v>589</v>
      </c>
      <c r="D760" s="2">
        <f t="shared" ca="1" si="44"/>
        <v>76</v>
      </c>
      <c r="E760" t="s">
        <v>10</v>
      </c>
      <c r="F760" t="s">
        <v>158</v>
      </c>
      <c r="G760" t="s">
        <v>159</v>
      </c>
      <c r="H760" t="str">
        <f t="shared" si="45"/>
        <v>Brasília - DF</v>
      </c>
      <c r="I760" s="1" t="s">
        <v>160</v>
      </c>
      <c r="J760" s="3">
        <v>83</v>
      </c>
      <c r="K760" s="4">
        <f t="shared" si="46"/>
        <v>24.515595463137995</v>
      </c>
      <c r="L760" s="1" t="str">
        <f t="shared" si="47"/>
        <v>Peso ideal - parabéns</v>
      </c>
      <c r="M760" t="s">
        <v>32</v>
      </c>
    </row>
    <row r="761" spans="1:13" x14ac:dyDescent="0.25">
      <c r="A761">
        <v>760</v>
      </c>
      <c r="B761" t="s">
        <v>922</v>
      </c>
      <c r="C761" s="2" t="s">
        <v>923</v>
      </c>
      <c r="D761" s="2">
        <f t="shared" ca="1" si="44"/>
        <v>80</v>
      </c>
      <c r="E761" t="s">
        <v>10</v>
      </c>
      <c r="F761" t="s">
        <v>231</v>
      </c>
      <c r="G761" t="s">
        <v>18</v>
      </c>
      <c r="H761" t="str">
        <f t="shared" si="45"/>
        <v>Ponta Porã - MS</v>
      </c>
      <c r="I761" s="1" t="s">
        <v>104</v>
      </c>
      <c r="J761" s="3">
        <v>105</v>
      </c>
      <c r="K761" s="4">
        <f t="shared" si="46"/>
        <v>36.332179930795853</v>
      </c>
      <c r="L761" s="1" t="str">
        <f t="shared" si="47"/>
        <v>Obesidade grau II - severa</v>
      </c>
      <c r="M761" t="s">
        <v>76</v>
      </c>
    </row>
    <row r="762" spans="1:13" x14ac:dyDescent="0.25">
      <c r="A762">
        <v>761</v>
      </c>
      <c r="B762" t="s">
        <v>1127</v>
      </c>
      <c r="C762" s="2" t="s">
        <v>1128</v>
      </c>
      <c r="D762" s="2">
        <f t="shared" ca="1" si="44"/>
        <v>75</v>
      </c>
      <c r="E762" t="s">
        <v>10</v>
      </c>
      <c r="F762" t="s">
        <v>107</v>
      </c>
      <c r="G762" t="s">
        <v>36</v>
      </c>
      <c r="H762" t="str">
        <f t="shared" si="45"/>
        <v>São Luís - MA</v>
      </c>
      <c r="I762" s="1" t="s">
        <v>66</v>
      </c>
      <c r="J762" s="3">
        <v>101</v>
      </c>
      <c r="K762" s="4">
        <f t="shared" si="46"/>
        <v>28.576278859212316</v>
      </c>
      <c r="L762" s="1" t="str">
        <f t="shared" si="47"/>
        <v>Levemente acima do peso</v>
      </c>
      <c r="M762" t="s">
        <v>32</v>
      </c>
    </row>
    <row r="763" spans="1:13" x14ac:dyDescent="0.25">
      <c r="A763">
        <v>762</v>
      </c>
      <c r="B763" t="s">
        <v>3017</v>
      </c>
      <c r="C763" s="2" t="s">
        <v>3018</v>
      </c>
      <c r="D763" s="2">
        <f t="shared" ca="1" si="44"/>
        <v>72</v>
      </c>
      <c r="E763" t="s">
        <v>10</v>
      </c>
      <c r="F763" t="s">
        <v>796</v>
      </c>
      <c r="G763" t="s">
        <v>131</v>
      </c>
      <c r="H763" t="str">
        <f t="shared" si="45"/>
        <v>Joinville - SC</v>
      </c>
      <c r="I763" s="1" t="s">
        <v>13</v>
      </c>
      <c r="J763" s="3">
        <v>70</v>
      </c>
      <c r="K763" s="4">
        <f t="shared" si="46"/>
        <v>23.938989774631512</v>
      </c>
      <c r="L763" s="1" t="str">
        <f t="shared" si="47"/>
        <v>Peso ideal - parabéns</v>
      </c>
      <c r="M763" t="s">
        <v>32</v>
      </c>
    </row>
    <row r="764" spans="1:13" x14ac:dyDescent="0.25">
      <c r="A764">
        <v>763</v>
      </c>
      <c r="B764" t="s">
        <v>2381</v>
      </c>
      <c r="C764" s="2" t="s">
        <v>2382</v>
      </c>
      <c r="D764" s="2">
        <f t="shared" ca="1" si="44"/>
        <v>49</v>
      </c>
      <c r="E764" t="s">
        <v>23</v>
      </c>
      <c r="F764" t="s">
        <v>439</v>
      </c>
      <c r="G764" t="s">
        <v>190</v>
      </c>
      <c r="H764" t="str">
        <f t="shared" si="45"/>
        <v>Rondonópolis - MT</v>
      </c>
      <c r="I764" s="1" t="s">
        <v>400</v>
      </c>
      <c r="J764" s="3">
        <v>86</v>
      </c>
      <c r="K764" s="4">
        <f t="shared" si="46"/>
        <v>26.543209876543209</v>
      </c>
      <c r="L764" s="1" t="str">
        <f t="shared" si="47"/>
        <v>Levemente acima do peso</v>
      </c>
      <c r="M764" t="s">
        <v>76</v>
      </c>
    </row>
    <row r="765" spans="1:13" x14ac:dyDescent="0.25">
      <c r="A765">
        <v>764</v>
      </c>
      <c r="B765" t="s">
        <v>840</v>
      </c>
      <c r="C765" s="2" t="s">
        <v>841</v>
      </c>
      <c r="D765" s="2">
        <f t="shared" ca="1" si="44"/>
        <v>29</v>
      </c>
      <c r="E765" t="s">
        <v>23</v>
      </c>
      <c r="F765" t="s">
        <v>126</v>
      </c>
      <c r="G765" t="s">
        <v>127</v>
      </c>
      <c r="H765" t="str">
        <f t="shared" si="45"/>
        <v>Boa Vista - RR</v>
      </c>
      <c r="I765" s="1" t="s">
        <v>247</v>
      </c>
      <c r="J765" s="3">
        <v>55</v>
      </c>
      <c r="K765" s="4">
        <f t="shared" si="46"/>
        <v>24.444444444444443</v>
      </c>
      <c r="L765" s="1" t="str">
        <f t="shared" si="47"/>
        <v>Peso ideal - parabéns</v>
      </c>
      <c r="M765" t="s">
        <v>47</v>
      </c>
    </row>
    <row r="766" spans="1:13" x14ac:dyDescent="0.25">
      <c r="A766">
        <v>765</v>
      </c>
      <c r="B766" t="s">
        <v>885</v>
      </c>
      <c r="C766" s="2" t="s">
        <v>886</v>
      </c>
      <c r="D766" s="2">
        <f t="shared" ca="1" si="44"/>
        <v>58</v>
      </c>
      <c r="E766" t="s">
        <v>23</v>
      </c>
      <c r="F766" t="s">
        <v>182</v>
      </c>
      <c r="G766" t="s">
        <v>55</v>
      </c>
      <c r="H766" t="str">
        <f t="shared" si="45"/>
        <v>Curitiba - PR</v>
      </c>
      <c r="I766" s="1" t="s">
        <v>155</v>
      </c>
      <c r="J766" s="3">
        <v>52</v>
      </c>
      <c r="K766" s="4">
        <f t="shared" si="46"/>
        <v>15.698587127158554</v>
      </c>
      <c r="L766" s="1" t="str">
        <f t="shared" si="47"/>
        <v>Muito abaixo do peso</v>
      </c>
      <c r="M766" t="s">
        <v>76</v>
      </c>
    </row>
    <row r="767" spans="1:13" x14ac:dyDescent="0.25">
      <c r="A767">
        <v>766</v>
      </c>
      <c r="B767" t="s">
        <v>3228</v>
      </c>
      <c r="C767" s="2" t="s">
        <v>3229</v>
      </c>
      <c r="D767" s="2">
        <f t="shared" ca="1" si="44"/>
        <v>56</v>
      </c>
      <c r="E767" t="s">
        <v>23</v>
      </c>
      <c r="F767" t="s">
        <v>126</v>
      </c>
      <c r="G767" t="s">
        <v>127</v>
      </c>
      <c r="H767" t="str">
        <f t="shared" si="45"/>
        <v>Boa Vista - RR</v>
      </c>
      <c r="I767" s="1" t="s">
        <v>19</v>
      </c>
      <c r="J767" s="3">
        <v>59</v>
      </c>
      <c r="K767" s="4">
        <f t="shared" si="46"/>
        <v>18.832391713747644</v>
      </c>
      <c r="L767" s="1" t="str">
        <f t="shared" si="47"/>
        <v>Peso ideal - parabéns</v>
      </c>
      <c r="M767" t="s">
        <v>95</v>
      </c>
    </row>
    <row r="768" spans="1:13" x14ac:dyDescent="0.25">
      <c r="A768">
        <v>767</v>
      </c>
      <c r="B768" t="s">
        <v>2198</v>
      </c>
      <c r="C768" s="2" t="s">
        <v>2199</v>
      </c>
      <c r="D768" s="2">
        <f t="shared" ca="1" si="44"/>
        <v>69</v>
      </c>
      <c r="E768" t="s">
        <v>23</v>
      </c>
      <c r="F768" t="s">
        <v>89</v>
      </c>
      <c r="G768" t="s">
        <v>12</v>
      </c>
      <c r="H768" t="str">
        <f t="shared" si="45"/>
        <v>Fortaleza - CE</v>
      </c>
      <c r="I768" s="1" t="s">
        <v>191</v>
      </c>
      <c r="J768" s="3">
        <v>60</v>
      </c>
      <c r="K768" s="4">
        <f t="shared" si="46"/>
        <v>23.437499999999996</v>
      </c>
      <c r="L768" s="1" t="str">
        <f t="shared" si="47"/>
        <v>Peso ideal - parabéns</v>
      </c>
      <c r="M768" t="s">
        <v>26</v>
      </c>
    </row>
    <row r="769" spans="1:13" x14ac:dyDescent="0.25">
      <c r="A769">
        <v>768</v>
      </c>
      <c r="B769" t="s">
        <v>1793</v>
      </c>
      <c r="C769" s="2" t="s">
        <v>1794</v>
      </c>
      <c r="D769" s="2">
        <f t="shared" ca="1" si="44"/>
        <v>57</v>
      </c>
      <c r="E769" t="s">
        <v>23</v>
      </c>
      <c r="F769" t="s">
        <v>1178</v>
      </c>
      <c r="G769" t="s">
        <v>46</v>
      </c>
      <c r="H769" t="str">
        <f t="shared" si="45"/>
        <v>Luziânia - GO</v>
      </c>
      <c r="I769" s="1" t="s">
        <v>117</v>
      </c>
      <c r="J769" s="3">
        <v>49</v>
      </c>
      <c r="K769" s="4">
        <f t="shared" si="46"/>
        <v>15.465219038000251</v>
      </c>
      <c r="L769" s="1" t="str">
        <f t="shared" si="47"/>
        <v>Muito abaixo do peso</v>
      </c>
      <c r="M769" t="s">
        <v>26</v>
      </c>
    </row>
    <row r="770" spans="1:13" x14ac:dyDescent="0.25">
      <c r="A770">
        <v>769</v>
      </c>
      <c r="B770" t="s">
        <v>2251</v>
      </c>
      <c r="C770" s="2" t="s">
        <v>2252</v>
      </c>
      <c r="D770" s="2">
        <f t="shared" ca="1" si="44"/>
        <v>54</v>
      </c>
      <c r="E770" t="s">
        <v>10</v>
      </c>
      <c r="F770" t="s">
        <v>852</v>
      </c>
      <c r="G770" t="s">
        <v>186</v>
      </c>
      <c r="H770" t="str">
        <f t="shared" si="45"/>
        <v>Belo Horizonte - MG</v>
      </c>
      <c r="I770" s="1" t="s">
        <v>19</v>
      </c>
      <c r="J770" s="3">
        <v>82</v>
      </c>
      <c r="K770" s="4">
        <f t="shared" si="46"/>
        <v>26.173832551310287</v>
      </c>
      <c r="L770" s="1" t="str">
        <f t="shared" si="47"/>
        <v>Levemente acima do peso</v>
      </c>
      <c r="M770" t="s">
        <v>26</v>
      </c>
    </row>
    <row r="771" spans="1:13" x14ac:dyDescent="0.25">
      <c r="A771">
        <v>770</v>
      </c>
      <c r="B771" t="s">
        <v>893</v>
      </c>
      <c r="C771" s="2" t="s">
        <v>894</v>
      </c>
      <c r="D771" s="2">
        <f t="shared" ref="D771:D834" ca="1" si="48">YEAR(TODAY())-YEAR(C771)</f>
        <v>45</v>
      </c>
      <c r="E771" t="s">
        <v>10</v>
      </c>
      <c r="F771" t="s">
        <v>74</v>
      </c>
      <c r="G771" t="s">
        <v>75</v>
      </c>
      <c r="H771" t="str">
        <f t="shared" ref="H771:H834" si="49">CONCATENATE(F771," - ",G771)</f>
        <v>Macapá - AP</v>
      </c>
      <c r="I771" s="1" t="s">
        <v>262</v>
      </c>
      <c r="J771" s="3">
        <v>105</v>
      </c>
      <c r="K771" s="4">
        <f t="shared" ref="K771:K834" si="50">J771/(I771*I771)</f>
        <v>29.085872576177287</v>
      </c>
      <c r="L771" s="1" t="str">
        <f t="shared" ref="L771:L834" si="51">IF(K771&gt;=40,"Obesidade grau III - mórbida",
IF(K771&gt;=35,"Obesidade grau II - severa",
IF(K771&gt;=30,"Obesidade grau I",
IF(K771&gt;=25,"Levemente acima do peso",
IF(K771&gt;=18.6,"Peso ideal - parabéns",
IF(K771&gt;=17,"Abaixo do peso",
"Muito abaixo do peso"))))))</f>
        <v>Levemente acima do peso</v>
      </c>
      <c r="M771" t="s">
        <v>47</v>
      </c>
    </row>
    <row r="772" spans="1:13" x14ac:dyDescent="0.25">
      <c r="A772">
        <v>771</v>
      </c>
      <c r="B772" t="s">
        <v>15</v>
      </c>
      <c r="C772" s="2" t="s">
        <v>16</v>
      </c>
      <c r="D772" s="2">
        <f t="shared" ca="1" si="48"/>
        <v>59</v>
      </c>
      <c r="E772" t="s">
        <v>10</v>
      </c>
      <c r="F772" t="s">
        <v>17</v>
      </c>
      <c r="G772" t="s">
        <v>18</v>
      </c>
      <c r="H772" t="str">
        <f t="shared" si="49"/>
        <v>Campo Grande - MS</v>
      </c>
      <c r="I772" s="1" t="s">
        <v>19</v>
      </c>
      <c r="J772" s="3">
        <v>63</v>
      </c>
      <c r="K772" s="4">
        <f t="shared" si="50"/>
        <v>20.109164033323754</v>
      </c>
      <c r="L772" s="1" t="str">
        <f t="shared" si="51"/>
        <v>Peso ideal - parabéns</v>
      </c>
      <c r="M772" t="s">
        <v>20</v>
      </c>
    </row>
    <row r="773" spans="1:13" x14ac:dyDescent="0.25">
      <c r="A773">
        <v>772</v>
      </c>
      <c r="B773" t="s">
        <v>1757</v>
      </c>
      <c r="C773" s="2" t="s">
        <v>1758</v>
      </c>
      <c r="D773" s="2">
        <f t="shared" ca="1" si="48"/>
        <v>62</v>
      </c>
      <c r="E773" t="s">
        <v>10</v>
      </c>
      <c r="F773" t="s">
        <v>208</v>
      </c>
      <c r="G773" t="s">
        <v>30</v>
      </c>
      <c r="H773" t="str">
        <f t="shared" si="49"/>
        <v>Ji-Paraná - RO</v>
      </c>
      <c r="I773" s="1" t="s">
        <v>400</v>
      </c>
      <c r="J773" s="3">
        <v>66</v>
      </c>
      <c r="K773" s="4">
        <f t="shared" si="50"/>
        <v>20.37037037037037</v>
      </c>
      <c r="L773" s="1" t="str">
        <f t="shared" si="51"/>
        <v>Peso ideal - parabéns</v>
      </c>
      <c r="M773" t="s">
        <v>32</v>
      </c>
    </row>
    <row r="774" spans="1:13" x14ac:dyDescent="0.25">
      <c r="A774">
        <v>773</v>
      </c>
      <c r="B774" t="s">
        <v>1033</v>
      </c>
      <c r="C774" s="2" t="s">
        <v>1034</v>
      </c>
      <c r="D774" s="2">
        <f t="shared" ca="1" si="48"/>
        <v>26</v>
      </c>
      <c r="E774" t="s">
        <v>10</v>
      </c>
      <c r="F774" t="s">
        <v>64</v>
      </c>
      <c r="G774" t="s">
        <v>65</v>
      </c>
      <c r="H774" t="str">
        <f t="shared" si="49"/>
        <v>Salvador - BA</v>
      </c>
      <c r="I774" s="1" t="s">
        <v>179</v>
      </c>
      <c r="J774" s="3">
        <v>76</v>
      </c>
      <c r="K774" s="4">
        <f t="shared" si="50"/>
        <v>25.102391333069097</v>
      </c>
      <c r="L774" s="1" t="str">
        <f t="shared" si="51"/>
        <v>Levemente acima do peso</v>
      </c>
      <c r="M774" t="s">
        <v>83</v>
      </c>
    </row>
    <row r="775" spans="1:13" x14ac:dyDescent="0.25">
      <c r="A775">
        <v>774</v>
      </c>
      <c r="B775" t="s">
        <v>2450</v>
      </c>
      <c r="C775" s="2" t="s">
        <v>2451</v>
      </c>
      <c r="D775" s="2">
        <f t="shared" ca="1" si="48"/>
        <v>65</v>
      </c>
      <c r="E775" t="s">
        <v>10</v>
      </c>
      <c r="F775" t="s">
        <v>2452</v>
      </c>
      <c r="G775" t="s">
        <v>103</v>
      </c>
      <c r="H775" t="str">
        <f t="shared" si="49"/>
        <v>Tatuí - SP</v>
      </c>
      <c r="I775" s="1" t="s">
        <v>99</v>
      </c>
      <c r="J775" s="3">
        <v>88</v>
      </c>
      <c r="K775" s="4">
        <f t="shared" si="50"/>
        <v>23.381868423849507</v>
      </c>
      <c r="L775" s="1" t="str">
        <f t="shared" si="51"/>
        <v>Peso ideal - parabéns</v>
      </c>
      <c r="M775" t="s">
        <v>32</v>
      </c>
    </row>
    <row r="776" spans="1:13" x14ac:dyDescent="0.25">
      <c r="A776">
        <v>775</v>
      </c>
      <c r="B776" t="s">
        <v>142</v>
      </c>
      <c r="C776" s="2" t="s">
        <v>143</v>
      </c>
      <c r="D776" s="2">
        <f t="shared" ca="1" si="48"/>
        <v>26</v>
      </c>
      <c r="E776" t="s">
        <v>10</v>
      </c>
      <c r="F776" t="s">
        <v>144</v>
      </c>
      <c r="G776" t="s">
        <v>12</v>
      </c>
      <c r="H776" t="str">
        <f t="shared" si="49"/>
        <v>Maranguape - CE</v>
      </c>
      <c r="I776" s="1" t="s">
        <v>123</v>
      </c>
      <c r="J776" s="3">
        <v>78</v>
      </c>
      <c r="K776" s="4">
        <f t="shared" si="50"/>
        <v>25.180785123966942</v>
      </c>
      <c r="L776" s="1" t="str">
        <f t="shared" si="51"/>
        <v>Levemente acima do peso</v>
      </c>
      <c r="M776" t="s">
        <v>14</v>
      </c>
    </row>
    <row r="777" spans="1:13" x14ac:dyDescent="0.25">
      <c r="A777">
        <v>776</v>
      </c>
      <c r="B777" t="s">
        <v>3244</v>
      </c>
      <c r="C777" s="2" t="s">
        <v>3245</v>
      </c>
      <c r="D777" s="2">
        <f t="shared" ca="1" si="48"/>
        <v>76</v>
      </c>
      <c r="E777" t="s">
        <v>23</v>
      </c>
      <c r="F777" t="s">
        <v>158</v>
      </c>
      <c r="G777" t="s">
        <v>159</v>
      </c>
      <c r="H777" t="str">
        <f t="shared" si="49"/>
        <v>Brasília - DF</v>
      </c>
      <c r="I777" s="1" t="s">
        <v>484</v>
      </c>
      <c r="J777" s="3">
        <v>75</v>
      </c>
      <c r="K777" s="4">
        <f t="shared" si="50"/>
        <v>31.217481789802285</v>
      </c>
      <c r="L777" s="1" t="str">
        <f t="shared" si="51"/>
        <v>Obesidade grau I</v>
      </c>
      <c r="M777" t="s">
        <v>32</v>
      </c>
    </row>
    <row r="778" spans="1:13" x14ac:dyDescent="0.25">
      <c r="A778">
        <v>777</v>
      </c>
      <c r="B778" t="s">
        <v>1876</v>
      </c>
      <c r="C778" s="2" t="s">
        <v>1877</v>
      </c>
      <c r="D778" s="2">
        <f t="shared" ca="1" si="48"/>
        <v>29</v>
      </c>
      <c r="E778" t="s">
        <v>23</v>
      </c>
      <c r="F778" t="s">
        <v>45</v>
      </c>
      <c r="G778" t="s">
        <v>46</v>
      </c>
      <c r="H778" t="str">
        <f t="shared" si="49"/>
        <v>Goiânia - GO</v>
      </c>
      <c r="I778" s="1" t="s">
        <v>113</v>
      </c>
      <c r="J778" s="3">
        <v>77</v>
      </c>
      <c r="K778" s="4">
        <f t="shared" si="50"/>
        <v>28.981143437841094</v>
      </c>
      <c r="L778" s="1" t="str">
        <f t="shared" si="51"/>
        <v>Levemente acima do peso</v>
      </c>
      <c r="M778" t="s">
        <v>14</v>
      </c>
    </row>
    <row r="779" spans="1:13" x14ac:dyDescent="0.25">
      <c r="A779">
        <v>778</v>
      </c>
      <c r="B779" t="s">
        <v>3792</v>
      </c>
      <c r="C779" s="2" t="s">
        <v>3793</v>
      </c>
      <c r="D779" s="2">
        <f t="shared" ca="1" si="48"/>
        <v>40</v>
      </c>
      <c r="E779" t="s">
        <v>23</v>
      </c>
      <c r="F779" t="s">
        <v>69</v>
      </c>
      <c r="G779" t="s">
        <v>70</v>
      </c>
      <c r="H779" t="str">
        <f t="shared" si="49"/>
        <v>Aracaju - SE</v>
      </c>
      <c r="I779" s="1" t="s">
        <v>117</v>
      </c>
      <c r="J779" s="3">
        <v>70</v>
      </c>
      <c r="K779" s="4">
        <f t="shared" si="50"/>
        <v>22.093170054286073</v>
      </c>
      <c r="L779" s="1" t="str">
        <f t="shared" si="51"/>
        <v>Peso ideal - parabéns</v>
      </c>
      <c r="M779" t="s">
        <v>47</v>
      </c>
    </row>
    <row r="780" spans="1:13" x14ac:dyDescent="0.25">
      <c r="A780">
        <v>779</v>
      </c>
      <c r="B780" t="s">
        <v>3792</v>
      </c>
      <c r="C780" s="2" t="s">
        <v>3793</v>
      </c>
      <c r="D780" s="2">
        <f t="shared" ca="1" si="48"/>
        <v>40</v>
      </c>
      <c r="E780" t="s">
        <v>23</v>
      </c>
      <c r="F780" t="s">
        <v>69</v>
      </c>
      <c r="G780" t="s">
        <v>70</v>
      </c>
      <c r="H780" t="str">
        <f t="shared" si="49"/>
        <v>Aracaju - SE</v>
      </c>
      <c r="I780" s="1" t="s">
        <v>117</v>
      </c>
      <c r="J780" s="3">
        <v>70</v>
      </c>
      <c r="K780" s="4">
        <f t="shared" si="50"/>
        <v>22.093170054286073</v>
      </c>
      <c r="L780" s="1" t="str">
        <f t="shared" si="51"/>
        <v>Peso ideal - parabéns</v>
      </c>
      <c r="M780" t="s">
        <v>47</v>
      </c>
    </row>
    <row r="781" spans="1:13" x14ac:dyDescent="0.25">
      <c r="A781">
        <v>780</v>
      </c>
      <c r="B781" t="s">
        <v>3659</v>
      </c>
      <c r="C781" s="2" t="s">
        <v>3660</v>
      </c>
      <c r="D781" s="2">
        <f t="shared" ca="1" si="48"/>
        <v>36</v>
      </c>
      <c r="E781" t="s">
        <v>23</v>
      </c>
      <c r="F781" t="s">
        <v>681</v>
      </c>
      <c r="G781" t="s">
        <v>175</v>
      </c>
      <c r="H781" t="str">
        <f t="shared" si="49"/>
        <v>Jaboatão dos Guararapes - PE</v>
      </c>
      <c r="I781" s="1" t="s">
        <v>94</v>
      </c>
      <c r="J781" s="3">
        <v>70</v>
      </c>
      <c r="K781" s="4">
        <f t="shared" si="50"/>
        <v>23.388686558187711</v>
      </c>
      <c r="L781" s="1" t="str">
        <f t="shared" si="51"/>
        <v>Peso ideal - parabéns</v>
      </c>
      <c r="M781" t="s">
        <v>83</v>
      </c>
    </row>
    <row r="782" spans="1:13" x14ac:dyDescent="0.25">
      <c r="A782">
        <v>781</v>
      </c>
      <c r="B782" t="s">
        <v>1313</v>
      </c>
      <c r="C782" s="2" t="s">
        <v>1314</v>
      </c>
      <c r="D782" s="2">
        <f t="shared" ca="1" si="48"/>
        <v>33</v>
      </c>
      <c r="E782" t="s">
        <v>23</v>
      </c>
      <c r="F782" t="s">
        <v>564</v>
      </c>
      <c r="G782" t="s">
        <v>565</v>
      </c>
      <c r="H782" t="str">
        <f t="shared" si="49"/>
        <v>Rio Branco - AC</v>
      </c>
      <c r="I782" s="1" t="s">
        <v>117</v>
      </c>
      <c r="J782" s="3">
        <v>54</v>
      </c>
      <c r="K782" s="4">
        <f t="shared" si="50"/>
        <v>17.043302613306402</v>
      </c>
      <c r="L782" s="1" t="str">
        <f t="shared" si="51"/>
        <v>Abaixo do peso</v>
      </c>
      <c r="M782" t="s">
        <v>83</v>
      </c>
    </row>
    <row r="783" spans="1:13" x14ac:dyDescent="0.25">
      <c r="A783">
        <v>782</v>
      </c>
      <c r="B783" t="s">
        <v>3278</v>
      </c>
      <c r="C783" s="2" t="s">
        <v>655</v>
      </c>
      <c r="D783" s="2">
        <f t="shared" ca="1" si="48"/>
        <v>31</v>
      </c>
      <c r="E783" t="s">
        <v>23</v>
      </c>
      <c r="F783" t="s">
        <v>564</v>
      </c>
      <c r="G783" t="s">
        <v>565</v>
      </c>
      <c r="H783" t="str">
        <f t="shared" si="49"/>
        <v>Rio Branco - AC</v>
      </c>
      <c r="I783" s="1" t="s">
        <v>123</v>
      </c>
      <c r="J783" s="3">
        <v>85</v>
      </c>
      <c r="K783" s="4">
        <f t="shared" si="50"/>
        <v>27.440599173553721</v>
      </c>
      <c r="L783" s="1" t="str">
        <f t="shared" si="51"/>
        <v>Levemente acima do peso</v>
      </c>
      <c r="M783" t="s">
        <v>32</v>
      </c>
    </row>
    <row r="784" spans="1:13" x14ac:dyDescent="0.25">
      <c r="A784">
        <v>783</v>
      </c>
      <c r="B784" t="s">
        <v>778</v>
      </c>
      <c r="C784" s="2" t="s">
        <v>779</v>
      </c>
      <c r="D784" s="2">
        <f t="shared" ca="1" si="48"/>
        <v>66</v>
      </c>
      <c r="E784" t="s">
        <v>23</v>
      </c>
      <c r="F784" t="s">
        <v>457</v>
      </c>
      <c r="G784" t="s">
        <v>41</v>
      </c>
      <c r="H784" t="str">
        <f t="shared" si="49"/>
        <v>João Pessoa - PB</v>
      </c>
      <c r="I784" s="1" t="s">
        <v>194</v>
      </c>
      <c r="J784" s="3">
        <v>59</v>
      </c>
      <c r="K784" s="4">
        <f t="shared" si="50"/>
        <v>17.238860482103725</v>
      </c>
      <c r="L784" s="1" t="str">
        <f t="shared" si="51"/>
        <v>Abaixo do peso</v>
      </c>
      <c r="M784" t="s">
        <v>32</v>
      </c>
    </row>
    <row r="785" spans="1:13" x14ac:dyDescent="0.25">
      <c r="A785">
        <v>784</v>
      </c>
      <c r="B785" t="s">
        <v>2947</v>
      </c>
      <c r="C785" s="2" t="s">
        <v>2948</v>
      </c>
      <c r="D785" s="2">
        <f t="shared" ca="1" si="48"/>
        <v>71</v>
      </c>
      <c r="E785" t="s">
        <v>23</v>
      </c>
      <c r="F785" t="s">
        <v>244</v>
      </c>
      <c r="G785" t="s">
        <v>60</v>
      </c>
      <c r="H785" t="str">
        <f t="shared" si="49"/>
        <v>Araguaína - TO</v>
      </c>
      <c r="I785" s="1" t="s">
        <v>302</v>
      </c>
      <c r="J785" s="3">
        <v>46</v>
      </c>
      <c r="K785" s="4">
        <f t="shared" si="50"/>
        <v>20.174553747642648</v>
      </c>
      <c r="L785" s="1" t="str">
        <f t="shared" si="51"/>
        <v>Peso ideal - parabéns</v>
      </c>
      <c r="M785" t="s">
        <v>14</v>
      </c>
    </row>
    <row r="786" spans="1:13" x14ac:dyDescent="0.25">
      <c r="A786">
        <v>785</v>
      </c>
      <c r="B786" t="s">
        <v>1160</v>
      </c>
      <c r="C786" s="2" t="s">
        <v>1161</v>
      </c>
      <c r="D786" s="2">
        <f t="shared" ca="1" si="48"/>
        <v>70</v>
      </c>
      <c r="E786" t="s">
        <v>23</v>
      </c>
      <c r="F786" t="s">
        <v>45</v>
      </c>
      <c r="G786" t="s">
        <v>46</v>
      </c>
      <c r="H786" t="str">
        <f t="shared" si="49"/>
        <v>Goiânia - GO</v>
      </c>
      <c r="I786" s="1" t="s">
        <v>205</v>
      </c>
      <c r="J786" s="3">
        <v>57</v>
      </c>
      <c r="K786" s="4">
        <f t="shared" si="50"/>
        <v>24.349609124695629</v>
      </c>
      <c r="L786" s="1" t="str">
        <f t="shared" si="51"/>
        <v>Peso ideal - parabéns</v>
      </c>
      <c r="M786" t="s">
        <v>32</v>
      </c>
    </row>
    <row r="787" spans="1:13" x14ac:dyDescent="0.25">
      <c r="A787">
        <v>786</v>
      </c>
      <c r="B787" t="s">
        <v>855</v>
      </c>
      <c r="C787" s="2" t="s">
        <v>856</v>
      </c>
      <c r="D787" s="2">
        <f t="shared" ca="1" si="48"/>
        <v>34</v>
      </c>
      <c r="E787" t="s">
        <v>23</v>
      </c>
      <c r="F787" t="s">
        <v>40</v>
      </c>
      <c r="G787" t="s">
        <v>41</v>
      </c>
      <c r="H787" t="str">
        <f t="shared" si="49"/>
        <v>Campina Grande - PB</v>
      </c>
      <c r="I787" s="1" t="s">
        <v>400</v>
      </c>
      <c r="J787" s="3">
        <v>76</v>
      </c>
      <c r="K787" s="4">
        <f t="shared" si="50"/>
        <v>23.456790123456788</v>
      </c>
      <c r="L787" s="1" t="str">
        <f t="shared" si="51"/>
        <v>Peso ideal - parabéns</v>
      </c>
      <c r="M787" t="s">
        <v>83</v>
      </c>
    </row>
    <row r="788" spans="1:13" x14ac:dyDescent="0.25">
      <c r="A788">
        <v>787</v>
      </c>
      <c r="B788" t="s">
        <v>1264</v>
      </c>
      <c r="C788" s="2" t="s">
        <v>1265</v>
      </c>
      <c r="D788" s="2">
        <f t="shared" ca="1" si="48"/>
        <v>23</v>
      </c>
      <c r="E788" t="s">
        <v>23</v>
      </c>
      <c r="F788" t="s">
        <v>126</v>
      </c>
      <c r="G788" t="s">
        <v>127</v>
      </c>
      <c r="H788" t="str">
        <f t="shared" si="49"/>
        <v>Boa Vista - RR</v>
      </c>
      <c r="I788" s="1" t="s">
        <v>191</v>
      </c>
      <c r="J788" s="3">
        <v>73</v>
      </c>
      <c r="K788" s="4">
        <f t="shared" si="50"/>
        <v>28.515624999999993</v>
      </c>
      <c r="L788" s="1" t="str">
        <f t="shared" si="51"/>
        <v>Levemente acima do peso</v>
      </c>
      <c r="M788" t="s">
        <v>14</v>
      </c>
    </row>
    <row r="789" spans="1:13" x14ac:dyDescent="0.25">
      <c r="A789">
        <v>788</v>
      </c>
      <c r="B789" t="s">
        <v>2684</v>
      </c>
      <c r="C789" s="2" t="s">
        <v>2685</v>
      </c>
      <c r="D789" s="2">
        <f t="shared" ca="1" si="48"/>
        <v>78</v>
      </c>
      <c r="E789" t="s">
        <v>23</v>
      </c>
      <c r="F789" t="s">
        <v>138</v>
      </c>
      <c r="G789" t="s">
        <v>46</v>
      </c>
      <c r="H789" t="str">
        <f t="shared" si="49"/>
        <v>Aparecida de Goiânia - GO</v>
      </c>
      <c r="I789" s="1" t="s">
        <v>155</v>
      </c>
      <c r="J789" s="3">
        <v>61</v>
      </c>
      <c r="K789" s="4">
        <f t="shared" si="50"/>
        <v>18.415650283782149</v>
      </c>
      <c r="L789" s="1" t="str">
        <f t="shared" si="51"/>
        <v>Abaixo do peso</v>
      </c>
      <c r="M789" t="s">
        <v>83</v>
      </c>
    </row>
    <row r="790" spans="1:13" x14ac:dyDescent="0.25">
      <c r="A790">
        <v>789</v>
      </c>
      <c r="B790" t="s">
        <v>2487</v>
      </c>
      <c r="C790" s="2" t="s">
        <v>2488</v>
      </c>
      <c r="D790" s="2">
        <f t="shared" ca="1" si="48"/>
        <v>66</v>
      </c>
      <c r="E790" t="s">
        <v>23</v>
      </c>
      <c r="F790" t="s">
        <v>2273</v>
      </c>
      <c r="G790" t="s">
        <v>186</v>
      </c>
      <c r="H790" t="str">
        <f t="shared" si="49"/>
        <v>Itabira - MG</v>
      </c>
      <c r="I790" s="1" t="s">
        <v>160</v>
      </c>
      <c r="J790" s="3">
        <v>80</v>
      </c>
      <c r="K790" s="4">
        <f t="shared" si="50"/>
        <v>23.629489603024574</v>
      </c>
      <c r="L790" s="1" t="str">
        <f t="shared" si="51"/>
        <v>Peso ideal - parabéns</v>
      </c>
      <c r="M790" t="s">
        <v>95</v>
      </c>
    </row>
    <row r="791" spans="1:13" x14ac:dyDescent="0.25">
      <c r="A791">
        <v>790</v>
      </c>
      <c r="B791" t="s">
        <v>2846</v>
      </c>
      <c r="C791" s="2" t="s">
        <v>1770</v>
      </c>
      <c r="D791" s="2">
        <f t="shared" ca="1" si="48"/>
        <v>73</v>
      </c>
      <c r="E791" t="s">
        <v>23</v>
      </c>
      <c r="F791" t="s">
        <v>2847</v>
      </c>
      <c r="G791" t="s">
        <v>310</v>
      </c>
      <c r="H791" t="str">
        <f t="shared" si="49"/>
        <v>Uruguaiana - RS</v>
      </c>
      <c r="I791" s="1" t="s">
        <v>160</v>
      </c>
      <c r="J791" s="3">
        <v>86</v>
      </c>
      <c r="K791" s="4">
        <f t="shared" si="50"/>
        <v>25.401701323251416</v>
      </c>
      <c r="L791" s="1" t="str">
        <f t="shared" si="51"/>
        <v>Levemente acima do peso</v>
      </c>
      <c r="M791" t="s">
        <v>14</v>
      </c>
    </row>
    <row r="792" spans="1:13" x14ac:dyDescent="0.25">
      <c r="A792">
        <v>791</v>
      </c>
      <c r="B792" t="s">
        <v>3608</v>
      </c>
      <c r="C792" s="2" t="s">
        <v>3609</v>
      </c>
      <c r="D792" s="2">
        <f t="shared" ca="1" si="48"/>
        <v>37</v>
      </c>
      <c r="E792" t="s">
        <v>23</v>
      </c>
      <c r="F792" t="s">
        <v>158</v>
      </c>
      <c r="G792" t="s">
        <v>159</v>
      </c>
      <c r="H792" t="str">
        <f t="shared" si="49"/>
        <v>Brasília - DF</v>
      </c>
      <c r="I792" s="1" t="s">
        <v>155</v>
      </c>
      <c r="J792" s="3">
        <v>51</v>
      </c>
      <c r="K792" s="4">
        <f t="shared" si="50"/>
        <v>15.396691220867044</v>
      </c>
      <c r="L792" s="1" t="str">
        <f t="shared" si="51"/>
        <v>Muito abaixo do peso</v>
      </c>
      <c r="M792" t="s">
        <v>26</v>
      </c>
    </row>
    <row r="793" spans="1:13" x14ac:dyDescent="0.25">
      <c r="A793">
        <v>792</v>
      </c>
      <c r="B793" t="s">
        <v>1056</v>
      </c>
      <c r="C793" s="2" t="s">
        <v>1057</v>
      </c>
      <c r="D793" s="2">
        <f t="shared" ca="1" si="48"/>
        <v>47</v>
      </c>
      <c r="E793" t="s">
        <v>23</v>
      </c>
      <c r="F793" t="s">
        <v>169</v>
      </c>
      <c r="G793" t="s">
        <v>170</v>
      </c>
      <c r="H793" t="str">
        <f t="shared" si="49"/>
        <v>Maceió - AL</v>
      </c>
      <c r="I793" s="1" t="s">
        <v>386</v>
      </c>
      <c r="J793" s="3">
        <v>87</v>
      </c>
      <c r="K793" s="4">
        <f t="shared" si="50"/>
        <v>31.572071418202935</v>
      </c>
      <c r="L793" s="1" t="str">
        <f t="shared" si="51"/>
        <v>Obesidade grau I</v>
      </c>
      <c r="M793" t="s">
        <v>95</v>
      </c>
    </row>
    <row r="794" spans="1:13" x14ac:dyDescent="0.25">
      <c r="A794">
        <v>793</v>
      </c>
      <c r="B794" t="s">
        <v>1351</v>
      </c>
      <c r="C794" s="2" t="s">
        <v>1352</v>
      </c>
      <c r="D794" s="2">
        <f t="shared" ca="1" si="48"/>
        <v>63</v>
      </c>
      <c r="E794" t="s">
        <v>23</v>
      </c>
      <c r="F794" t="s">
        <v>69</v>
      </c>
      <c r="G794" t="s">
        <v>70</v>
      </c>
      <c r="H794" t="str">
        <f t="shared" si="49"/>
        <v>Aracaju - SE</v>
      </c>
      <c r="I794" s="1" t="s">
        <v>171</v>
      </c>
      <c r="J794" s="3">
        <v>84</v>
      </c>
      <c r="K794" s="4">
        <f t="shared" si="50"/>
        <v>30.119401914733409</v>
      </c>
      <c r="L794" s="1" t="str">
        <f t="shared" si="51"/>
        <v>Obesidade grau I</v>
      </c>
      <c r="M794" t="s">
        <v>95</v>
      </c>
    </row>
    <row r="795" spans="1:13" x14ac:dyDescent="0.25">
      <c r="A795">
        <v>794</v>
      </c>
      <c r="B795" t="s">
        <v>3346</v>
      </c>
      <c r="C795" s="2" t="s">
        <v>3347</v>
      </c>
      <c r="D795" s="2">
        <f t="shared" ca="1" si="48"/>
        <v>28</v>
      </c>
      <c r="E795" t="s">
        <v>23</v>
      </c>
      <c r="F795" t="s">
        <v>189</v>
      </c>
      <c r="G795" t="s">
        <v>190</v>
      </c>
      <c r="H795" t="str">
        <f t="shared" si="49"/>
        <v>Cuiabá - MT</v>
      </c>
      <c r="I795" s="1" t="s">
        <v>360</v>
      </c>
      <c r="J795" s="3">
        <v>82</v>
      </c>
      <c r="K795" s="4">
        <f t="shared" si="50"/>
        <v>32.847300112161506</v>
      </c>
      <c r="L795" s="1" t="str">
        <f t="shared" si="51"/>
        <v>Obesidade grau I</v>
      </c>
      <c r="M795" t="s">
        <v>32</v>
      </c>
    </row>
    <row r="796" spans="1:13" x14ac:dyDescent="0.25">
      <c r="A796">
        <v>795</v>
      </c>
      <c r="B796" t="s">
        <v>2291</v>
      </c>
      <c r="C796" s="2" t="s">
        <v>2292</v>
      </c>
      <c r="D796" s="2">
        <f t="shared" ca="1" si="48"/>
        <v>71</v>
      </c>
      <c r="E796" t="s">
        <v>10</v>
      </c>
      <c r="F796" t="s">
        <v>74</v>
      </c>
      <c r="G796" t="s">
        <v>75</v>
      </c>
      <c r="H796" t="str">
        <f t="shared" si="49"/>
        <v>Macapá - AP</v>
      </c>
      <c r="I796" s="1" t="s">
        <v>13</v>
      </c>
      <c r="J796" s="3">
        <v>73</v>
      </c>
      <c r="K796" s="4">
        <f t="shared" si="50"/>
        <v>24.964946479258579</v>
      </c>
      <c r="L796" s="1" t="str">
        <f t="shared" si="51"/>
        <v>Peso ideal - parabéns</v>
      </c>
      <c r="M796" t="s">
        <v>95</v>
      </c>
    </row>
    <row r="797" spans="1:13" x14ac:dyDescent="0.25">
      <c r="A797">
        <v>796</v>
      </c>
      <c r="B797" t="s">
        <v>2799</v>
      </c>
      <c r="C797" s="2" t="s">
        <v>2800</v>
      </c>
      <c r="D797" s="2">
        <f t="shared" ca="1" si="48"/>
        <v>59</v>
      </c>
      <c r="E797" t="s">
        <v>10</v>
      </c>
      <c r="F797" t="s">
        <v>733</v>
      </c>
      <c r="G797" t="s">
        <v>310</v>
      </c>
      <c r="H797" t="str">
        <f t="shared" si="49"/>
        <v>Porto Alegre - RS</v>
      </c>
      <c r="I797" s="1" t="s">
        <v>166</v>
      </c>
      <c r="J797" s="3">
        <v>58</v>
      </c>
      <c r="K797" s="4">
        <f t="shared" si="50"/>
        <v>20.549886621315196</v>
      </c>
      <c r="L797" s="1" t="str">
        <f t="shared" si="51"/>
        <v>Peso ideal - parabéns</v>
      </c>
      <c r="M797" t="s">
        <v>76</v>
      </c>
    </row>
    <row r="798" spans="1:13" x14ac:dyDescent="0.25">
      <c r="A798">
        <v>797</v>
      </c>
      <c r="B798" t="s">
        <v>745</v>
      </c>
      <c r="C798" s="2" t="s">
        <v>746</v>
      </c>
      <c r="D798" s="2">
        <f t="shared" ca="1" si="48"/>
        <v>73</v>
      </c>
      <c r="E798" t="s">
        <v>10</v>
      </c>
      <c r="F798" t="s">
        <v>236</v>
      </c>
      <c r="G798" t="s">
        <v>237</v>
      </c>
      <c r="H798" t="str">
        <f t="shared" si="49"/>
        <v>Teresina - PI</v>
      </c>
      <c r="I798" s="1" t="s">
        <v>416</v>
      </c>
      <c r="J798" s="3">
        <v>80</v>
      </c>
      <c r="K798" s="4">
        <f t="shared" si="50"/>
        <v>30.863006828440259</v>
      </c>
      <c r="L798" s="1" t="str">
        <f t="shared" si="51"/>
        <v>Obesidade grau I</v>
      </c>
      <c r="M798" t="s">
        <v>20</v>
      </c>
    </row>
    <row r="799" spans="1:13" x14ac:dyDescent="0.25">
      <c r="A799">
        <v>798</v>
      </c>
      <c r="B799" t="s">
        <v>569</v>
      </c>
      <c r="C799" s="2" t="s">
        <v>570</v>
      </c>
      <c r="D799" s="2">
        <f t="shared" ca="1" si="48"/>
        <v>23</v>
      </c>
      <c r="E799" t="s">
        <v>10</v>
      </c>
      <c r="F799" t="s">
        <v>272</v>
      </c>
      <c r="G799" t="s">
        <v>273</v>
      </c>
      <c r="H799" t="str">
        <f t="shared" si="49"/>
        <v>Vitória - ES</v>
      </c>
      <c r="I799" s="1" t="s">
        <v>117</v>
      </c>
      <c r="J799" s="3">
        <v>66</v>
      </c>
      <c r="K799" s="4">
        <f t="shared" si="50"/>
        <v>20.830703194041156</v>
      </c>
      <c r="L799" s="1" t="str">
        <f t="shared" si="51"/>
        <v>Peso ideal - parabéns</v>
      </c>
      <c r="M799" t="s">
        <v>26</v>
      </c>
    </row>
    <row r="800" spans="1:13" x14ac:dyDescent="0.25">
      <c r="A800">
        <v>799</v>
      </c>
      <c r="B800" t="s">
        <v>3822</v>
      </c>
      <c r="C800" s="2" t="s">
        <v>3823</v>
      </c>
      <c r="D800" s="2">
        <f t="shared" ca="1" si="48"/>
        <v>62</v>
      </c>
      <c r="E800" t="s">
        <v>10</v>
      </c>
      <c r="F800" t="s">
        <v>74</v>
      </c>
      <c r="G800" t="s">
        <v>75</v>
      </c>
      <c r="H800" t="str">
        <f t="shared" si="49"/>
        <v>Macapá - AP</v>
      </c>
      <c r="I800" s="1" t="s">
        <v>191</v>
      </c>
      <c r="J800" s="3">
        <v>62</v>
      </c>
      <c r="K800" s="4">
        <f t="shared" si="50"/>
        <v>24.218749999999996</v>
      </c>
      <c r="L800" s="1" t="str">
        <f t="shared" si="51"/>
        <v>Peso ideal - parabéns</v>
      </c>
      <c r="M800" t="s">
        <v>14</v>
      </c>
    </row>
    <row r="801" spans="1:13" x14ac:dyDescent="0.25">
      <c r="A801">
        <v>800</v>
      </c>
      <c r="B801" t="s">
        <v>853</v>
      </c>
      <c r="C801" s="2" t="s">
        <v>854</v>
      </c>
      <c r="D801" s="2">
        <f t="shared" ca="1" si="48"/>
        <v>45</v>
      </c>
      <c r="E801" t="s">
        <v>10</v>
      </c>
      <c r="F801" t="s">
        <v>24</v>
      </c>
      <c r="G801" t="s">
        <v>25</v>
      </c>
      <c r="H801" t="str">
        <f t="shared" si="49"/>
        <v>Natal - RN</v>
      </c>
      <c r="I801" s="1" t="s">
        <v>42</v>
      </c>
      <c r="J801" s="3">
        <v>109</v>
      </c>
      <c r="K801" s="4">
        <f t="shared" si="50"/>
        <v>34.018913267376178</v>
      </c>
      <c r="L801" s="1" t="str">
        <f t="shared" si="51"/>
        <v>Obesidade grau I</v>
      </c>
      <c r="M801" t="s">
        <v>26</v>
      </c>
    </row>
    <row r="802" spans="1:13" x14ac:dyDescent="0.25">
      <c r="A802">
        <v>801</v>
      </c>
      <c r="B802" t="s">
        <v>2842</v>
      </c>
      <c r="C802" s="2" t="s">
        <v>2843</v>
      </c>
      <c r="D802" s="2">
        <f t="shared" ca="1" si="48"/>
        <v>57</v>
      </c>
      <c r="E802" t="s">
        <v>10</v>
      </c>
      <c r="F802" t="s">
        <v>616</v>
      </c>
      <c r="G802" t="s">
        <v>273</v>
      </c>
      <c r="H802" t="str">
        <f t="shared" si="49"/>
        <v>Serra - ES</v>
      </c>
      <c r="I802" s="1" t="s">
        <v>386</v>
      </c>
      <c r="J802" s="3">
        <v>97</v>
      </c>
      <c r="K802" s="4">
        <f t="shared" si="50"/>
        <v>35.201045144433159</v>
      </c>
      <c r="L802" s="1" t="str">
        <f t="shared" si="51"/>
        <v>Obesidade grau II - severa</v>
      </c>
      <c r="M802" t="s">
        <v>83</v>
      </c>
    </row>
    <row r="803" spans="1:13" x14ac:dyDescent="0.25">
      <c r="A803">
        <v>802</v>
      </c>
      <c r="B803" t="s">
        <v>2000</v>
      </c>
      <c r="C803" s="2" t="s">
        <v>2001</v>
      </c>
      <c r="D803" s="2">
        <f t="shared" ca="1" si="48"/>
        <v>47</v>
      </c>
      <c r="E803" t="s">
        <v>10</v>
      </c>
      <c r="F803" t="s">
        <v>454</v>
      </c>
      <c r="G803" t="s">
        <v>60</v>
      </c>
      <c r="H803" t="str">
        <f t="shared" si="49"/>
        <v>Gurupi - TO</v>
      </c>
      <c r="I803" s="1" t="s">
        <v>179</v>
      </c>
      <c r="J803" s="3">
        <v>87</v>
      </c>
      <c r="K803" s="4">
        <f t="shared" si="50"/>
        <v>28.735632183908045</v>
      </c>
      <c r="L803" s="1" t="str">
        <f t="shared" si="51"/>
        <v>Levemente acima do peso</v>
      </c>
      <c r="M803" t="s">
        <v>14</v>
      </c>
    </row>
    <row r="804" spans="1:13" x14ac:dyDescent="0.25">
      <c r="A804">
        <v>803</v>
      </c>
      <c r="B804" t="s">
        <v>1168</v>
      </c>
      <c r="C804" s="2" t="s">
        <v>1169</v>
      </c>
      <c r="D804" s="2">
        <f t="shared" ca="1" si="48"/>
        <v>41</v>
      </c>
      <c r="E804" t="s">
        <v>10</v>
      </c>
      <c r="F804" t="s">
        <v>45</v>
      </c>
      <c r="G804" t="s">
        <v>46</v>
      </c>
      <c r="H804" t="str">
        <f t="shared" si="49"/>
        <v>Goiânia - GO</v>
      </c>
      <c r="I804" s="1" t="s">
        <v>639</v>
      </c>
      <c r="J804" s="3">
        <v>62</v>
      </c>
      <c r="K804" s="4">
        <f t="shared" si="50"/>
        <v>15.5</v>
      </c>
      <c r="L804" s="1" t="str">
        <f t="shared" si="51"/>
        <v>Muito abaixo do peso</v>
      </c>
      <c r="M804" t="s">
        <v>83</v>
      </c>
    </row>
    <row r="805" spans="1:13" x14ac:dyDescent="0.25">
      <c r="A805">
        <v>804</v>
      </c>
      <c r="B805" t="s">
        <v>2840</v>
      </c>
      <c r="C805" s="2" t="s">
        <v>2841</v>
      </c>
      <c r="D805" s="2">
        <f t="shared" ca="1" si="48"/>
        <v>38</v>
      </c>
      <c r="E805" t="s">
        <v>10</v>
      </c>
      <c r="F805" t="s">
        <v>69</v>
      </c>
      <c r="G805" t="s">
        <v>70</v>
      </c>
      <c r="H805" t="str">
        <f t="shared" si="49"/>
        <v>Aracaju - SE</v>
      </c>
      <c r="I805" s="1" t="s">
        <v>117</v>
      </c>
      <c r="J805" s="3">
        <v>103</v>
      </c>
      <c r="K805" s="4">
        <f t="shared" si="50"/>
        <v>32.508521651306651</v>
      </c>
      <c r="L805" s="1" t="str">
        <f t="shared" si="51"/>
        <v>Obesidade grau I</v>
      </c>
      <c r="M805" t="s">
        <v>83</v>
      </c>
    </row>
    <row r="806" spans="1:13" x14ac:dyDescent="0.25">
      <c r="A806">
        <v>805</v>
      </c>
      <c r="B806" t="s">
        <v>2941</v>
      </c>
      <c r="C806" s="2" t="s">
        <v>2942</v>
      </c>
      <c r="D806" s="2">
        <f t="shared" ca="1" si="48"/>
        <v>31</v>
      </c>
      <c r="E806" t="s">
        <v>10</v>
      </c>
      <c r="F806" t="s">
        <v>153</v>
      </c>
      <c r="G806" t="s">
        <v>154</v>
      </c>
      <c r="H806" t="str">
        <f t="shared" si="49"/>
        <v>Manaus - AM</v>
      </c>
      <c r="I806" s="1" t="s">
        <v>61</v>
      </c>
      <c r="J806" s="3">
        <v>89</v>
      </c>
      <c r="K806" s="4">
        <f t="shared" si="50"/>
        <v>24.915315920606925</v>
      </c>
      <c r="L806" s="1" t="str">
        <f t="shared" si="51"/>
        <v>Peso ideal - parabéns</v>
      </c>
      <c r="M806" t="s">
        <v>76</v>
      </c>
    </row>
    <row r="807" spans="1:13" x14ac:dyDescent="0.25">
      <c r="A807">
        <v>806</v>
      </c>
      <c r="B807" t="s">
        <v>1600</v>
      </c>
      <c r="C807" s="2" t="s">
        <v>1601</v>
      </c>
      <c r="D807" s="2">
        <f t="shared" ca="1" si="48"/>
        <v>40</v>
      </c>
      <c r="E807" t="s">
        <v>10</v>
      </c>
      <c r="F807" t="s">
        <v>564</v>
      </c>
      <c r="G807" t="s">
        <v>565</v>
      </c>
      <c r="H807" t="str">
        <f t="shared" si="49"/>
        <v>Rio Branco - AC</v>
      </c>
      <c r="I807" s="1" t="s">
        <v>132</v>
      </c>
      <c r="J807" s="3">
        <v>81</v>
      </c>
      <c r="K807" s="4">
        <f t="shared" si="50"/>
        <v>23.163373273470786</v>
      </c>
      <c r="L807" s="1" t="str">
        <f t="shared" si="51"/>
        <v>Peso ideal - parabéns</v>
      </c>
      <c r="M807" t="s">
        <v>83</v>
      </c>
    </row>
    <row r="808" spans="1:13" x14ac:dyDescent="0.25">
      <c r="A808">
        <v>807</v>
      </c>
      <c r="B808" t="s">
        <v>2505</v>
      </c>
      <c r="C808" s="2" t="s">
        <v>2506</v>
      </c>
      <c r="D808" s="2">
        <f t="shared" ca="1" si="48"/>
        <v>50</v>
      </c>
      <c r="E808" t="s">
        <v>10</v>
      </c>
      <c r="F808" t="s">
        <v>564</v>
      </c>
      <c r="G808" t="s">
        <v>565</v>
      </c>
      <c r="H808" t="str">
        <f t="shared" si="49"/>
        <v>Rio Branco - AC</v>
      </c>
      <c r="I808" s="1" t="s">
        <v>201</v>
      </c>
      <c r="J808" s="3">
        <v>87</v>
      </c>
      <c r="K808" s="4">
        <f t="shared" si="50"/>
        <v>22.646813827571847</v>
      </c>
      <c r="L808" s="1" t="str">
        <f t="shared" si="51"/>
        <v>Peso ideal - parabéns</v>
      </c>
      <c r="M808" t="s">
        <v>32</v>
      </c>
    </row>
    <row r="809" spans="1:13" x14ac:dyDescent="0.25">
      <c r="A809">
        <v>808</v>
      </c>
      <c r="B809" t="s">
        <v>3713</v>
      </c>
      <c r="C809" s="2" t="s">
        <v>3714</v>
      </c>
      <c r="D809" s="2">
        <f t="shared" ca="1" si="48"/>
        <v>23</v>
      </c>
      <c r="E809" t="s">
        <v>10</v>
      </c>
      <c r="F809" t="s">
        <v>267</v>
      </c>
      <c r="G809" t="s">
        <v>103</v>
      </c>
      <c r="H809" t="str">
        <f t="shared" si="49"/>
        <v>São Paulo - SP</v>
      </c>
      <c r="I809" s="1" t="s">
        <v>132</v>
      </c>
      <c r="J809" s="3">
        <v>71</v>
      </c>
      <c r="K809" s="4">
        <f t="shared" si="50"/>
        <v>20.303697560696612</v>
      </c>
      <c r="L809" s="1" t="str">
        <f t="shared" si="51"/>
        <v>Peso ideal - parabéns</v>
      </c>
      <c r="M809" t="s">
        <v>32</v>
      </c>
    </row>
    <row r="810" spans="1:13" x14ac:dyDescent="0.25">
      <c r="A810">
        <v>809</v>
      </c>
      <c r="B810" t="s">
        <v>3332</v>
      </c>
      <c r="C810" s="2" t="s">
        <v>3333</v>
      </c>
      <c r="D810" s="2">
        <f t="shared" ca="1" si="48"/>
        <v>23</v>
      </c>
      <c r="E810" t="s">
        <v>10</v>
      </c>
      <c r="F810" t="s">
        <v>204</v>
      </c>
      <c r="G810" t="s">
        <v>112</v>
      </c>
      <c r="H810" t="str">
        <f t="shared" si="49"/>
        <v>Belém - PA</v>
      </c>
      <c r="I810" s="1" t="s">
        <v>99</v>
      </c>
      <c r="J810" s="3">
        <v>92</v>
      </c>
      <c r="K810" s="4">
        <f t="shared" si="50"/>
        <v>24.444680624933575</v>
      </c>
      <c r="L810" s="1" t="str">
        <f t="shared" si="51"/>
        <v>Peso ideal - parabéns</v>
      </c>
      <c r="M810" t="s">
        <v>26</v>
      </c>
    </row>
    <row r="811" spans="1:13" x14ac:dyDescent="0.25">
      <c r="A811">
        <v>810</v>
      </c>
      <c r="B811" t="s">
        <v>3983</v>
      </c>
      <c r="C811" s="2" t="s">
        <v>3349</v>
      </c>
      <c r="D811" s="2">
        <f t="shared" ca="1" si="48"/>
        <v>23</v>
      </c>
      <c r="E811" t="s">
        <v>10</v>
      </c>
      <c r="F811" t="s">
        <v>153</v>
      </c>
      <c r="G811" t="s">
        <v>154</v>
      </c>
      <c r="H811" t="str">
        <f t="shared" si="49"/>
        <v>Manaus - AM</v>
      </c>
      <c r="I811" s="1" t="s">
        <v>148</v>
      </c>
      <c r="J811" s="3">
        <v>99</v>
      </c>
      <c r="K811" s="4">
        <f t="shared" si="50"/>
        <v>26.035502958579883</v>
      </c>
      <c r="L811" s="1" t="str">
        <f t="shared" si="51"/>
        <v>Levemente acima do peso</v>
      </c>
      <c r="M811" t="s">
        <v>20</v>
      </c>
    </row>
    <row r="812" spans="1:13" x14ac:dyDescent="0.25">
      <c r="A812">
        <v>811</v>
      </c>
      <c r="B812" t="s">
        <v>3180</v>
      </c>
      <c r="C812" s="2" t="s">
        <v>3181</v>
      </c>
      <c r="D812" s="2">
        <f t="shared" ca="1" si="48"/>
        <v>58</v>
      </c>
      <c r="E812" t="s">
        <v>10</v>
      </c>
      <c r="F812" t="s">
        <v>59</v>
      </c>
      <c r="G812" t="s">
        <v>60</v>
      </c>
      <c r="H812" t="str">
        <f t="shared" si="49"/>
        <v>Palmas - TO</v>
      </c>
      <c r="I812" s="1" t="s">
        <v>148</v>
      </c>
      <c r="J812" s="3">
        <v>62</v>
      </c>
      <c r="K812" s="4">
        <f t="shared" si="50"/>
        <v>16.305062458908615</v>
      </c>
      <c r="L812" s="1" t="str">
        <f t="shared" si="51"/>
        <v>Muito abaixo do peso</v>
      </c>
      <c r="M812" t="s">
        <v>47</v>
      </c>
    </row>
    <row r="813" spans="1:13" x14ac:dyDescent="0.25">
      <c r="A813">
        <v>812</v>
      </c>
      <c r="B813" t="s">
        <v>2623</v>
      </c>
      <c r="C813" s="2" t="s">
        <v>2624</v>
      </c>
      <c r="D813" s="2">
        <f t="shared" ca="1" si="48"/>
        <v>45</v>
      </c>
      <c r="E813" t="s">
        <v>10</v>
      </c>
      <c r="F813" t="s">
        <v>831</v>
      </c>
      <c r="G813" t="s">
        <v>154</v>
      </c>
      <c r="H813" t="str">
        <f t="shared" si="49"/>
        <v>Itacoatiara - AM</v>
      </c>
      <c r="I813" s="1" t="s">
        <v>160</v>
      </c>
      <c r="J813" s="3">
        <v>54</v>
      </c>
      <c r="K813" s="4">
        <f t="shared" si="50"/>
        <v>15.949905482041586</v>
      </c>
      <c r="L813" s="1" t="str">
        <f t="shared" si="51"/>
        <v>Muito abaixo do peso</v>
      </c>
      <c r="M813" t="s">
        <v>14</v>
      </c>
    </row>
    <row r="814" spans="1:13" x14ac:dyDescent="0.25">
      <c r="A814">
        <v>813</v>
      </c>
      <c r="B814" t="s">
        <v>3535</v>
      </c>
      <c r="C814" s="2" t="s">
        <v>3536</v>
      </c>
      <c r="D814" s="2">
        <f t="shared" ca="1" si="48"/>
        <v>28</v>
      </c>
      <c r="E814" t="s">
        <v>10</v>
      </c>
      <c r="F814" t="s">
        <v>64</v>
      </c>
      <c r="G814" t="s">
        <v>65</v>
      </c>
      <c r="H814" t="str">
        <f t="shared" si="49"/>
        <v>Salvador - BA</v>
      </c>
      <c r="I814" s="1" t="s">
        <v>37</v>
      </c>
      <c r="J814" s="3">
        <v>97</v>
      </c>
      <c r="K814" s="4">
        <f t="shared" si="50"/>
        <v>24.994202375737586</v>
      </c>
      <c r="L814" s="1" t="str">
        <f t="shared" si="51"/>
        <v>Peso ideal - parabéns</v>
      </c>
      <c r="M814" t="s">
        <v>76</v>
      </c>
    </row>
    <row r="815" spans="1:13" x14ac:dyDescent="0.25">
      <c r="A815">
        <v>814</v>
      </c>
      <c r="B815" t="s">
        <v>4052</v>
      </c>
      <c r="C815" s="2" t="s">
        <v>3456</v>
      </c>
      <c r="D815" s="2">
        <f t="shared" ca="1" si="48"/>
        <v>50</v>
      </c>
      <c r="E815" t="s">
        <v>10</v>
      </c>
      <c r="F815" t="s">
        <v>2922</v>
      </c>
      <c r="G815" t="s">
        <v>186</v>
      </c>
      <c r="H815" t="str">
        <f t="shared" si="49"/>
        <v>Betim - MG</v>
      </c>
      <c r="I815" s="1" t="s">
        <v>255</v>
      </c>
      <c r="J815" s="3">
        <v>67</v>
      </c>
      <c r="K815" s="4">
        <f t="shared" si="50"/>
        <v>16.918764677659656</v>
      </c>
      <c r="L815" s="1" t="str">
        <f t="shared" si="51"/>
        <v>Muito abaixo do peso</v>
      </c>
      <c r="M815" t="s">
        <v>95</v>
      </c>
    </row>
    <row r="816" spans="1:13" x14ac:dyDescent="0.25">
      <c r="A816">
        <v>815</v>
      </c>
      <c r="B816" t="s">
        <v>2181</v>
      </c>
      <c r="C816" s="2" t="s">
        <v>2182</v>
      </c>
      <c r="D816" s="2">
        <f t="shared" ca="1" si="48"/>
        <v>27</v>
      </c>
      <c r="E816" t="s">
        <v>10</v>
      </c>
      <c r="F816" t="s">
        <v>446</v>
      </c>
      <c r="G816" t="s">
        <v>170</v>
      </c>
      <c r="H816" t="str">
        <f t="shared" si="49"/>
        <v>Arapiraca - AL</v>
      </c>
      <c r="I816" s="1" t="s">
        <v>108</v>
      </c>
      <c r="J816" s="3">
        <v>57</v>
      </c>
      <c r="K816" s="4">
        <f t="shared" si="50"/>
        <v>15.624571694854856</v>
      </c>
      <c r="L816" s="1" t="str">
        <f t="shared" si="51"/>
        <v>Muito abaixo do peso</v>
      </c>
      <c r="M816" t="s">
        <v>32</v>
      </c>
    </row>
    <row r="817" spans="1:13" x14ac:dyDescent="0.25">
      <c r="A817">
        <v>816</v>
      </c>
      <c r="B817" t="s">
        <v>594</v>
      </c>
      <c r="C817" s="2" t="s">
        <v>595</v>
      </c>
      <c r="D817" s="2">
        <f t="shared" ca="1" si="48"/>
        <v>82</v>
      </c>
      <c r="E817" t="s">
        <v>10</v>
      </c>
      <c r="F817" t="s">
        <v>280</v>
      </c>
      <c r="G817" t="s">
        <v>175</v>
      </c>
      <c r="H817" t="str">
        <f t="shared" si="49"/>
        <v>Recife - PE</v>
      </c>
      <c r="I817" s="1" t="s">
        <v>123</v>
      </c>
      <c r="J817" s="3">
        <v>70</v>
      </c>
      <c r="K817" s="4">
        <f t="shared" si="50"/>
        <v>22.598140495867771</v>
      </c>
      <c r="L817" s="1" t="str">
        <f t="shared" si="51"/>
        <v>Peso ideal - parabéns</v>
      </c>
      <c r="M817" t="s">
        <v>47</v>
      </c>
    </row>
    <row r="818" spans="1:13" x14ac:dyDescent="0.25">
      <c r="A818">
        <v>817</v>
      </c>
      <c r="B818" t="s">
        <v>2489</v>
      </c>
      <c r="C818" s="2" t="s">
        <v>2490</v>
      </c>
      <c r="D818" s="2">
        <f t="shared" ca="1" si="48"/>
        <v>64</v>
      </c>
      <c r="E818" t="s">
        <v>10</v>
      </c>
      <c r="F818" t="s">
        <v>380</v>
      </c>
      <c r="G818" t="s">
        <v>112</v>
      </c>
      <c r="H818" t="str">
        <f t="shared" si="49"/>
        <v>Ananindeua - PA</v>
      </c>
      <c r="I818" s="1" t="s">
        <v>191</v>
      </c>
      <c r="J818" s="3">
        <v>92</v>
      </c>
      <c r="K818" s="4">
        <f t="shared" si="50"/>
        <v>35.937499999999993</v>
      </c>
      <c r="L818" s="1" t="str">
        <f t="shared" si="51"/>
        <v>Obesidade grau II - severa</v>
      </c>
      <c r="M818" t="s">
        <v>26</v>
      </c>
    </row>
    <row r="819" spans="1:13" x14ac:dyDescent="0.25">
      <c r="A819">
        <v>818</v>
      </c>
      <c r="B819" t="s">
        <v>2834</v>
      </c>
      <c r="C819" s="2" t="s">
        <v>2835</v>
      </c>
      <c r="D819" s="2">
        <f t="shared" ca="1" si="48"/>
        <v>72</v>
      </c>
      <c r="E819" t="s">
        <v>10</v>
      </c>
      <c r="F819" t="s">
        <v>64</v>
      </c>
      <c r="G819" t="s">
        <v>65</v>
      </c>
      <c r="H819" t="str">
        <f t="shared" si="49"/>
        <v>Salvador - BA</v>
      </c>
      <c r="I819" s="1" t="s">
        <v>179</v>
      </c>
      <c r="J819" s="3">
        <v>97</v>
      </c>
      <c r="K819" s="4">
        <f t="shared" si="50"/>
        <v>32.038578411943455</v>
      </c>
      <c r="L819" s="1" t="str">
        <f t="shared" si="51"/>
        <v>Obesidade grau I</v>
      </c>
      <c r="M819" t="s">
        <v>47</v>
      </c>
    </row>
    <row r="820" spans="1:13" x14ac:dyDescent="0.25">
      <c r="A820">
        <v>819</v>
      </c>
      <c r="B820" t="s">
        <v>1596</v>
      </c>
      <c r="C820" s="2" t="s">
        <v>1597</v>
      </c>
      <c r="D820" s="2">
        <f t="shared" ca="1" si="48"/>
        <v>49</v>
      </c>
      <c r="E820" t="s">
        <v>10</v>
      </c>
      <c r="F820" t="s">
        <v>107</v>
      </c>
      <c r="G820" t="s">
        <v>36</v>
      </c>
      <c r="H820" t="str">
        <f t="shared" si="49"/>
        <v>São Luís - MA</v>
      </c>
      <c r="I820" s="1" t="s">
        <v>191</v>
      </c>
      <c r="J820" s="3">
        <v>58</v>
      </c>
      <c r="K820" s="4">
        <f t="shared" si="50"/>
        <v>22.656249999999996</v>
      </c>
      <c r="L820" s="1" t="str">
        <f t="shared" si="51"/>
        <v>Peso ideal - parabéns</v>
      </c>
      <c r="M820" t="s">
        <v>32</v>
      </c>
    </row>
    <row r="821" spans="1:13" x14ac:dyDescent="0.25">
      <c r="A821">
        <v>820</v>
      </c>
      <c r="B821" t="s">
        <v>939</v>
      </c>
      <c r="C821" s="2" t="s">
        <v>940</v>
      </c>
      <c r="D821" s="2">
        <f t="shared" ca="1" si="48"/>
        <v>34</v>
      </c>
      <c r="E821" t="s">
        <v>10</v>
      </c>
      <c r="F821" t="s">
        <v>941</v>
      </c>
      <c r="G821" t="s">
        <v>131</v>
      </c>
      <c r="H821" t="str">
        <f t="shared" si="49"/>
        <v>Itajaí - SC</v>
      </c>
      <c r="I821" s="1" t="s">
        <v>31</v>
      </c>
      <c r="J821" s="3">
        <v>83</v>
      </c>
      <c r="K821" s="4">
        <f t="shared" si="50"/>
        <v>30.859607376561577</v>
      </c>
      <c r="L821" s="1" t="str">
        <f t="shared" si="51"/>
        <v>Obesidade grau I</v>
      </c>
      <c r="M821" t="s">
        <v>20</v>
      </c>
    </row>
    <row r="822" spans="1:13" x14ac:dyDescent="0.25">
      <c r="A822">
        <v>821</v>
      </c>
      <c r="B822" t="s">
        <v>576</v>
      </c>
      <c r="C822" s="2" t="s">
        <v>464</v>
      </c>
      <c r="D822" s="2">
        <f t="shared" ca="1" si="48"/>
        <v>76</v>
      </c>
      <c r="E822" t="s">
        <v>10</v>
      </c>
      <c r="F822" t="s">
        <v>197</v>
      </c>
      <c r="G822" t="s">
        <v>46</v>
      </c>
      <c r="H822" t="str">
        <f t="shared" si="49"/>
        <v>Anápolis - GO</v>
      </c>
      <c r="I822" s="1" t="s">
        <v>191</v>
      </c>
      <c r="J822" s="3">
        <v>68</v>
      </c>
      <c r="K822" s="4">
        <f t="shared" si="50"/>
        <v>26.562499999999996</v>
      </c>
      <c r="L822" s="1" t="str">
        <f t="shared" si="51"/>
        <v>Levemente acima do peso</v>
      </c>
      <c r="M822" t="s">
        <v>47</v>
      </c>
    </row>
    <row r="823" spans="1:13" x14ac:dyDescent="0.25">
      <c r="A823">
        <v>822</v>
      </c>
      <c r="B823" t="s">
        <v>600</v>
      </c>
      <c r="C823" s="2" t="s">
        <v>601</v>
      </c>
      <c r="D823" s="2">
        <f t="shared" ca="1" si="48"/>
        <v>53</v>
      </c>
      <c r="E823" t="s">
        <v>10</v>
      </c>
      <c r="F823" t="s">
        <v>17</v>
      </c>
      <c r="G823" t="s">
        <v>18</v>
      </c>
      <c r="H823" t="str">
        <f t="shared" si="49"/>
        <v>Campo Grande - MS</v>
      </c>
      <c r="I823" s="1" t="s">
        <v>37</v>
      </c>
      <c r="J823" s="3">
        <v>88</v>
      </c>
      <c r="K823" s="4">
        <f t="shared" si="50"/>
        <v>22.675152670772242</v>
      </c>
      <c r="L823" s="1" t="str">
        <f t="shared" si="51"/>
        <v>Peso ideal - parabéns</v>
      </c>
      <c r="M823" t="s">
        <v>32</v>
      </c>
    </row>
    <row r="824" spans="1:13" x14ac:dyDescent="0.25">
      <c r="A824">
        <v>823</v>
      </c>
      <c r="B824" t="s">
        <v>1733</v>
      </c>
      <c r="C824" s="2" t="s">
        <v>1734</v>
      </c>
      <c r="D824" s="2">
        <f t="shared" ca="1" si="48"/>
        <v>72</v>
      </c>
      <c r="E824" t="s">
        <v>10</v>
      </c>
      <c r="F824" t="s">
        <v>429</v>
      </c>
      <c r="G824" t="s">
        <v>65</v>
      </c>
      <c r="H824" t="str">
        <f t="shared" si="49"/>
        <v>Barreiras - BA</v>
      </c>
      <c r="I824" s="1" t="s">
        <v>108</v>
      </c>
      <c r="J824" s="3">
        <v>104</v>
      </c>
      <c r="K824" s="4">
        <f t="shared" si="50"/>
        <v>28.507990460787809</v>
      </c>
      <c r="L824" s="1" t="str">
        <f t="shared" si="51"/>
        <v>Levemente acima do peso</v>
      </c>
      <c r="M824" t="s">
        <v>26</v>
      </c>
    </row>
    <row r="825" spans="1:13" x14ac:dyDescent="0.25">
      <c r="A825">
        <v>824</v>
      </c>
      <c r="B825" t="s">
        <v>3670</v>
      </c>
      <c r="C825" s="2" t="s">
        <v>3671</v>
      </c>
      <c r="D825" s="2">
        <f t="shared" ca="1" si="48"/>
        <v>63</v>
      </c>
      <c r="E825" t="s">
        <v>10</v>
      </c>
      <c r="F825" t="s">
        <v>153</v>
      </c>
      <c r="G825" t="s">
        <v>154</v>
      </c>
      <c r="H825" t="str">
        <f t="shared" si="49"/>
        <v>Manaus - AM</v>
      </c>
      <c r="I825" s="1" t="s">
        <v>66</v>
      </c>
      <c r="J825" s="3">
        <v>92</v>
      </c>
      <c r="K825" s="4">
        <f t="shared" si="50"/>
        <v>26.029877772747852</v>
      </c>
      <c r="L825" s="1" t="str">
        <f t="shared" si="51"/>
        <v>Levemente acima do peso</v>
      </c>
      <c r="M825" t="s">
        <v>26</v>
      </c>
    </row>
    <row r="826" spans="1:13" x14ac:dyDescent="0.25">
      <c r="A826">
        <v>825</v>
      </c>
      <c r="B826" t="s">
        <v>4100</v>
      </c>
      <c r="C826" s="2" t="s">
        <v>4101</v>
      </c>
      <c r="D826" s="2">
        <f t="shared" ca="1" si="48"/>
        <v>21</v>
      </c>
      <c r="E826" t="s">
        <v>10</v>
      </c>
      <c r="F826" t="s">
        <v>244</v>
      </c>
      <c r="G826" t="s">
        <v>60</v>
      </c>
      <c r="H826" t="str">
        <f t="shared" si="49"/>
        <v>Araguaína - TO</v>
      </c>
      <c r="I826" s="1" t="s">
        <v>42</v>
      </c>
      <c r="J826" s="3">
        <v>50</v>
      </c>
      <c r="K826" s="4">
        <f t="shared" si="50"/>
        <v>15.605006085952374</v>
      </c>
      <c r="L826" s="1" t="str">
        <f t="shared" si="51"/>
        <v>Muito abaixo do peso</v>
      </c>
      <c r="M826" t="s">
        <v>76</v>
      </c>
    </row>
    <row r="827" spans="1:13" x14ac:dyDescent="0.25">
      <c r="A827">
        <v>826</v>
      </c>
      <c r="B827" t="s">
        <v>96</v>
      </c>
      <c r="C827" s="2" t="s">
        <v>97</v>
      </c>
      <c r="D827" s="2">
        <f t="shared" ca="1" si="48"/>
        <v>63</v>
      </c>
      <c r="E827" t="s">
        <v>10</v>
      </c>
      <c r="F827" t="s">
        <v>98</v>
      </c>
      <c r="G827" t="s">
        <v>65</v>
      </c>
      <c r="H827" t="str">
        <f t="shared" si="49"/>
        <v>Vitória da Conquista - BA</v>
      </c>
      <c r="I827" s="1" t="s">
        <v>99</v>
      </c>
      <c r="J827" s="3">
        <v>66</v>
      </c>
      <c r="K827" s="4">
        <f t="shared" si="50"/>
        <v>17.53640131788713</v>
      </c>
      <c r="L827" s="1" t="str">
        <f t="shared" si="51"/>
        <v>Abaixo do peso</v>
      </c>
      <c r="M827" t="s">
        <v>20</v>
      </c>
    </row>
    <row r="828" spans="1:13" x14ac:dyDescent="0.25">
      <c r="A828">
        <v>827</v>
      </c>
      <c r="B828" t="s">
        <v>3189</v>
      </c>
      <c r="C828" s="2" t="s">
        <v>3190</v>
      </c>
      <c r="D828" s="2">
        <f t="shared" ca="1" si="48"/>
        <v>43</v>
      </c>
      <c r="E828" t="s">
        <v>10</v>
      </c>
      <c r="F828" t="s">
        <v>775</v>
      </c>
      <c r="G828" t="s">
        <v>51</v>
      </c>
      <c r="H828" t="str">
        <f t="shared" si="49"/>
        <v>Rio de Janeiro - RJ</v>
      </c>
      <c r="I828" s="1" t="s">
        <v>42</v>
      </c>
      <c r="J828" s="3">
        <v>73</v>
      </c>
      <c r="K828" s="4">
        <f t="shared" si="50"/>
        <v>22.783308885490467</v>
      </c>
      <c r="L828" s="1" t="str">
        <f t="shared" si="51"/>
        <v>Peso ideal - parabéns</v>
      </c>
      <c r="M828" t="s">
        <v>47</v>
      </c>
    </row>
    <row r="829" spans="1:13" x14ac:dyDescent="0.25">
      <c r="A829">
        <v>828</v>
      </c>
      <c r="B829" t="s">
        <v>2954</v>
      </c>
      <c r="C829" s="2" t="s">
        <v>2955</v>
      </c>
      <c r="D829" s="2">
        <f t="shared" ca="1" si="48"/>
        <v>30</v>
      </c>
      <c r="E829" t="s">
        <v>10</v>
      </c>
      <c r="F829" t="s">
        <v>280</v>
      </c>
      <c r="G829" t="s">
        <v>175</v>
      </c>
      <c r="H829" t="str">
        <f t="shared" si="49"/>
        <v>Recife - PE</v>
      </c>
      <c r="I829" s="1" t="s">
        <v>113</v>
      </c>
      <c r="J829" s="3">
        <v>72</v>
      </c>
      <c r="K829" s="4">
        <f t="shared" si="50"/>
        <v>27.099251006812452</v>
      </c>
      <c r="L829" s="1" t="str">
        <f t="shared" si="51"/>
        <v>Levemente acima do peso</v>
      </c>
      <c r="M829" t="s">
        <v>83</v>
      </c>
    </row>
    <row r="830" spans="1:13" x14ac:dyDescent="0.25">
      <c r="A830">
        <v>829</v>
      </c>
      <c r="B830" t="s">
        <v>3903</v>
      </c>
      <c r="C830" s="2" t="s">
        <v>3904</v>
      </c>
      <c r="D830" s="2">
        <f t="shared" ca="1" si="48"/>
        <v>59</v>
      </c>
      <c r="E830" t="s">
        <v>10</v>
      </c>
      <c r="F830" t="s">
        <v>153</v>
      </c>
      <c r="G830" t="s">
        <v>154</v>
      </c>
      <c r="H830" t="str">
        <f t="shared" si="49"/>
        <v>Manaus - AM</v>
      </c>
      <c r="I830" s="1" t="s">
        <v>447</v>
      </c>
      <c r="J830" s="3">
        <v>99</v>
      </c>
      <c r="K830" s="4">
        <f t="shared" si="50"/>
        <v>32.326530612244895</v>
      </c>
      <c r="L830" s="1" t="str">
        <f t="shared" si="51"/>
        <v>Obesidade grau I</v>
      </c>
      <c r="M830" t="s">
        <v>95</v>
      </c>
    </row>
    <row r="831" spans="1:13" x14ac:dyDescent="0.25">
      <c r="A831">
        <v>830</v>
      </c>
      <c r="B831" t="s">
        <v>1216</v>
      </c>
      <c r="C831" s="2" t="s">
        <v>1217</v>
      </c>
      <c r="D831" s="2">
        <f t="shared" ca="1" si="48"/>
        <v>42</v>
      </c>
      <c r="E831" t="s">
        <v>10</v>
      </c>
      <c r="F831" t="s">
        <v>1218</v>
      </c>
      <c r="G831" t="s">
        <v>46</v>
      </c>
      <c r="H831" t="str">
        <f t="shared" si="49"/>
        <v>Planaltina - GO</v>
      </c>
      <c r="I831" s="1" t="s">
        <v>281</v>
      </c>
      <c r="J831" s="3">
        <v>86</v>
      </c>
      <c r="K831" s="4">
        <f t="shared" si="50"/>
        <v>32.769394909312595</v>
      </c>
      <c r="L831" s="1" t="str">
        <f t="shared" si="51"/>
        <v>Obesidade grau I</v>
      </c>
      <c r="M831" t="s">
        <v>76</v>
      </c>
    </row>
    <row r="832" spans="1:13" x14ac:dyDescent="0.25">
      <c r="A832">
        <v>831</v>
      </c>
      <c r="B832" t="s">
        <v>3905</v>
      </c>
      <c r="C832" s="2" t="s">
        <v>1301</v>
      </c>
      <c r="D832" s="2">
        <f t="shared" ca="1" si="48"/>
        <v>23</v>
      </c>
      <c r="E832" t="s">
        <v>10</v>
      </c>
      <c r="F832" t="s">
        <v>236</v>
      </c>
      <c r="G832" t="s">
        <v>237</v>
      </c>
      <c r="H832" t="str">
        <f t="shared" si="49"/>
        <v>Teresina - PI</v>
      </c>
      <c r="I832" s="1" t="s">
        <v>286</v>
      </c>
      <c r="J832" s="3">
        <v>101</v>
      </c>
      <c r="K832" s="4">
        <f t="shared" si="50"/>
        <v>37.098255280073467</v>
      </c>
      <c r="L832" s="1" t="str">
        <f t="shared" si="51"/>
        <v>Obesidade grau II - severa</v>
      </c>
      <c r="M832" t="s">
        <v>26</v>
      </c>
    </row>
    <row r="833" spans="1:13" x14ac:dyDescent="0.25">
      <c r="A833">
        <v>832</v>
      </c>
      <c r="B833" t="s">
        <v>1738</v>
      </c>
      <c r="C833" s="2" t="s">
        <v>1739</v>
      </c>
      <c r="D833" s="2">
        <f t="shared" ca="1" si="48"/>
        <v>77</v>
      </c>
      <c r="E833" t="s">
        <v>10</v>
      </c>
      <c r="F833" t="s">
        <v>1183</v>
      </c>
      <c r="G833" t="s">
        <v>310</v>
      </c>
      <c r="H833" t="str">
        <f t="shared" si="49"/>
        <v>Planalto - RS</v>
      </c>
      <c r="I833" s="1" t="s">
        <v>13</v>
      </c>
      <c r="J833" s="3">
        <v>59</v>
      </c>
      <c r="K833" s="4">
        <f t="shared" si="50"/>
        <v>20.177148524332274</v>
      </c>
      <c r="L833" s="1" t="str">
        <f t="shared" si="51"/>
        <v>Peso ideal - parabéns</v>
      </c>
      <c r="M833" t="s">
        <v>20</v>
      </c>
    </row>
    <row r="834" spans="1:13" x14ac:dyDescent="0.25">
      <c r="A834">
        <v>833</v>
      </c>
      <c r="B834" t="s">
        <v>1884</v>
      </c>
      <c r="C834" s="2" t="s">
        <v>1885</v>
      </c>
      <c r="D834" s="2">
        <f t="shared" ca="1" si="48"/>
        <v>38</v>
      </c>
      <c r="E834" t="s">
        <v>10</v>
      </c>
      <c r="F834" t="s">
        <v>1428</v>
      </c>
      <c r="G834" t="s">
        <v>55</v>
      </c>
      <c r="H834" t="str">
        <f t="shared" si="49"/>
        <v>São José dos Pinhais - PR</v>
      </c>
      <c r="I834" s="1" t="s">
        <v>194</v>
      </c>
      <c r="J834" s="3">
        <v>109</v>
      </c>
      <c r="K834" s="4">
        <f t="shared" si="50"/>
        <v>31.848064280496711</v>
      </c>
      <c r="L834" s="1" t="str">
        <f t="shared" si="51"/>
        <v>Obesidade grau I</v>
      </c>
      <c r="M834" t="s">
        <v>83</v>
      </c>
    </row>
    <row r="835" spans="1:13" x14ac:dyDescent="0.25">
      <c r="A835">
        <v>834</v>
      </c>
      <c r="B835" t="s">
        <v>3808</v>
      </c>
      <c r="C835" s="2" t="s">
        <v>3809</v>
      </c>
      <c r="D835" s="2">
        <f t="shared" ref="D835:D898" ca="1" si="52">YEAR(TODAY())-YEAR(C835)</f>
        <v>61</v>
      </c>
      <c r="E835" t="s">
        <v>10</v>
      </c>
      <c r="F835" t="s">
        <v>457</v>
      </c>
      <c r="G835" t="s">
        <v>41</v>
      </c>
      <c r="H835" t="str">
        <f t="shared" ref="H835:H898" si="53">CONCATENATE(F835," - ",G835)</f>
        <v>João Pessoa - PB</v>
      </c>
      <c r="I835" s="1" t="s">
        <v>639</v>
      </c>
      <c r="J835" s="3">
        <v>69</v>
      </c>
      <c r="K835" s="4">
        <f t="shared" ref="K835:K898" si="54">J835/(I835*I835)</f>
        <v>17.25</v>
      </c>
      <c r="L835" s="1" t="str">
        <f t="shared" ref="L835:L898" si="55">IF(K835&gt;=40,"Obesidade grau III - mórbida",
IF(K835&gt;=35,"Obesidade grau II - severa",
IF(K835&gt;=30,"Obesidade grau I",
IF(K835&gt;=25,"Levemente acima do peso",
IF(K835&gt;=18.6,"Peso ideal - parabéns",
IF(K835&gt;=17,"Abaixo do peso",
"Muito abaixo do peso"))))))</f>
        <v>Abaixo do peso</v>
      </c>
      <c r="M835" t="s">
        <v>20</v>
      </c>
    </row>
    <row r="836" spans="1:13" x14ac:dyDescent="0.25">
      <c r="A836">
        <v>835</v>
      </c>
      <c r="B836" t="s">
        <v>3767</v>
      </c>
      <c r="C836" s="2" t="s">
        <v>3116</v>
      </c>
      <c r="D836" s="2">
        <f t="shared" ca="1" si="52"/>
        <v>43</v>
      </c>
      <c r="E836" t="s">
        <v>10</v>
      </c>
      <c r="F836" t="s">
        <v>59</v>
      </c>
      <c r="G836" t="s">
        <v>60</v>
      </c>
      <c r="H836" t="str">
        <f t="shared" si="53"/>
        <v>Palmas - TO</v>
      </c>
      <c r="I836" s="1" t="s">
        <v>318</v>
      </c>
      <c r="J836" s="3">
        <v>57</v>
      </c>
      <c r="K836" s="4">
        <f t="shared" si="54"/>
        <v>15.462239583333334</v>
      </c>
      <c r="L836" s="1" t="str">
        <f t="shared" si="55"/>
        <v>Muito abaixo do peso</v>
      </c>
      <c r="M836" t="s">
        <v>20</v>
      </c>
    </row>
    <row r="837" spans="1:13" x14ac:dyDescent="0.25">
      <c r="A837">
        <v>836</v>
      </c>
      <c r="B837" t="s">
        <v>3767</v>
      </c>
      <c r="C837" s="2" t="s">
        <v>3116</v>
      </c>
      <c r="D837" s="2">
        <f t="shared" ca="1" si="52"/>
        <v>43</v>
      </c>
      <c r="E837" t="s">
        <v>10</v>
      </c>
      <c r="F837" t="s">
        <v>59</v>
      </c>
      <c r="G837" t="s">
        <v>60</v>
      </c>
      <c r="H837" t="str">
        <f t="shared" si="53"/>
        <v>Palmas - TO</v>
      </c>
      <c r="I837" s="1" t="s">
        <v>318</v>
      </c>
      <c r="J837" s="3">
        <v>57</v>
      </c>
      <c r="K837" s="4">
        <f t="shared" si="54"/>
        <v>15.462239583333334</v>
      </c>
      <c r="L837" s="1" t="str">
        <f t="shared" si="55"/>
        <v>Muito abaixo do peso</v>
      </c>
      <c r="M837" t="s">
        <v>20</v>
      </c>
    </row>
    <row r="838" spans="1:13" x14ac:dyDescent="0.25">
      <c r="A838">
        <v>837</v>
      </c>
      <c r="B838" t="s">
        <v>4039</v>
      </c>
      <c r="C838" s="2" t="s">
        <v>3953</v>
      </c>
      <c r="D838" s="2">
        <f t="shared" ca="1" si="52"/>
        <v>47</v>
      </c>
      <c r="E838" t="s">
        <v>10</v>
      </c>
      <c r="F838" t="s">
        <v>1037</v>
      </c>
      <c r="G838" t="s">
        <v>46</v>
      </c>
      <c r="H838" t="str">
        <f t="shared" si="53"/>
        <v>Itumbiara - GO</v>
      </c>
      <c r="I838" s="1" t="s">
        <v>90</v>
      </c>
      <c r="J838" s="3">
        <v>85</v>
      </c>
      <c r="K838" s="4">
        <f t="shared" si="54"/>
        <v>28.731746890210928</v>
      </c>
      <c r="L838" s="1" t="str">
        <f t="shared" si="55"/>
        <v>Levemente acima do peso</v>
      </c>
      <c r="M838" t="s">
        <v>83</v>
      </c>
    </row>
    <row r="839" spans="1:13" x14ac:dyDescent="0.25">
      <c r="A839">
        <v>838</v>
      </c>
      <c r="B839" t="s">
        <v>1688</v>
      </c>
      <c r="C839" s="2" t="s">
        <v>1689</v>
      </c>
      <c r="D839" s="2">
        <f t="shared" ca="1" si="52"/>
        <v>43</v>
      </c>
      <c r="E839" t="s">
        <v>10</v>
      </c>
      <c r="F839" t="s">
        <v>126</v>
      </c>
      <c r="G839" t="s">
        <v>127</v>
      </c>
      <c r="H839" t="str">
        <f t="shared" si="53"/>
        <v>Boa Vista - RR</v>
      </c>
      <c r="I839" s="1" t="s">
        <v>201</v>
      </c>
      <c r="J839" s="3">
        <v>84</v>
      </c>
      <c r="K839" s="4">
        <f t="shared" si="54"/>
        <v>21.865889212827991</v>
      </c>
      <c r="L839" s="1" t="str">
        <f t="shared" si="55"/>
        <v>Peso ideal - parabéns</v>
      </c>
      <c r="M839" t="s">
        <v>20</v>
      </c>
    </row>
    <row r="840" spans="1:13" x14ac:dyDescent="0.25">
      <c r="A840">
        <v>839</v>
      </c>
      <c r="B840" t="s">
        <v>3496</v>
      </c>
      <c r="C840" s="2" t="s">
        <v>3497</v>
      </c>
      <c r="D840" s="2">
        <f t="shared" ca="1" si="52"/>
        <v>70</v>
      </c>
      <c r="E840" t="s">
        <v>10</v>
      </c>
      <c r="F840" t="s">
        <v>1052</v>
      </c>
      <c r="G840" t="s">
        <v>55</v>
      </c>
      <c r="H840" t="str">
        <f t="shared" si="53"/>
        <v>Toledo - PR</v>
      </c>
      <c r="I840" s="1" t="s">
        <v>42</v>
      </c>
      <c r="J840" s="3">
        <v>109</v>
      </c>
      <c r="K840" s="4">
        <f t="shared" si="54"/>
        <v>34.018913267376178</v>
      </c>
      <c r="L840" s="1" t="str">
        <f t="shared" si="55"/>
        <v>Obesidade grau I</v>
      </c>
      <c r="M840" t="s">
        <v>14</v>
      </c>
    </row>
    <row r="841" spans="1:13" x14ac:dyDescent="0.25">
      <c r="A841">
        <v>840</v>
      </c>
      <c r="B841" t="s">
        <v>3075</v>
      </c>
      <c r="C841" s="2" t="s">
        <v>3076</v>
      </c>
      <c r="D841" s="2">
        <f t="shared" ca="1" si="52"/>
        <v>39</v>
      </c>
      <c r="E841" t="s">
        <v>10</v>
      </c>
      <c r="F841" t="s">
        <v>17</v>
      </c>
      <c r="G841" t="s">
        <v>18</v>
      </c>
      <c r="H841" t="str">
        <f t="shared" si="53"/>
        <v>Campo Grande - MS</v>
      </c>
      <c r="I841" s="1" t="s">
        <v>400</v>
      </c>
      <c r="J841" s="3">
        <v>90</v>
      </c>
      <c r="K841" s="4">
        <f t="shared" si="54"/>
        <v>27.777777777777775</v>
      </c>
      <c r="L841" s="1" t="str">
        <f t="shared" si="55"/>
        <v>Levemente acima do peso</v>
      </c>
      <c r="M841" t="s">
        <v>20</v>
      </c>
    </row>
    <row r="842" spans="1:13" x14ac:dyDescent="0.25">
      <c r="A842">
        <v>841</v>
      </c>
      <c r="B842" t="s">
        <v>3482</v>
      </c>
      <c r="C842" s="2" t="s">
        <v>3483</v>
      </c>
      <c r="D842" s="2">
        <f t="shared" ca="1" si="52"/>
        <v>56</v>
      </c>
      <c r="E842" t="s">
        <v>10</v>
      </c>
      <c r="F842" t="s">
        <v>354</v>
      </c>
      <c r="G842" t="s">
        <v>30</v>
      </c>
      <c r="H842" t="str">
        <f t="shared" si="53"/>
        <v>Porto Velho - RO</v>
      </c>
      <c r="I842" s="1" t="s">
        <v>639</v>
      </c>
      <c r="J842" s="3">
        <v>87</v>
      </c>
      <c r="K842" s="4">
        <f t="shared" si="54"/>
        <v>21.75</v>
      </c>
      <c r="L842" s="1" t="str">
        <f t="shared" si="55"/>
        <v>Peso ideal - parabéns</v>
      </c>
      <c r="M842" t="s">
        <v>20</v>
      </c>
    </row>
    <row r="843" spans="1:13" x14ac:dyDescent="0.25">
      <c r="A843">
        <v>842</v>
      </c>
      <c r="B843" t="s">
        <v>4158</v>
      </c>
      <c r="C843" s="2" t="s">
        <v>4159</v>
      </c>
      <c r="D843" s="2">
        <f t="shared" ca="1" si="52"/>
        <v>39</v>
      </c>
      <c r="E843" t="s">
        <v>10</v>
      </c>
      <c r="F843" t="s">
        <v>796</v>
      </c>
      <c r="G843" t="s">
        <v>131</v>
      </c>
      <c r="H843" t="str">
        <f t="shared" si="53"/>
        <v>Joinville - SC</v>
      </c>
      <c r="I843" s="1" t="s">
        <v>86</v>
      </c>
      <c r="J843" s="3">
        <v>94</v>
      </c>
      <c r="K843" s="4">
        <f t="shared" si="54"/>
        <v>28.692652849424622</v>
      </c>
      <c r="L843" s="1" t="str">
        <f t="shared" si="55"/>
        <v>Levemente acima do peso</v>
      </c>
      <c r="M843" t="s">
        <v>14</v>
      </c>
    </row>
    <row r="844" spans="1:13" x14ac:dyDescent="0.25">
      <c r="A844">
        <v>843</v>
      </c>
      <c r="B844" t="s">
        <v>2975</v>
      </c>
      <c r="C844" s="2" t="s">
        <v>2976</v>
      </c>
      <c r="D844" s="2">
        <f t="shared" ca="1" si="52"/>
        <v>35</v>
      </c>
      <c r="E844" t="s">
        <v>10</v>
      </c>
      <c r="F844" t="s">
        <v>89</v>
      </c>
      <c r="G844" t="s">
        <v>12</v>
      </c>
      <c r="H844" t="str">
        <f t="shared" si="53"/>
        <v>Fortaleza - CE</v>
      </c>
      <c r="I844" s="1" t="s">
        <v>94</v>
      </c>
      <c r="J844" s="3">
        <v>82</v>
      </c>
      <c r="K844" s="4">
        <f t="shared" si="54"/>
        <v>27.398175682448461</v>
      </c>
      <c r="L844" s="1" t="str">
        <f t="shared" si="55"/>
        <v>Levemente acima do peso</v>
      </c>
      <c r="M844" t="s">
        <v>20</v>
      </c>
    </row>
    <row r="845" spans="1:13" x14ac:dyDescent="0.25">
      <c r="A845">
        <v>844</v>
      </c>
      <c r="B845" t="s">
        <v>3956</v>
      </c>
      <c r="C845" s="2" t="s">
        <v>3957</v>
      </c>
      <c r="D845" s="2">
        <f t="shared" ca="1" si="52"/>
        <v>23</v>
      </c>
      <c r="E845" t="s">
        <v>10</v>
      </c>
      <c r="F845" t="s">
        <v>775</v>
      </c>
      <c r="G845" t="s">
        <v>51</v>
      </c>
      <c r="H845" t="str">
        <f t="shared" si="53"/>
        <v>Rio de Janeiro - RJ</v>
      </c>
      <c r="I845" s="1" t="s">
        <v>90</v>
      </c>
      <c r="J845" s="3">
        <v>83</v>
      </c>
      <c r="K845" s="4">
        <f t="shared" si="54"/>
        <v>28.055705786911847</v>
      </c>
      <c r="L845" s="1" t="str">
        <f t="shared" si="55"/>
        <v>Levemente acima do peso</v>
      </c>
      <c r="M845" t="s">
        <v>95</v>
      </c>
    </row>
    <row r="846" spans="1:13" x14ac:dyDescent="0.25">
      <c r="A846">
        <v>845</v>
      </c>
      <c r="B846" t="s">
        <v>1302</v>
      </c>
      <c r="C846" s="2" t="s">
        <v>1303</v>
      </c>
      <c r="D846" s="2">
        <f t="shared" ca="1" si="52"/>
        <v>73</v>
      </c>
      <c r="E846" t="s">
        <v>10</v>
      </c>
      <c r="F846" t="s">
        <v>153</v>
      </c>
      <c r="G846" t="s">
        <v>154</v>
      </c>
      <c r="H846" t="str">
        <f t="shared" si="53"/>
        <v>Manaus - AM</v>
      </c>
      <c r="I846" s="1" t="s">
        <v>160</v>
      </c>
      <c r="J846" s="3">
        <v>85</v>
      </c>
      <c r="K846" s="4">
        <f t="shared" si="54"/>
        <v>25.10633270321361</v>
      </c>
      <c r="L846" s="1" t="str">
        <f t="shared" si="55"/>
        <v>Levemente acima do peso</v>
      </c>
      <c r="M846" t="s">
        <v>26</v>
      </c>
    </row>
    <row r="847" spans="1:13" x14ac:dyDescent="0.25">
      <c r="A847">
        <v>846</v>
      </c>
      <c r="B847" t="s">
        <v>3098</v>
      </c>
      <c r="C847" s="2" t="s">
        <v>3099</v>
      </c>
      <c r="D847" s="2">
        <f t="shared" ca="1" si="52"/>
        <v>57</v>
      </c>
      <c r="E847" t="s">
        <v>10</v>
      </c>
      <c r="F847" t="s">
        <v>158</v>
      </c>
      <c r="G847" t="s">
        <v>159</v>
      </c>
      <c r="H847" t="str">
        <f t="shared" si="53"/>
        <v>Brasília - DF</v>
      </c>
      <c r="I847" s="1" t="s">
        <v>123</v>
      </c>
      <c r="J847" s="3">
        <v>109</v>
      </c>
      <c r="K847" s="4">
        <f t="shared" si="54"/>
        <v>35.188533057851238</v>
      </c>
      <c r="L847" s="1" t="str">
        <f t="shared" si="55"/>
        <v>Obesidade grau II - severa</v>
      </c>
      <c r="M847" t="s">
        <v>76</v>
      </c>
    </row>
    <row r="848" spans="1:13" x14ac:dyDescent="0.25">
      <c r="A848">
        <v>847</v>
      </c>
      <c r="B848" t="s">
        <v>3630</v>
      </c>
      <c r="C848" s="2" t="s">
        <v>2861</v>
      </c>
      <c r="D848" s="2">
        <f t="shared" ca="1" si="52"/>
        <v>75</v>
      </c>
      <c r="E848" t="s">
        <v>10</v>
      </c>
      <c r="F848" t="s">
        <v>74</v>
      </c>
      <c r="G848" t="s">
        <v>75</v>
      </c>
      <c r="H848" t="str">
        <f t="shared" si="53"/>
        <v>Macapá - AP</v>
      </c>
      <c r="I848" s="1" t="s">
        <v>416</v>
      </c>
      <c r="J848" s="3">
        <v>95</v>
      </c>
      <c r="K848" s="4">
        <f t="shared" si="54"/>
        <v>36.649820608772806</v>
      </c>
      <c r="L848" s="1" t="str">
        <f t="shared" si="55"/>
        <v>Obesidade grau II - severa</v>
      </c>
      <c r="M848" t="s">
        <v>83</v>
      </c>
    </row>
    <row r="849" spans="1:13" x14ac:dyDescent="0.25">
      <c r="A849">
        <v>848</v>
      </c>
      <c r="B849" t="s">
        <v>2320</v>
      </c>
      <c r="C849" s="2" t="s">
        <v>2321</v>
      </c>
      <c r="D849" s="2">
        <f t="shared" ca="1" si="52"/>
        <v>44</v>
      </c>
      <c r="E849" t="s">
        <v>10</v>
      </c>
      <c r="F849" t="s">
        <v>1880</v>
      </c>
      <c r="G849" t="s">
        <v>18</v>
      </c>
      <c r="H849" t="str">
        <f t="shared" si="53"/>
        <v>Dourados - MS</v>
      </c>
      <c r="I849" s="1" t="s">
        <v>281</v>
      </c>
      <c r="J849" s="3">
        <v>92</v>
      </c>
      <c r="K849" s="4">
        <f t="shared" si="54"/>
        <v>35.055631763450684</v>
      </c>
      <c r="L849" s="1" t="str">
        <f t="shared" si="55"/>
        <v>Obesidade grau II - severa</v>
      </c>
      <c r="M849" t="s">
        <v>26</v>
      </c>
    </row>
    <row r="850" spans="1:13" x14ac:dyDescent="0.25">
      <c r="A850">
        <v>849</v>
      </c>
      <c r="B850" t="s">
        <v>2304</v>
      </c>
      <c r="C850" s="2" t="s">
        <v>1143</v>
      </c>
      <c r="D850" s="2">
        <f t="shared" ca="1" si="52"/>
        <v>79</v>
      </c>
      <c r="E850" t="s">
        <v>10</v>
      </c>
      <c r="F850" t="s">
        <v>236</v>
      </c>
      <c r="G850" t="s">
        <v>237</v>
      </c>
      <c r="H850" t="str">
        <f t="shared" si="53"/>
        <v>Teresina - PI</v>
      </c>
      <c r="I850" s="1" t="s">
        <v>179</v>
      </c>
      <c r="J850" s="3">
        <v>79</v>
      </c>
      <c r="K850" s="4">
        <f t="shared" si="54"/>
        <v>26.09327520147972</v>
      </c>
      <c r="L850" s="1" t="str">
        <f t="shared" si="55"/>
        <v>Levemente acima do peso</v>
      </c>
      <c r="M850" t="s">
        <v>32</v>
      </c>
    </row>
    <row r="851" spans="1:13" x14ac:dyDescent="0.25">
      <c r="A851">
        <v>850</v>
      </c>
      <c r="B851" t="s">
        <v>3545</v>
      </c>
      <c r="C851" s="2" t="s">
        <v>3546</v>
      </c>
      <c r="D851" s="2">
        <f t="shared" ca="1" si="52"/>
        <v>59</v>
      </c>
      <c r="E851" t="s">
        <v>10</v>
      </c>
      <c r="F851" t="s">
        <v>3547</v>
      </c>
      <c r="G851" t="s">
        <v>18</v>
      </c>
      <c r="H851" t="str">
        <f t="shared" si="53"/>
        <v>Panambi - MS</v>
      </c>
      <c r="I851" s="1" t="s">
        <v>71</v>
      </c>
      <c r="J851" s="3">
        <v>59</v>
      </c>
      <c r="K851" s="4">
        <f t="shared" si="54"/>
        <v>17.617725223207618</v>
      </c>
      <c r="L851" s="1" t="str">
        <f t="shared" si="55"/>
        <v>Abaixo do peso</v>
      </c>
      <c r="M851" t="s">
        <v>47</v>
      </c>
    </row>
    <row r="852" spans="1:13" x14ac:dyDescent="0.25">
      <c r="A852">
        <v>851</v>
      </c>
      <c r="B852" t="s">
        <v>2882</v>
      </c>
      <c r="C852" s="2" t="s">
        <v>2883</v>
      </c>
      <c r="D852" s="2">
        <f t="shared" ca="1" si="52"/>
        <v>72</v>
      </c>
      <c r="E852" t="s">
        <v>10</v>
      </c>
      <c r="F852" t="s">
        <v>236</v>
      </c>
      <c r="G852" t="s">
        <v>237</v>
      </c>
      <c r="H852" t="str">
        <f t="shared" si="53"/>
        <v>Teresina - PI</v>
      </c>
      <c r="I852" s="1" t="s">
        <v>160</v>
      </c>
      <c r="J852" s="3">
        <v>65</v>
      </c>
      <c r="K852" s="4">
        <f t="shared" si="54"/>
        <v>19.198960302457465</v>
      </c>
      <c r="L852" s="1" t="str">
        <f t="shared" si="55"/>
        <v>Peso ideal - parabéns</v>
      </c>
      <c r="M852" t="s">
        <v>32</v>
      </c>
    </row>
    <row r="853" spans="1:13" x14ac:dyDescent="0.25">
      <c r="A853">
        <v>852</v>
      </c>
      <c r="B853" t="s">
        <v>1044</v>
      </c>
      <c r="C853" s="2" t="s">
        <v>1045</v>
      </c>
      <c r="D853" s="2">
        <f t="shared" ca="1" si="52"/>
        <v>39</v>
      </c>
      <c r="E853" t="s">
        <v>10</v>
      </c>
      <c r="F853" t="s">
        <v>54</v>
      </c>
      <c r="G853" t="s">
        <v>55</v>
      </c>
      <c r="H853" t="str">
        <f t="shared" si="53"/>
        <v>Ponta Grossa - PR</v>
      </c>
      <c r="I853" s="1" t="s">
        <v>160</v>
      </c>
      <c r="J853" s="3">
        <v>108</v>
      </c>
      <c r="K853" s="4">
        <f t="shared" si="54"/>
        <v>31.899810964083173</v>
      </c>
      <c r="L853" s="1" t="str">
        <f t="shared" si="55"/>
        <v>Obesidade grau I</v>
      </c>
      <c r="M853" t="s">
        <v>32</v>
      </c>
    </row>
    <row r="854" spans="1:13" x14ac:dyDescent="0.25">
      <c r="A854">
        <v>853</v>
      </c>
      <c r="B854" t="s">
        <v>2709</v>
      </c>
      <c r="C854" s="2" t="s">
        <v>2710</v>
      </c>
      <c r="D854" s="2">
        <f t="shared" ca="1" si="52"/>
        <v>81</v>
      </c>
      <c r="E854" t="s">
        <v>10</v>
      </c>
      <c r="F854" t="s">
        <v>236</v>
      </c>
      <c r="G854" t="s">
        <v>237</v>
      </c>
      <c r="H854" t="str">
        <f t="shared" si="53"/>
        <v>Teresina - PI</v>
      </c>
      <c r="I854" s="1" t="s">
        <v>56</v>
      </c>
      <c r="J854" s="3">
        <v>96</v>
      </c>
      <c r="K854" s="4">
        <f t="shared" si="54"/>
        <v>33.612268477994469</v>
      </c>
      <c r="L854" s="1" t="str">
        <f t="shared" si="55"/>
        <v>Obesidade grau I</v>
      </c>
      <c r="M854" t="s">
        <v>32</v>
      </c>
    </row>
    <row r="855" spans="1:13" x14ac:dyDescent="0.25">
      <c r="A855">
        <v>854</v>
      </c>
      <c r="B855" t="s">
        <v>2675</v>
      </c>
      <c r="C855" s="2" t="s">
        <v>2496</v>
      </c>
      <c r="D855" s="2">
        <f t="shared" ca="1" si="52"/>
        <v>57</v>
      </c>
      <c r="E855" t="s">
        <v>10</v>
      </c>
      <c r="F855" t="s">
        <v>365</v>
      </c>
      <c r="G855" t="s">
        <v>41</v>
      </c>
      <c r="H855" t="str">
        <f t="shared" si="53"/>
        <v>Cabedelo - PB</v>
      </c>
      <c r="I855" s="1" t="s">
        <v>132</v>
      </c>
      <c r="J855" s="3">
        <v>55</v>
      </c>
      <c r="K855" s="4">
        <f t="shared" si="54"/>
        <v>15.72821642025794</v>
      </c>
      <c r="L855" s="1" t="str">
        <f t="shared" si="55"/>
        <v>Muito abaixo do peso</v>
      </c>
      <c r="M855" t="s">
        <v>83</v>
      </c>
    </row>
    <row r="856" spans="1:13" x14ac:dyDescent="0.25">
      <c r="A856">
        <v>855</v>
      </c>
      <c r="B856" t="s">
        <v>2157</v>
      </c>
      <c r="C856" s="2" t="s">
        <v>2158</v>
      </c>
      <c r="D856" s="2">
        <f t="shared" ca="1" si="52"/>
        <v>23</v>
      </c>
      <c r="E856" t="s">
        <v>23</v>
      </c>
      <c r="F856" t="s">
        <v>17</v>
      </c>
      <c r="G856" t="s">
        <v>18</v>
      </c>
      <c r="H856" t="str">
        <f t="shared" si="53"/>
        <v>Campo Grande - MS</v>
      </c>
      <c r="I856" s="1" t="s">
        <v>281</v>
      </c>
      <c r="J856" s="3">
        <v>85</v>
      </c>
      <c r="K856" s="4">
        <f t="shared" si="54"/>
        <v>32.38835543362292</v>
      </c>
      <c r="L856" s="1" t="str">
        <f t="shared" si="55"/>
        <v>Obesidade grau I</v>
      </c>
      <c r="M856" t="s">
        <v>95</v>
      </c>
    </row>
    <row r="857" spans="1:13" x14ac:dyDescent="0.25">
      <c r="A857">
        <v>856</v>
      </c>
      <c r="B857" t="s">
        <v>3873</v>
      </c>
      <c r="C857" s="2" t="s">
        <v>3874</v>
      </c>
      <c r="D857" s="2">
        <f t="shared" ca="1" si="52"/>
        <v>81</v>
      </c>
      <c r="E857" t="s">
        <v>23</v>
      </c>
      <c r="F857" t="s">
        <v>138</v>
      </c>
      <c r="G857" t="s">
        <v>46</v>
      </c>
      <c r="H857" t="str">
        <f t="shared" si="53"/>
        <v>Aparecida de Goiânia - GO</v>
      </c>
      <c r="I857" s="1" t="s">
        <v>171</v>
      </c>
      <c r="J857" s="3">
        <v>69</v>
      </c>
      <c r="K857" s="4">
        <f t="shared" si="54"/>
        <v>24.740937287102444</v>
      </c>
      <c r="L857" s="1" t="str">
        <f t="shared" si="55"/>
        <v>Peso ideal - parabéns</v>
      </c>
      <c r="M857" t="s">
        <v>26</v>
      </c>
    </row>
    <row r="858" spans="1:13" x14ac:dyDescent="0.25">
      <c r="A858">
        <v>857</v>
      </c>
      <c r="B858" t="s">
        <v>2247</v>
      </c>
      <c r="C858" s="2" t="s">
        <v>2248</v>
      </c>
      <c r="D858" s="2">
        <f t="shared" ca="1" si="52"/>
        <v>71</v>
      </c>
      <c r="E858" t="s">
        <v>23</v>
      </c>
      <c r="F858" t="s">
        <v>375</v>
      </c>
      <c r="G858" t="s">
        <v>310</v>
      </c>
      <c r="H858" t="str">
        <f t="shared" si="53"/>
        <v>Esteio - RS</v>
      </c>
      <c r="I858" s="1" t="s">
        <v>286</v>
      </c>
      <c r="J858" s="3">
        <v>71</v>
      </c>
      <c r="K858" s="4">
        <f t="shared" si="54"/>
        <v>26.078971533516992</v>
      </c>
      <c r="L858" s="1" t="str">
        <f t="shared" si="55"/>
        <v>Levemente acima do peso</v>
      </c>
      <c r="M858" t="s">
        <v>76</v>
      </c>
    </row>
    <row r="859" spans="1:13" x14ac:dyDescent="0.25">
      <c r="A859">
        <v>858</v>
      </c>
      <c r="B859" t="s">
        <v>2084</v>
      </c>
      <c r="C859" s="2" t="s">
        <v>2085</v>
      </c>
      <c r="D859" s="2">
        <f t="shared" ca="1" si="52"/>
        <v>59</v>
      </c>
      <c r="E859" t="s">
        <v>23</v>
      </c>
      <c r="F859" t="s">
        <v>309</v>
      </c>
      <c r="G859" t="s">
        <v>310</v>
      </c>
      <c r="H859" t="str">
        <f t="shared" si="53"/>
        <v>Gravataí - RS</v>
      </c>
      <c r="I859" s="1" t="s">
        <v>416</v>
      </c>
      <c r="J859" s="3">
        <v>80</v>
      </c>
      <c r="K859" s="4">
        <f t="shared" si="54"/>
        <v>30.863006828440259</v>
      </c>
      <c r="L859" s="1" t="str">
        <f t="shared" si="55"/>
        <v>Obesidade grau I</v>
      </c>
      <c r="M859" t="s">
        <v>20</v>
      </c>
    </row>
    <row r="860" spans="1:13" x14ac:dyDescent="0.25">
      <c r="A860">
        <v>859</v>
      </c>
      <c r="B860" t="s">
        <v>2407</v>
      </c>
      <c r="C860" s="2" t="s">
        <v>2408</v>
      </c>
      <c r="D860" s="2">
        <f t="shared" ca="1" si="52"/>
        <v>71</v>
      </c>
      <c r="E860" t="s">
        <v>23</v>
      </c>
      <c r="F860" t="s">
        <v>236</v>
      </c>
      <c r="G860" t="s">
        <v>237</v>
      </c>
      <c r="H860" t="str">
        <f t="shared" si="53"/>
        <v>Teresina - PI</v>
      </c>
      <c r="I860" s="1" t="s">
        <v>447</v>
      </c>
      <c r="J860" s="3">
        <v>88</v>
      </c>
      <c r="K860" s="4">
        <f t="shared" si="54"/>
        <v>28.73469387755102</v>
      </c>
      <c r="L860" s="1" t="str">
        <f t="shared" si="55"/>
        <v>Levemente acima do peso</v>
      </c>
      <c r="M860" t="s">
        <v>26</v>
      </c>
    </row>
    <row r="861" spans="1:13" x14ac:dyDescent="0.25">
      <c r="A861">
        <v>860</v>
      </c>
      <c r="B861" t="s">
        <v>1458</v>
      </c>
      <c r="C861" s="2" t="s">
        <v>1459</v>
      </c>
      <c r="D861" s="2">
        <f t="shared" ca="1" si="52"/>
        <v>58</v>
      </c>
      <c r="E861" t="s">
        <v>23</v>
      </c>
      <c r="F861" t="s">
        <v>564</v>
      </c>
      <c r="G861" t="s">
        <v>565</v>
      </c>
      <c r="H861" t="str">
        <f t="shared" si="53"/>
        <v>Rio Branco - AC</v>
      </c>
      <c r="I861" s="1" t="s">
        <v>155</v>
      </c>
      <c r="J861" s="3">
        <v>74</v>
      </c>
      <c r="K861" s="4">
        <f t="shared" si="54"/>
        <v>22.340297065571789</v>
      </c>
      <c r="L861" s="1" t="str">
        <f t="shared" si="55"/>
        <v>Peso ideal - parabéns</v>
      </c>
      <c r="M861" t="s">
        <v>26</v>
      </c>
    </row>
    <row r="862" spans="1:13" x14ac:dyDescent="0.25">
      <c r="A862">
        <v>861</v>
      </c>
      <c r="B862" t="s">
        <v>1001</v>
      </c>
      <c r="C862" s="2" t="s">
        <v>1002</v>
      </c>
      <c r="D862" s="2">
        <f t="shared" ca="1" si="52"/>
        <v>40</v>
      </c>
      <c r="E862" t="s">
        <v>23</v>
      </c>
      <c r="F862" t="s">
        <v>24</v>
      </c>
      <c r="G862" t="s">
        <v>25</v>
      </c>
      <c r="H862" t="str">
        <f t="shared" si="53"/>
        <v>Natal - RN</v>
      </c>
      <c r="I862" s="1" t="s">
        <v>447</v>
      </c>
      <c r="J862" s="3">
        <v>90</v>
      </c>
      <c r="K862" s="4">
        <f t="shared" si="54"/>
        <v>29.387755102040817</v>
      </c>
      <c r="L862" s="1" t="str">
        <f t="shared" si="55"/>
        <v>Levemente acima do peso</v>
      </c>
      <c r="M862" t="s">
        <v>20</v>
      </c>
    </row>
    <row r="863" spans="1:13" x14ac:dyDescent="0.25">
      <c r="A863">
        <v>862</v>
      </c>
      <c r="B863" t="s">
        <v>1870</v>
      </c>
      <c r="C863" s="2" t="s">
        <v>1871</v>
      </c>
      <c r="D863" s="2">
        <f t="shared" ca="1" si="52"/>
        <v>36</v>
      </c>
      <c r="E863" t="s">
        <v>23</v>
      </c>
      <c r="F863" t="s">
        <v>126</v>
      </c>
      <c r="G863" t="s">
        <v>127</v>
      </c>
      <c r="H863" t="str">
        <f t="shared" si="53"/>
        <v>Boa Vista - RR</v>
      </c>
      <c r="I863" s="1" t="s">
        <v>247</v>
      </c>
      <c r="J863" s="3">
        <v>82</v>
      </c>
      <c r="K863" s="4">
        <f t="shared" si="54"/>
        <v>36.444444444444443</v>
      </c>
      <c r="L863" s="1" t="str">
        <f t="shared" si="55"/>
        <v>Obesidade grau II - severa</v>
      </c>
      <c r="M863" t="s">
        <v>14</v>
      </c>
    </row>
    <row r="864" spans="1:13" x14ac:dyDescent="0.25">
      <c r="A864">
        <v>863</v>
      </c>
      <c r="B864" t="s">
        <v>1460</v>
      </c>
      <c r="C864" s="2" t="s">
        <v>1461</v>
      </c>
      <c r="D864" s="2">
        <f t="shared" ca="1" si="52"/>
        <v>81</v>
      </c>
      <c r="E864" t="s">
        <v>23</v>
      </c>
      <c r="F864" t="s">
        <v>236</v>
      </c>
      <c r="G864" t="s">
        <v>237</v>
      </c>
      <c r="H864" t="str">
        <f t="shared" si="53"/>
        <v>Teresina - PI</v>
      </c>
      <c r="I864" s="1" t="s">
        <v>113</v>
      </c>
      <c r="J864" s="3">
        <v>62</v>
      </c>
      <c r="K864" s="4">
        <f t="shared" si="54"/>
        <v>23.335466144755166</v>
      </c>
      <c r="L864" s="1" t="str">
        <f t="shared" si="55"/>
        <v>Peso ideal - parabéns</v>
      </c>
      <c r="M864" t="s">
        <v>14</v>
      </c>
    </row>
    <row r="865" spans="1:13" x14ac:dyDescent="0.25">
      <c r="A865">
        <v>864</v>
      </c>
      <c r="B865" t="s">
        <v>2979</v>
      </c>
      <c r="C865" s="2" t="s">
        <v>2980</v>
      </c>
      <c r="D865" s="2">
        <f t="shared" ca="1" si="52"/>
        <v>53</v>
      </c>
      <c r="E865" t="s">
        <v>23</v>
      </c>
      <c r="F865" t="s">
        <v>2981</v>
      </c>
      <c r="G865" t="s">
        <v>103</v>
      </c>
      <c r="H865" t="str">
        <f t="shared" si="53"/>
        <v>Marília - SP</v>
      </c>
      <c r="I865" s="1" t="s">
        <v>416</v>
      </c>
      <c r="J865" s="3">
        <v>80</v>
      </c>
      <c r="K865" s="4">
        <f t="shared" si="54"/>
        <v>30.863006828440259</v>
      </c>
      <c r="L865" s="1" t="str">
        <f t="shared" si="55"/>
        <v>Obesidade grau I</v>
      </c>
      <c r="M865" t="s">
        <v>14</v>
      </c>
    </row>
    <row r="866" spans="1:13" x14ac:dyDescent="0.25">
      <c r="A866">
        <v>865</v>
      </c>
      <c r="B866" t="s">
        <v>1486</v>
      </c>
      <c r="C866" s="2" t="s">
        <v>1487</v>
      </c>
      <c r="D866" s="2">
        <f t="shared" ca="1" si="52"/>
        <v>76</v>
      </c>
      <c r="E866" t="s">
        <v>23</v>
      </c>
      <c r="F866" t="s">
        <v>135</v>
      </c>
      <c r="G866" t="s">
        <v>75</v>
      </c>
      <c r="H866" t="str">
        <f t="shared" si="53"/>
        <v>Santana - AP</v>
      </c>
      <c r="I866" s="1" t="s">
        <v>19</v>
      </c>
      <c r="J866" s="3">
        <v>48</v>
      </c>
      <c r="K866" s="4">
        <f t="shared" si="54"/>
        <v>15.321267834913337</v>
      </c>
      <c r="L866" s="1" t="str">
        <f t="shared" si="55"/>
        <v>Muito abaixo do peso</v>
      </c>
      <c r="M866" t="s">
        <v>20</v>
      </c>
    </row>
    <row r="867" spans="1:13" x14ac:dyDescent="0.25">
      <c r="A867">
        <v>866</v>
      </c>
      <c r="B867" t="s">
        <v>3686</v>
      </c>
      <c r="C867" s="2" t="s">
        <v>2891</v>
      </c>
      <c r="D867" s="2">
        <f t="shared" ca="1" si="52"/>
        <v>44</v>
      </c>
      <c r="E867" t="s">
        <v>23</v>
      </c>
      <c r="F867" t="s">
        <v>135</v>
      </c>
      <c r="G867" t="s">
        <v>75</v>
      </c>
      <c r="H867" t="str">
        <f t="shared" si="53"/>
        <v>Santana - AP</v>
      </c>
      <c r="I867" s="1" t="s">
        <v>582</v>
      </c>
      <c r="J867" s="3">
        <v>90</v>
      </c>
      <c r="K867" s="4">
        <f t="shared" si="54"/>
        <v>36.982248520710058</v>
      </c>
      <c r="L867" s="1" t="str">
        <f t="shared" si="55"/>
        <v>Obesidade grau II - severa</v>
      </c>
      <c r="M867" t="s">
        <v>26</v>
      </c>
    </row>
    <row r="868" spans="1:13" x14ac:dyDescent="0.25">
      <c r="A868">
        <v>867</v>
      </c>
      <c r="B868" t="s">
        <v>3862</v>
      </c>
      <c r="C868" s="2" t="s">
        <v>3863</v>
      </c>
      <c r="D868" s="2">
        <f t="shared" ca="1" si="52"/>
        <v>44</v>
      </c>
      <c r="E868" t="s">
        <v>23</v>
      </c>
      <c r="F868" t="s">
        <v>383</v>
      </c>
      <c r="G868" t="s">
        <v>237</v>
      </c>
      <c r="H868" t="str">
        <f t="shared" si="53"/>
        <v>Parnaíba - PI</v>
      </c>
      <c r="I868" s="1" t="s">
        <v>213</v>
      </c>
      <c r="J868" s="3">
        <v>78</v>
      </c>
      <c r="K868" s="4">
        <f t="shared" si="54"/>
        <v>33.760387811634352</v>
      </c>
      <c r="L868" s="1" t="str">
        <f t="shared" si="55"/>
        <v>Obesidade grau I</v>
      </c>
      <c r="M868" t="s">
        <v>32</v>
      </c>
    </row>
    <row r="869" spans="1:13" x14ac:dyDescent="0.25">
      <c r="A869">
        <v>868</v>
      </c>
      <c r="B869" t="s">
        <v>3560</v>
      </c>
      <c r="C869" s="2" t="s">
        <v>3561</v>
      </c>
      <c r="D869" s="2">
        <f t="shared" ca="1" si="52"/>
        <v>30</v>
      </c>
      <c r="E869" t="s">
        <v>23</v>
      </c>
      <c r="F869" t="s">
        <v>3303</v>
      </c>
      <c r="G869" t="s">
        <v>186</v>
      </c>
      <c r="H869" t="str">
        <f t="shared" si="53"/>
        <v>Juiz de Fora - MG</v>
      </c>
      <c r="I869" s="1" t="s">
        <v>94</v>
      </c>
      <c r="J869" s="3">
        <v>79</v>
      </c>
      <c r="K869" s="4">
        <f t="shared" si="54"/>
        <v>26.395803401383272</v>
      </c>
      <c r="L869" s="1" t="str">
        <f t="shared" si="55"/>
        <v>Levemente acima do peso</v>
      </c>
      <c r="M869" t="s">
        <v>83</v>
      </c>
    </row>
    <row r="870" spans="1:13" x14ac:dyDescent="0.25">
      <c r="A870">
        <v>869</v>
      </c>
      <c r="B870" t="s">
        <v>1153</v>
      </c>
      <c r="C870" s="2" t="s">
        <v>1154</v>
      </c>
      <c r="D870" s="2">
        <f t="shared" ca="1" si="52"/>
        <v>45</v>
      </c>
      <c r="E870" t="s">
        <v>23</v>
      </c>
      <c r="F870" t="s">
        <v>1155</v>
      </c>
      <c r="G870" t="s">
        <v>103</v>
      </c>
      <c r="H870" t="str">
        <f t="shared" si="53"/>
        <v>Osasco - SP</v>
      </c>
      <c r="I870" s="1" t="s">
        <v>447</v>
      </c>
      <c r="J870" s="3">
        <v>58</v>
      </c>
      <c r="K870" s="4">
        <f t="shared" si="54"/>
        <v>18.938775510204081</v>
      </c>
      <c r="L870" s="1" t="str">
        <f t="shared" si="55"/>
        <v>Peso ideal - parabéns</v>
      </c>
      <c r="M870" t="s">
        <v>32</v>
      </c>
    </row>
    <row r="871" spans="1:13" x14ac:dyDescent="0.25">
      <c r="A871">
        <v>870</v>
      </c>
      <c r="B871" t="s">
        <v>1749</v>
      </c>
      <c r="C871" s="2" t="s">
        <v>1750</v>
      </c>
      <c r="D871" s="2">
        <f t="shared" ca="1" si="52"/>
        <v>80</v>
      </c>
      <c r="E871" t="s">
        <v>23</v>
      </c>
      <c r="F871" t="s">
        <v>1751</v>
      </c>
      <c r="G871" t="s">
        <v>25</v>
      </c>
      <c r="H871" t="str">
        <f t="shared" si="53"/>
        <v>Santa Fé - RN</v>
      </c>
      <c r="I871" s="1" t="s">
        <v>360</v>
      </c>
      <c r="J871" s="3">
        <v>66</v>
      </c>
      <c r="K871" s="4">
        <f t="shared" si="54"/>
        <v>26.438070821983651</v>
      </c>
      <c r="L871" s="1" t="str">
        <f t="shared" si="55"/>
        <v>Levemente acima do peso</v>
      </c>
      <c r="M871" t="s">
        <v>95</v>
      </c>
    </row>
    <row r="872" spans="1:13" x14ac:dyDescent="0.25">
      <c r="A872">
        <v>871</v>
      </c>
      <c r="B872" t="s">
        <v>1021</v>
      </c>
      <c r="C872" s="2" t="s">
        <v>1022</v>
      </c>
      <c r="D872" s="2">
        <f t="shared" ca="1" si="52"/>
        <v>57</v>
      </c>
      <c r="E872" t="s">
        <v>23</v>
      </c>
      <c r="F872" t="s">
        <v>153</v>
      </c>
      <c r="G872" t="s">
        <v>154</v>
      </c>
      <c r="H872" t="str">
        <f t="shared" si="53"/>
        <v>Manaus - AM</v>
      </c>
      <c r="I872" s="1" t="s">
        <v>209</v>
      </c>
      <c r="J872" s="3">
        <v>53</v>
      </c>
      <c r="K872" s="4">
        <f t="shared" si="54"/>
        <v>22.347782088041829</v>
      </c>
      <c r="L872" s="1" t="str">
        <f t="shared" si="55"/>
        <v>Peso ideal - parabéns</v>
      </c>
      <c r="M872" t="s">
        <v>20</v>
      </c>
    </row>
    <row r="873" spans="1:13" x14ac:dyDescent="0.25">
      <c r="A873">
        <v>872</v>
      </c>
      <c r="B873" t="s">
        <v>4102</v>
      </c>
      <c r="C873" s="2" t="s">
        <v>3491</v>
      </c>
      <c r="D873" s="2">
        <f t="shared" ca="1" si="52"/>
        <v>24</v>
      </c>
      <c r="E873" t="s">
        <v>23</v>
      </c>
      <c r="F873" t="s">
        <v>158</v>
      </c>
      <c r="G873" t="s">
        <v>159</v>
      </c>
      <c r="H873" t="str">
        <f t="shared" si="53"/>
        <v>Brasília - DF</v>
      </c>
      <c r="I873" s="1" t="s">
        <v>86</v>
      </c>
      <c r="J873" s="3">
        <v>79</v>
      </c>
      <c r="K873" s="4">
        <f t="shared" si="54"/>
        <v>24.114038033027075</v>
      </c>
      <c r="L873" s="1" t="str">
        <f t="shared" si="55"/>
        <v>Peso ideal - parabéns</v>
      </c>
      <c r="M873" t="s">
        <v>83</v>
      </c>
    </row>
    <row r="874" spans="1:13" x14ac:dyDescent="0.25">
      <c r="A874">
        <v>873</v>
      </c>
      <c r="B874" t="s">
        <v>1017</v>
      </c>
      <c r="C874" s="2" t="s">
        <v>1018</v>
      </c>
      <c r="D874" s="2">
        <f t="shared" ca="1" si="52"/>
        <v>69</v>
      </c>
      <c r="E874" t="s">
        <v>23</v>
      </c>
      <c r="F874" t="s">
        <v>240</v>
      </c>
      <c r="G874" t="s">
        <v>51</v>
      </c>
      <c r="H874" t="str">
        <f t="shared" si="53"/>
        <v>Petrópolis - RJ</v>
      </c>
      <c r="I874" s="1" t="s">
        <v>171</v>
      </c>
      <c r="J874" s="3">
        <v>61</v>
      </c>
      <c r="K874" s="4">
        <f t="shared" si="54"/>
        <v>21.872422819032593</v>
      </c>
      <c r="L874" s="1" t="str">
        <f t="shared" si="55"/>
        <v>Peso ideal - parabéns</v>
      </c>
      <c r="M874" t="s">
        <v>47</v>
      </c>
    </row>
    <row r="875" spans="1:13" x14ac:dyDescent="0.25">
      <c r="A875">
        <v>874</v>
      </c>
      <c r="B875" t="s">
        <v>1281</v>
      </c>
      <c r="C875" s="2" t="s">
        <v>1282</v>
      </c>
      <c r="D875" s="2">
        <f t="shared" ca="1" si="52"/>
        <v>21</v>
      </c>
      <c r="E875" t="s">
        <v>23</v>
      </c>
      <c r="F875" t="s">
        <v>1283</v>
      </c>
      <c r="G875" t="s">
        <v>112</v>
      </c>
      <c r="H875" t="str">
        <f t="shared" si="53"/>
        <v>Castanhal - PA</v>
      </c>
      <c r="I875" s="1" t="s">
        <v>575</v>
      </c>
      <c r="J875" s="3">
        <v>46</v>
      </c>
      <c r="K875" s="4">
        <f t="shared" si="54"/>
        <v>18.195482773624459</v>
      </c>
      <c r="L875" s="1" t="str">
        <f t="shared" si="55"/>
        <v>Abaixo do peso</v>
      </c>
      <c r="M875" t="s">
        <v>83</v>
      </c>
    </row>
    <row r="876" spans="1:13" x14ac:dyDescent="0.25">
      <c r="A876">
        <v>875</v>
      </c>
      <c r="B876" t="s">
        <v>684</v>
      </c>
      <c r="C876" s="2" t="s">
        <v>685</v>
      </c>
      <c r="D876" s="2">
        <f t="shared" ca="1" si="52"/>
        <v>67</v>
      </c>
      <c r="E876" t="s">
        <v>23</v>
      </c>
      <c r="F876" t="s">
        <v>457</v>
      </c>
      <c r="G876" t="s">
        <v>41</v>
      </c>
      <c r="H876" t="str">
        <f t="shared" si="53"/>
        <v>João Pessoa - PB</v>
      </c>
      <c r="I876" s="1" t="s">
        <v>160</v>
      </c>
      <c r="J876" s="3">
        <v>45</v>
      </c>
      <c r="K876" s="4">
        <f t="shared" si="54"/>
        <v>13.291587901701323</v>
      </c>
      <c r="L876" s="1" t="str">
        <f t="shared" si="55"/>
        <v>Muito abaixo do peso</v>
      </c>
      <c r="M876" t="s">
        <v>20</v>
      </c>
    </row>
    <row r="877" spans="1:13" x14ac:dyDescent="0.25">
      <c r="A877">
        <v>876</v>
      </c>
      <c r="B877" t="s">
        <v>43</v>
      </c>
      <c r="C877" s="2" t="s">
        <v>44</v>
      </c>
      <c r="D877" s="2">
        <f t="shared" ca="1" si="52"/>
        <v>35</v>
      </c>
      <c r="E877" t="s">
        <v>23</v>
      </c>
      <c r="F877" t="s">
        <v>45</v>
      </c>
      <c r="G877" t="s">
        <v>46</v>
      </c>
      <c r="H877" t="str">
        <f t="shared" si="53"/>
        <v>Goiânia - GO</v>
      </c>
      <c r="I877" s="1" t="s">
        <v>13</v>
      </c>
      <c r="J877" s="3">
        <v>62</v>
      </c>
      <c r="K877" s="4">
        <f t="shared" si="54"/>
        <v>21.203105228959341</v>
      </c>
      <c r="L877" s="1" t="str">
        <f t="shared" si="55"/>
        <v>Peso ideal - parabéns</v>
      </c>
      <c r="M877" t="s">
        <v>47</v>
      </c>
    </row>
    <row r="878" spans="1:13" x14ac:dyDescent="0.25">
      <c r="A878">
        <v>877</v>
      </c>
      <c r="B878" t="s">
        <v>2920</v>
      </c>
      <c r="C878" s="2" t="s">
        <v>2921</v>
      </c>
      <c r="D878" s="2">
        <f t="shared" ca="1" si="52"/>
        <v>38</v>
      </c>
      <c r="E878" t="s">
        <v>23</v>
      </c>
      <c r="F878" t="s">
        <v>2922</v>
      </c>
      <c r="G878" t="s">
        <v>186</v>
      </c>
      <c r="H878" t="str">
        <f t="shared" si="53"/>
        <v>Betim - MG</v>
      </c>
      <c r="I878" s="1" t="s">
        <v>447</v>
      </c>
      <c r="J878" s="3">
        <v>68</v>
      </c>
      <c r="K878" s="4">
        <f t="shared" si="54"/>
        <v>22.204081632653061</v>
      </c>
      <c r="L878" s="1" t="str">
        <f t="shared" si="55"/>
        <v>Peso ideal - parabéns</v>
      </c>
      <c r="M878" t="s">
        <v>26</v>
      </c>
    </row>
    <row r="879" spans="1:13" x14ac:dyDescent="0.25">
      <c r="A879">
        <v>878</v>
      </c>
      <c r="B879" t="s">
        <v>2289</v>
      </c>
      <c r="C879" s="2" t="s">
        <v>2290</v>
      </c>
      <c r="D879" s="2">
        <f t="shared" ca="1" si="52"/>
        <v>55</v>
      </c>
      <c r="E879" t="s">
        <v>23</v>
      </c>
      <c r="F879" t="s">
        <v>365</v>
      </c>
      <c r="G879" t="s">
        <v>41</v>
      </c>
      <c r="H879" t="str">
        <f t="shared" si="53"/>
        <v>Cabedelo - PB</v>
      </c>
      <c r="I879" s="1" t="s">
        <v>400</v>
      </c>
      <c r="J879" s="3">
        <v>60</v>
      </c>
      <c r="K879" s="4">
        <f t="shared" si="54"/>
        <v>18.518518518518519</v>
      </c>
      <c r="L879" s="1" t="str">
        <f t="shared" si="55"/>
        <v>Abaixo do peso</v>
      </c>
      <c r="M879" t="s">
        <v>76</v>
      </c>
    </row>
    <row r="880" spans="1:13" x14ac:dyDescent="0.25">
      <c r="A880">
        <v>879</v>
      </c>
      <c r="B880" t="s">
        <v>3119</v>
      </c>
      <c r="C880" s="2" t="s">
        <v>3120</v>
      </c>
      <c r="D880" s="2">
        <f t="shared" ca="1" si="52"/>
        <v>25</v>
      </c>
      <c r="E880" t="s">
        <v>23</v>
      </c>
      <c r="F880" t="s">
        <v>135</v>
      </c>
      <c r="G880" t="s">
        <v>75</v>
      </c>
      <c r="H880" t="str">
        <f t="shared" si="53"/>
        <v>Santana - AP</v>
      </c>
      <c r="I880" s="1" t="s">
        <v>484</v>
      </c>
      <c r="J880" s="3">
        <v>83</v>
      </c>
      <c r="K880" s="4">
        <f t="shared" si="54"/>
        <v>34.54734651404786</v>
      </c>
      <c r="L880" s="1" t="str">
        <f t="shared" si="55"/>
        <v>Obesidade grau I</v>
      </c>
      <c r="M880" t="s">
        <v>95</v>
      </c>
    </row>
    <row r="881" spans="1:13" x14ac:dyDescent="0.25">
      <c r="A881">
        <v>880</v>
      </c>
      <c r="B881" t="s">
        <v>1226</v>
      </c>
      <c r="C881" s="2" t="s">
        <v>1227</v>
      </c>
      <c r="D881" s="2">
        <f t="shared" ca="1" si="52"/>
        <v>70</v>
      </c>
      <c r="E881" t="s">
        <v>23</v>
      </c>
      <c r="F881" t="s">
        <v>17</v>
      </c>
      <c r="G881" t="s">
        <v>18</v>
      </c>
      <c r="H881" t="str">
        <f t="shared" si="53"/>
        <v>Campo Grande - MS</v>
      </c>
      <c r="I881" s="1" t="s">
        <v>286</v>
      </c>
      <c r="J881" s="3">
        <v>81</v>
      </c>
      <c r="K881" s="4">
        <f t="shared" si="54"/>
        <v>29.752066115702483</v>
      </c>
      <c r="L881" s="1" t="str">
        <f t="shared" si="55"/>
        <v>Levemente acima do peso</v>
      </c>
      <c r="M881" t="s">
        <v>83</v>
      </c>
    </row>
    <row r="882" spans="1:13" x14ac:dyDescent="0.25">
      <c r="A882">
        <v>881</v>
      </c>
      <c r="B882" t="s">
        <v>1086</v>
      </c>
      <c r="C882" s="2" t="s">
        <v>1087</v>
      </c>
      <c r="D882" s="2">
        <f t="shared" ca="1" si="52"/>
        <v>26</v>
      </c>
      <c r="E882" t="s">
        <v>23</v>
      </c>
      <c r="F882" t="s">
        <v>126</v>
      </c>
      <c r="G882" t="s">
        <v>127</v>
      </c>
      <c r="H882" t="str">
        <f t="shared" si="53"/>
        <v>Boa Vista - RR</v>
      </c>
      <c r="I882" s="1" t="s">
        <v>582</v>
      </c>
      <c r="J882" s="3">
        <v>55</v>
      </c>
      <c r="K882" s="4">
        <f t="shared" si="54"/>
        <v>22.600262984878366</v>
      </c>
      <c r="L882" s="1" t="str">
        <f t="shared" si="55"/>
        <v>Peso ideal - parabéns</v>
      </c>
      <c r="M882" t="s">
        <v>47</v>
      </c>
    </row>
    <row r="883" spans="1:13" x14ac:dyDescent="0.25">
      <c r="A883">
        <v>882</v>
      </c>
      <c r="B883" t="s">
        <v>3144</v>
      </c>
      <c r="C883" s="2" t="s">
        <v>3145</v>
      </c>
      <c r="D883" s="2">
        <f t="shared" ca="1" si="52"/>
        <v>29</v>
      </c>
      <c r="E883" t="s">
        <v>23</v>
      </c>
      <c r="F883" t="s">
        <v>158</v>
      </c>
      <c r="G883" t="s">
        <v>159</v>
      </c>
      <c r="H883" t="str">
        <f t="shared" si="53"/>
        <v>Brasília - DF</v>
      </c>
      <c r="I883" s="1" t="s">
        <v>155</v>
      </c>
      <c r="J883" s="3">
        <v>81</v>
      </c>
      <c r="K883" s="4">
        <f t="shared" si="54"/>
        <v>24.453568409612362</v>
      </c>
      <c r="L883" s="1" t="str">
        <f t="shared" si="55"/>
        <v>Peso ideal - parabéns</v>
      </c>
      <c r="M883" t="s">
        <v>26</v>
      </c>
    </row>
    <row r="884" spans="1:13" x14ac:dyDescent="0.25">
      <c r="A884">
        <v>883</v>
      </c>
      <c r="B884" t="s">
        <v>3631</v>
      </c>
      <c r="C884" s="2" t="s">
        <v>3632</v>
      </c>
      <c r="D884" s="2">
        <f t="shared" ca="1" si="52"/>
        <v>71</v>
      </c>
      <c r="E884" t="s">
        <v>23</v>
      </c>
      <c r="F884" t="s">
        <v>135</v>
      </c>
      <c r="G884" t="s">
        <v>75</v>
      </c>
      <c r="H884" t="str">
        <f t="shared" si="53"/>
        <v>Santana - AP</v>
      </c>
      <c r="I884" s="1" t="s">
        <v>386</v>
      </c>
      <c r="J884" s="3">
        <v>65</v>
      </c>
      <c r="K884" s="4">
        <f t="shared" si="54"/>
        <v>23.588329220496444</v>
      </c>
      <c r="L884" s="1" t="str">
        <f t="shared" si="55"/>
        <v>Peso ideal - parabéns</v>
      </c>
      <c r="M884" t="s">
        <v>14</v>
      </c>
    </row>
    <row r="885" spans="1:13" x14ac:dyDescent="0.25">
      <c r="A885">
        <v>884</v>
      </c>
      <c r="B885" t="s">
        <v>2689</v>
      </c>
      <c r="C885" s="2" t="s">
        <v>2690</v>
      </c>
      <c r="D885" s="2">
        <f t="shared" ca="1" si="52"/>
        <v>59</v>
      </c>
      <c r="E885" t="s">
        <v>23</v>
      </c>
      <c r="F885" t="s">
        <v>89</v>
      </c>
      <c r="G885" t="s">
        <v>12</v>
      </c>
      <c r="H885" t="str">
        <f t="shared" si="53"/>
        <v>Fortaleza - CE</v>
      </c>
      <c r="I885" s="1" t="s">
        <v>56</v>
      </c>
      <c r="J885" s="3">
        <v>67</v>
      </c>
      <c r="K885" s="4">
        <f t="shared" si="54"/>
        <v>23.458562375266975</v>
      </c>
      <c r="L885" s="1" t="str">
        <f t="shared" si="55"/>
        <v>Peso ideal - parabéns</v>
      </c>
      <c r="M885" t="s">
        <v>32</v>
      </c>
    </row>
    <row r="886" spans="1:13" x14ac:dyDescent="0.25">
      <c r="A886">
        <v>885</v>
      </c>
      <c r="B886" t="s">
        <v>3046</v>
      </c>
      <c r="C886" s="2" t="s">
        <v>3047</v>
      </c>
      <c r="D886" s="2">
        <f t="shared" ca="1" si="52"/>
        <v>58</v>
      </c>
      <c r="E886" t="s">
        <v>23</v>
      </c>
      <c r="F886" t="s">
        <v>11</v>
      </c>
      <c r="G886" t="s">
        <v>12</v>
      </c>
      <c r="H886" t="str">
        <f t="shared" si="53"/>
        <v>Caucaia - CE</v>
      </c>
      <c r="I886" s="1" t="s">
        <v>198</v>
      </c>
      <c r="J886" s="3">
        <v>50</v>
      </c>
      <c r="K886" s="4">
        <f t="shared" si="54"/>
        <v>20.28479857195018</v>
      </c>
      <c r="L886" s="1" t="str">
        <f t="shared" si="55"/>
        <v>Peso ideal - parabéns</v>
      </c>
      <c r="M886" t="s">
        <v>95</v>
      </c>
    </row>
    <row r="887" spans="1:13" x14ac:dyDescent="0.25">
      <c r="A887">
        <v>886</v>
      </c>
      <c r="B887" t="s">
        <v>1960</v>
      </c>
      <c r="C887" s="2" t="s">
        <v>1961</v>
      </c>
      <c r="D887" s="2">
        <f t="shared" ca="1" si="52"/>
        <v>34</v>
      </c>
      <c r="E887" t="s">
        <v>23</v>
      </c>
      <c r="F887" t="s">
        <v>1184</v>
      </c>
      <c r="G887" t="s">
        <v>273</v>
      </c>
      <c r="H887" t="str">
        <f t="shared" si="53"/>
        <v>Linhares - ES</v>
      </c>
      <c r="I887" s="1" t="s">
        <v>166</v>
      </c>
      <c r="J887" s="3">
        <v>67</v>
      </c>
      <c r="K887" s="4">
        <f t="shared" si="54"/>
        <v>23.738662131519277</v>
      </c>
      <c r="L887" s="1" t="str">
        <f t="shared" si="55"/>
        <v>Peso ideal - parabéns</v>
      </c>
      <c r="M887" t="s">
        <v>95</v>
      </c>
    </row>
    <row r="888" spans="1:13" x14ac:dyDescent="0.25">
      <c r="A888">
        <v>887</v>
      </c>
      <c r="B888" t="s">
        <v>2360</v>
      </c>
      <c r="C888" s="2" t="s">
        <v>2361</v>
      </c>
      <c r="D888" s="2">
        <f t="shared" ca="1" si="52"/>
        <v>39</v>
      </c>
      <c r="E888" t="s">
        <v>23</v>
      </c>
      <c r="F888" t="s">
        <v>158</v>
      </c>
      <c r="G888" t="s">
        <v>159</v>
      </c>
      <c r="H888" t="str">
        <f t="shared" si="53"/>
        <v>Brasília - DF</v>
      </c>
      <c r="I888" s="1" t="s">
        <v>247</v>
      </c>
      <c r="J888" s="3">
        <v>64</v>
      </c>
      <c r="K888" s="4">
        <f t="shared" si="54"/>
        <v>28.444444444444443</v>
      </c>
      <c r="L888" s="1" t="str">
        <f t="shared" si="55"/>
        <v>Levemente acima do peso</v>
      </c>
      <c r="M888" t="s">
        <v>32</v>
      </c>
    </row>
    <row r="889" spans="1:13" x14ac:dyDescent="0.25">
      <c r="A889">
        <v>888</v>
      </c>
      <c r="B889" t="s">
        <v>2378</v>
      </c>
      <c r="C889" s="2" t="s">
        <v>2363</v>
      </c>
      <c r="D889" s="2">
        <f t="shared" ca="1" si="52"/>
        <v>45</v>
      </c>
      <c r="E889" t="s">
        <v>23</v>
      </c>
      <c r="F889" t="s">
        <v>2131</v>
      </c>
      <c r="G889" t="s">
        <v>186</v>
      </c>
      <c r="H889" t="str">
        <f t="shared" si="53"/>
        <v>Divinópolis - MG</v>
      </c>
      <c r="I889" s="1" t="s">
        <v>123</v>
      </c>
      <c r="J889" s="3">
        <v>67</v>
      </c>
      <c r="K889" s="4">
        <f t="shared" si="54"/>
        <v>21.629648760330578</v>
      </c>
      <c r="L889" s="1" t="str">
        <f t="shared" si="55"/>
        <v>Peso ideal - parabéns</v>
      </c>
      <c r="M889" t="s">
        <v>26</v>
      </c>
    </row>
    <row r="890" spans="1:13" x14ac:dyDescent="0.25">
      <c r="A890">
        <v>889</v>
      </c>
      <c r="B890" t="s">
        <v>3818</v>
      </c>
      <c r="C890" s="2" t="s">
        <v>3819</v>
      </c>
      <c r="D890" s="2">
        <f t="shared" ca="1" si="52"/>
        <v>40</v>
      </c>
      <c r="E890" t="s">
        <v>23</v>
      </c>
      <c r="F890" t="s">
        <v>126</v>
      </c>
      <c r="G890" t="s">
        <v>127</v>
      </c>
      <c r="H890" t="str">
        <f t="shared" si="53"/>
        <v>Boa Vista - RR</v>
      </c>
      <c r="I890" s="1" t="s">
        <v>171</v>
      </c>
      <c r="J890" s="3">
        <v>50</v>
      </c>
      <c r="K890" s="4">
        <f t="shared" si="54"/>
        <v>17.928215425436552</v>
      </c>
      <c r="L890" s="1" t="str">
        <f t="shared" si="55"/>
        <v>Abaixo do peso</v>
      </c>
      <c r="M890" t="s">
        <v>20</v>
      </c>
    </row>
    <row r="891" spans="1:13" x14ac:dyDescent="0.25">
      <c r="A891">
        <v>890</v>
      </c>
      <c r="B891" t="s">
        <v>722</v>
      </c>
      <c r="C891" s="2" t="s">
        <v>723</v>
      </c>
      <c r="D891" s="2">
        <f t="shared" ca="1" si="52"/>
        <v>30</v>
      </c>
      <c r="E891" t="s">
        <v>23</v>
      </c>
      <c r="F891" t="s">
        <v>724</v>
      </c>
      <c r="G891" t="s">
        <v>310</v>
      </c>
      <c r="H891" t="str">
        <f t="shared" si="53"/>
        <v>Pelotas - RS</v>
      </c>
      <c r="I891" s="1" t="s">
        <v>191</v>
      </c>
      <c r="J891" s="3">
        <v>56</v>
      </c>
      <c r="K891" s="4">
        <f t="shared" si="54"/>
        <v>21.874999999999996</v>
      </c>
      <c r="L891" s="1" t="str">
        <f t="shared" si="55"/>
        <v>Peso ideal - parabéns</v>
      </c>
      <c r="M891" t="s">
        <v>76</v>
      </c>
    </row>
    <row r="892" spans="1:13" x14ac:dyDescent="0.25">
      <c r="A892">
        <v>891</v>
      </c>
      <c r="B892" t="s">
        <v>3979</v>
      </c>
      <c r="C892" s="2" t="s">
        <v>3980</v>
      </c>
      <c r="D892" s="2">
        <f t="shared" ca="1" si="52"/>
        <v>45</v>
      </c>
      <c r="E892" t="s">
        <v>23</v>
      </c>
      <c r="F892" t="s">
        <v>158</v>
      </c>
      <c r="G892" t="s">
        <v>159</v>
      </c>
      <c r="H892" t="str">
        <f t="shared" si="53"/>
        <v>Brasília - DF</v>
      </c>
      <c r="I892" s="1" t="s">
        <v>198</v>
      </c>
      <c r="J892" s="3">
        <v>70</v>
      </c>
      <c r="K892" s="4">
        <f t="shared" si="54"/>
        <v>28.398718000730252</v>
      </c>
      <c r="L892" s="1" t="str">
        <f t="shared" si="55"/>
        <v>Levemente acima do peso</v>
      </c>
      <c r="M892" t="s">
        <v>32</v>
      </c>
    </row>
    <row r="893" spans="1:13" x14ac:dyDescent="0.25">
      <c r="A893">
        <v>892</v>
      </c>
      <c r="B893" t="s">
        <v>1116</v>
      </c>
      <c r="C893" s="2" t="s">
        <v>1117</v>
      </c>
      <c r="D893" s="2">
        <f t="shared" ca="1" si="52"/>
        <v>67</v>
      </c>
      <c r="E893" t="s">
        <v>23</v>
      </c>
      <c r="F893" t="s">
        <v>64</v>
      </c>
      <c r="G893" t="s">
        <v>65</v>
      </c>
      <c r="H893" t="str">
        <f t="shared" si="53"/>
        <v>Salvador - BA</v>
      </c>
      <c r="I893" s="1" t="s">
        <v>160</v>
      </c>
      <c r="J893" s="3">
        <v>85</v>
      </c>
      <c r="K893" s="4">
        <f t="shared" si="54"/>
        <v>25.10633270321361</v>
      </c>
      <c r="L893" s="1" t="str">
        <f t="shared" si="55"/>
        <v>Levemente acima do peso</v>
      </c>
      <c r="M893" t="s">
        <v>76</v>
      </c>
    </row>
    <row r="894" spans="1:13" x14ac:dyDescent="0.25">
      <c r="A894">
        <v>893</v>
      </c>
      <c r="B894" t="s">
        <v>3847</v>
      </c>
      <c r="C894" s="2" t="s">
        <v>3113</v>
      </c>
      <c r="D894" s="2">
        <f t="shared" ca="1" si="52"/>
        <v>39</v>
      </c>
      <c r="E894" t="s">
        <v>23</v>
      </c>
      <c r="F894" t="s">
        <v>354</v>
      </c>
      <c r="G894" t="s">
        <v>30</v>
      </c>
      <c r="H894" t="str">
        <f t="shared" si="53"/>
        <v>Porto Velho - RO</v>
      </c>
      <c r="I894" s="1" t="s">
        <v>123</v>
      </c>
      <c r="J894" s="3">
        <v>64</v>
      </c>
      <c r="K894" s="4">
        <f t="shared" si="54"/>
        <v>20.66115702479339</v>
      </c>
      <c r="L894" s="1" t="str">
        <f t="shared" si="55"/>
        <v>Peso ideal - parabéns</v>
      </c>
      <c r="M894" t="s">
        <v>47</v>
      </c>
    </row>
    <row r="895" spans="1:13" x14ac:dyDescent="0.25">
      <c r="A895">
        <v>894</v>
      </c>
      <c r="B895" t="s">
        <v>3124</v>
      </c>
      <c r="C895" s="2" t="s">
        <v>3125</v>
      </c>
      <c r="D895" s="2">
        <f t="shared" ca="1" si="52"/>
        <v>23</v>
      </c>
      <c r="E895" t="s">
        <v>23</v>
      </c>
      <c r="F895" t="s">
        <v>182</v>
      </c>
      <c r="G895" t="s">
        <v>55</v>
      </c>
      <c r="H895" t="str">
        <f t="shared" si="53"/>
        <v>Curitiba - PR</v>
      </c>
      <c r="I895" s="1" t="s">
        <v>281</v>
      </c>
      <c r="J895" s="3">
        <v>59</v>
      </c>
      <c r="K895" s="4">
        <f t="shared" si="54"/>
        <v>22.481329065691202</v>
      </c>
      <c r="L895" s="1" t="str">
        <f t="shared" si="55"/>
        <v>Peso ideal - parabéns</v>
      </c>
      <c r="M895" t="s">
        <v>32</v>
      </c>
    </row>
    <row r="896" spans="1:13" x14ac:dyDescent="0.25">
      <c r="A896">
        <v>895</v>
      </c>
      <c r="B896" t="s">
        <v>848</v>
      </c>
      <c r="C896" s="2" t="s">
        <v>849</v>
      </c>
      <c r="D896" s="2">
        <f t="shared" ca="1" si="52"/>
        <v>24</v>
      </c>
      <c r="E896" t="s">
        <v>23</v>
      </c>
      <c r="F896" t="s">
        <v>135</v>
      </c>
      <c r="G896" t="s">
        <v>75</v>
      </c>
      <c r="H896" t="str">
        <f t="shared" si="53"/>
        <v>Santana - AP</v>
      </c>
      <c r="I896" s="1" t="s">
        <v>205</v>
      </c>
      <c r="J896" s="3">
        <v>75</v>
      </c>
      <c r="K896" s="4">
        <f t="shared" si="54"/>
        <v>32.038959374599514</v>
      </c>
      <c r="L896" s="1" t="str">
        <f t="shared" si="55"/>
        <v>Obesidade grau I</v>
      </c>
      <c r="M896" t="s">
        <v>47</v>
      </c>
    </row>
    <row r="897" spans="1:13" x14ac:dyDescent="0.25">
      <c r="A897">
        <v>896</v>
      </c>
      <c r="B897" t="s">
        <v>1106</v>
      </c>
      <c r="C897" s="2" t="s">
        <v>1107</v>
      </c>
      <c r="D897" s="2">
        <f t="shared" ca="1" si="52"/>
        <v>75</v>
      </c>
      <c r="E897" t="s">
        <v>23</v>
      </c>
      <c r="F897" t="s">
        <v>158</v>
      </c>
      <c r="G897" t="s">
        <v>159</v>
      </c>
      <c r="H897" t="str">
        <f t="shared" si="53"/>
        <v>Brasília - DF</v>
      </c>
      <c r="I897" s="1" t="s">
        <v>447</v>
      </c>
      <c r="J897" s="3">
        <v>69</v>
      </c>
      <c r="K897" s="4">
        <f t="shared" si="54"/>
        <v>22.530612244897959</v>
      </c>
      <c r="L897" s="1" t="str">
        <f t="shared" si="55"/>
        <v>Peso ideal - parabéns</v>
      </c>
      <c r="M897" t="s">
        <v>83</v>
      </c>
    </row>
    <row r="898" spans="1:13" x14ac:dyDescent="0.25">
      <c r="A898">
        <v>897</v>
      </c>
      <c r="B898" t="s">
        <v>1454</v>
      </c>
      <c r="C898" s="2" t="s">
        <v>1455</v>
      </c>
      <c r="D898" s="2">
        <f t="shared" ca="1" si="52"/>
        <v>28</v>
      </c>
      <c r="E898" t="s">
        <v>23</v>
      </c>
      <c r="F898" t="s">
        <v>158</v>
      </c>
      <c r="G898" t="s">
        <v>159</v>
      </c>
      <c r="H898" t="str">
        <f t="shared" si="53"/>
        <v>Brasília - DF</v>
      </c>
      <c r="I898" s="1" t="s">
        <v>205</v>
      </c>
      <c r="J898" s="3">
        <v>49</v>
      </c>
      <c r="K898" s="4">
        <f t="shared" si="54"/>
        <v>20.932120124738347</v>
      </c>
      <c r="L898" s="1" t="str">
        <f t="shared" si="55"/>
        <v>Peso ideal - parabéns</v>
      </c>
      <c r="M898" t="s">
        <v>95</v>
      </c>
    </row>
    <row r="899" spans="1:13" x14ac:dyDescent="0.25">
      <c r="A899">
        <v>898</v>
      </c>
      <c r="B899" t="s">
        <v>499</v>
      </c>
      <c r="C899" s="2" t="s">
        <v>500</v>
      </c>
      <c r="D899" s="2">
        <f t="shared" ref="D899:D962" ca="1" si="56">YEAR(TODAY())-YEAR(C899)</f>
        <v>50</v>
      </c>
      <c r="E899" t="s">
        <v>23</v>
      </c>
      <c r="F899" t="s">
        <v>189</v>
      </c>
      <c r="G899" t="s">
        <v>190</v>
      </c>
      <c r="H899" t="str">
        <f t="shared" ref="H899:H962" si="57">CONCATENATE(F899," - ",G899)</f>
        <v>Cuiabá - MT</v>
      </c>
      <c r="I899" s="1" t="s">
        <v>71</v>
      </c>
      <c r="J899" s="3">
        <v>65</v>
      </c>
      <c r="K899" s="4">
        <f t="shared" ref="K899:K962" si="58">J899/(I899*I899)</f>
        <v>19.409358296754156</v>
      </c>
      <c r="L899" s="1" t="str">
        <f t="shared" ref="L899:L962" si="59">IF(K899&gt;=40,"Obesidade grau III - mórbida",
IF(K899&gt;=35,"Obesidade grau II - severa",
IF(K899&gt;=30,"Obesidade grau I",
IF(K899&gt;=25,"Levemente acima do peso",
IF(K899&gt;=18.6,"Peso ideal - parabéns",
IF(K899&gt;=17,"Abaixo do peso",
"Muito abaixo do peso"))))))</f>
        <v>Peso ideal - parabéns</v>
      </c>
      <c r="M899" t="s">
        <v>83</v>
      </c>
    </row>
    <row r="900" spans="1:13" x14ac:dyDescent="0.25">
      <c r="A900">
        <v>899</v>
      </c>
      <c r="B900" t="s">
        <v>3747</v>
      </c>
      <c r="C900" s="2" t="s">
        <v>3748</v>
      </c>
      <c r="D900" s="2">
        <f t="shared" ca="1" si="56"/>
        <v>70</v>
      </c>
      <c r="E900" t="s">
        <v>23</v>
      </c>
      <c r="F900" t="s">
        <v>354</v>
      </c>
      <c r="G900" t="s">
        <v>30</v>
      </c>
      <c r="H900" t="str">
        <f t="shared" si="57"/>
        <v>Porto Velho - RO</v>
      </c>
      <c r="I900" s="1" t="s">
        <v>113</v>
      </c>
      <c r="J900" s="3">
        <v>55</v>
      </c>
      <c r="K900" s="4">
        <f t="shared" si="58"/>
        <v>20.700816741315069</v>
      </c>
      <c r="L900" s="1" t="str">
        <f t="shared" si="59"/>
        <v>Peso ideal - parabéns</v>
      </c>
      <c r="M900" t="s">
        <v>95</v>
      </c>
    </row>
    <row r="901" spans="1:13" x14ac:dyDescent="0.25">
      <c r="A901">
        <v>900</v>
      </c>
      <c r="B901" t="s">
        <v>3311</v>
      </c>
      <c r="C901" s="2" t="s">
        <v>3312</v>
      </c>
      <c r="D901" s="2">
        <f t="shared" ca="1" si="56"/>
        <v>36</v>
      </c>
      <c r="E901" t="s">
        <v>23</v>
      </c>
      <c r="F901" t="s">
        <v>74</v>
      </c>
      <c r="G901" t="s">
        <v>75</v>
      </c>
      <c r="H901" t="str">
        <f t="shared" si="57"/>
        <v>Macapá - AP</v>
      </c>
      <c r="I901" s="1" t="s">
        <v>213</v>
      </c>
      <c r="J901" s="3">
        <v>45</v>
      </c>
      <c r="K901" s="4">
        <f t="shared" si="58"/>
        <v>19.477146814404431</v>
      </c>
      <c r="L901" s="1" t="str">
        <f t="shared" si="59"/>
        <v>Peso ideal - parabéns</v>
      </c>
      <c r="M901" t="s">
        <v>83</v>
      </c>
    </row>
    <row r="902" spans="1:13" x14ac:dyDescent="0.25">
      <c r="A902">
        <v>901</v>
      </c>
      <c r="B902" t="s">
        <v>4037</v>
      </c>
      <c r="C902" s="2" t="s">
        <v>4038</v>
      </c>
      <c r="D902" s="2">
        <f t="shared" ca="1" si="56"/>
        <v>76</v>
      </c>
      <c r="E902" t="s">
        <v>23</v>
      </c>
      <c r="F902" t="s">
        <v>244</v>
      </c>
      <c r="G902" t="s">
        <v>60</v>
      </c>
      <c r="H902" t="str">
        <f t="shared" si="57"/>
        <v>Araguaína - TO</v>
      </c>
      <c r="I902" s="1" t="s">
        <v>94</v>
      </c>
      <c r="J902" s="3">
        <v>55</v>
      </c>
      <c r="K902" s="4">
        <f t="shared" si="58"/>
        <v>18.376825152861773</v>
      </c>
      <c r="L902" s="1" t="str">
        <f t="shared" si="59"/>
        <v>Abaixo do peso</v>
      </c>
      <c r="M902" t="s">
        <v>20</v>
      </c>
    </row>
    <row r="903" spans="1:13" x14ac:dyDescent="0.25">
      <c r="A903">
        <v>902</v>
      </c>
      <c r="B903" t="s">
        <v>819</v>
      </c>
      <c r="C903" s="2" t="s">
        <v>820</v>
      </c>
      <c r="D903" s="2">
        <f t="shared" ca="1" si="56"/>
        <v>35</v>
      </c>
      <c r="E903" t="s">
        <v>23</v>
      </c>
      <c r="F903" t="s">
        <v>126</v>
      </c>
      <c r="G903" t="s">
        <v>127</v>
      </c>
      <c r="H903" t="str">
        <f t="shared" si="57"/>
        <v>Boa Vista - RR</v>
      </c>
      <c r="I903" s="1" t="s">
        <v>31</v>
      </c>
      <c r="J903" s="3">
        <v>54</v>
      </c>
      <c r="K903" s="4">
        <f t="shared" si="58"/>
        <v>20.077334919690664</v>
      </c>
      <c r="L903" s="1" t="str">
        <f t="shared" si="59"/>
        <v>Peso ideal - parabéns</v>
      </c>
      <c r="M903" t="s">
        <v>26</v>
      </c>
    </row>
    <row r="904" spans="1:13" x14ac:dyDescent="0.25">
      <c r="A904">
        <v>903</v>
      </c>
      <c r="B904" t="s">
        <v>2717</v>
      </c>
      <c r="C904" s="2" t="s">
        <v>2718</v>
      </c>
      <c r="D904" s="2">
        <f t="shared" ca="1" si="56"/>
        <v>50</v>
      </c>
      <c r="E904" t="s">
        <v>23</v>
      </c>
      <c r="F904" t="s">
        <v>197</v>
      </c>
      <c r="G904" t="s">
        <v>46</v>
      </c>
      <c r="H904" t="str">
        <f t="shared" si="57"/>
        <v>Anápolis - GO</v>
      </c>
      <c r="I904" s="1" t="s">
        <v>155</v>
      </c>
      <c r="J904" s="3">
        <v>73</v>
      </c>
      <c r="K904" s="4">
        <f t="shared" si="58"/>
        <v>22.03840115928028</v>
      </c>
      <c r="L904" s="1" t="str">
        <f t="shared" si="59"/>
        <v>Peso ideal - parabéns</v>
      </c>
      <c r="M904" t="s">
        <v>32</v>
      </c>
    </row>
    <row r="905" spans="1:13" x14ac:dyDescent="0.25">
      <c r="A905">
        <v>904</v>
      </c>
      <c r="B905" t="s">
        <v>3004</v>
      </c>
      <c r="C905" s="2" t="s">
        <v>3005</v>
      </c>
      <c r="D905" s="2">
        <f t="shared" ca="1" si="56"/>
        <v>61</v>
      </c>
      <c r="E905" t="s">
        <v>23</v>
      </c>
      <c r="F905" t="s">
        <v>736</v>
      </c>
      <c r="G905" t="s">
        <v>190</v>
      </c>
      <c r="H905" t="str">
        <f t="shared" si="57"/>
        <v>Sinop - MT</v>
      </c>
      <c r="I905" s="1" t="s">
        <v>155</v>
      </c>
      <c r="J905" s="3">
        <v>65</v>
      </c>
      <c r="K905" s="4">
        <f t="shared" si="58"/>
        <v>19.623233908948194</v>
      </c>
      <c r="L905" s="1" t="str">
        <f t="shared" si="59"/>
        <v>Peso ideal - parabéns</v>
      </c>
      <c r="M905" t="s">
        <v>83</v>
      </c>
    </row>
    <row r="906" spans="1:13" x14ac:dyDescent="0.25">
      <c r="A906">
        <v>905</v>
      </c>
      <c r="B906" t="s">
        <v>1005</v>
      </c>
      <c r="C906" s="2" t="s">
        <v>1006</v>
      </c>
      <c r="D906" s="2">
        <f t="shared" ca="1" si="56"/>
        <v>40</v>
      </c>
      <c r="E906" t="s">
        <v>23</v>
      </c>
      <c r="F906" t="s">
        <v>454</v>
      </c>
      <c r="G906" t="s">
        <v>60</v>
      </c>
      <c r="H906" t="str">
        <f t="shared" si="57"/>
        <v>Gurupi - TO</v>
      </c>
      <c r="I906" s="1" t="s">
        <v>213</v>
      </c>
      <c r="J906" s="3">
        <v>72</v>
      </c>
      <c r="K906" s="4">
        <f t="shared" si="58"/>
        <v>31.16343490304709</v>
      </c>
      <c r="L906" s="1" t="str">
        <f t="shared" si="59"/>
        <v>Obesidade grau I</v>
      </c>
      <c r="M906" t="s">
        <v>83</v>
      </c>
    </row>
    <row r="907" spans="1:13" x14ac:dyDescent="0.25">
      <c r="A907">
        <v>906</v>
      </c>
      <c r="B907" t="s">
        <v>3691</v>
      </c>
      <c r="C907" s="2" t="s">
        <v>3692</v>
      </c>
      <c r="D907" s="2">
        <f t="shared" ca="1" si="56"/>
        <v>70</v>
      </c>
      <c r="E907" t="s">
        <v>23</v>
      </c>
      <c r="F907" t="s">
        <v>3693</v>
      </c>
      <c r="G907" t="s">
        <v>186</v>
      </c>
      <c r="H907" t="str">
        <f t="shared" si="57"/>
        <v>Nova Serrana - MG</v>
      </c>
      <c r="I907" s="1" t="s">
        <v>582</v>
      </c>
      <c r="J907" s="3">
        <v>56</v>
      </c>
      <c r="K907" s="4">
        <f t="shared" si="58"/>
        <v>23.011176857330703</v>
      </c>
      <c r="L907" s="1" t="str">
        <f t="shared" si="59"/>
        <v>Peso ideal - parabéns</v>
      </c>
      <c r="M907" t="s">
        <v>14</v>
      </c>
    </row>
    <row r="908" spans="1:13" x14ac:dyDescent="0.25">
      <c r="A908">
        <v>907</v>
      </c>
      <c r="B908" t="s">
        <v>2166</v>
      </c>
      <c r="C908" s="2" t="s">
        <v>2167</v>
      </c>
      <c r="D908" s="2">
        <f t="shared" ca="1" si="56"/>
        <v>58</v>
      </c>
      <c r="E908" t="s">
        <v>23</v>
      </c>
      <c r="F908" t="s">
        <v>1570</v>
      </c>
      <c r="G908" t="s">
        <v>51</v>
      </c>
      <c r="H908" t="str">
        <f t="shared" si="57"/>
        <v>Macaé - RJ</v>
      </c>
      <c r="I908" s="1" t="s">
        <v>117</v>
      </c>
      <c r="J908" s="3">
        <v>56</v>
      </c>
      <c r="K908" s="4">
        <f t="shared" si="58"/>
        <v>17.674536043428859</v>
      </c>
      <c r="L908" s="1" t="str">
        <f t="shared" si="59"/>
        <v>Abaixo do peso</v>
      </c>
      <c r="M908" t="s">
        <v>32</v>
      </c>
    </row>
    <row r="909" spans="1:13" x14ac:dyDescent="0.25">
      <c r="A909">
        <v>908</v>
      </c>
      <c r="B909" t="s">
        <v>4000</v>
      </c>
      <c r="C909" s="2" t="s">
        <v>4001</v>
      </c>
      <c r="D909" s="2">
        <f t="shared" ca="1" si="56"/>
        <v>54</v>
      </c>
      <c r="E909" t="s">
        <v>23</v>
      </c>
      <c r="F909" t="s">
        <v>236</v>
      </c>
      <c r="G909" t="s">
        <v>237</v>
      </c>
      <c r="H909" t="str">
        <f t="shared" si="57"/>
        <v>Teresina - PI</v>
      </c>
      <c r="I909" s="1" t="s">
        <v>209</v>
      </c>
      <c r="J909" s="3">
        <v>47</v>
      </c>
      <c r="K909" s="4">
        <f t="shared" si="58"/>
        <v>19.817844493169169</v>
      </c>
      <c r="L909" s="1" t="str">
        <f t="shared" si="59"/>
        <v>Peso ideal - parabéns</v>
      </c>
      <c r="M909" t="s">
        <v>20</v>
      </c>
    </row>
    <row r="910" spans="1:13" x14ac:dyDescent="0.25">
      <c r="A910">
        <v>909</v>
      </c>
      <c r="B910" t="s">
        <v>2100</v>
      </c>
      <c r="C910" s="2" t="s">
        <v>2101</v>
      </c>
      <c r="D910" s="2">
        <f t="shared" ca="1" si="56"/>
        <v>40</v>
      </c>
      <c r="E910" t="s">
        <v>23</v>
      </c>
      <c r="F910" t="s">
        <v>158</v>
      </c>
      <c r="G910" t="s">
        <v>159</v>
      </c>
      <c r="H910" t="str">
        <f t="shared" si="57"/>
        <v>Brasília - DF</v>
      </c>
      <c r="I910" s="1" t="s">
        <v>104</v>
      </c>
      <c r="J910" s="3">
        <v>55</v>
      </c>
      <c r="K910" s="4">
        <f t="shared" si="58"/>
        <v>19.031141868512112</v>
      </c>
      <c r="L910" s="1" t="str">
        <f t="shared" si="59"/>
        <v>Peso ideal - parabéns</v>
      </c>
      <c r="M910" t="s">
        <v>83</v>
      </c>
    </row>
    <row r="911" spans="1:13" x14ac:dyDescent="0.25">
      <c r="A911">
        <v>910</v>
      </c>
      <c r="B911" t="s">
        <v>2366</v>
      </c>
      <c r="C911" s="2" t="s">
        <v>2367</v>
      </c>
      <c r="D911" s="2">
        <f t="shared" ca="1" si="56"/>
        <v>25</v>
      </c>
      <c r="E911" t="s">
        <v>23</v>
      </c>
      <c r="F911" t="s">
        <v>564</v>
      </c>
      <c r="G911" t="s">
        <v>565</v>
      </c>
      <c r="H911" t="str">
        <f t="shared" si="57"/>
        <v>Rio Branco - AC</v>
      </c>
      <c r="I911" s="1" t="s">
        <v>113</v>
      </c>
      <c r="J911" s="3">
        <v>72</v>
      </c>
      <c r="K911" s="4">
        <f t="shared" si="58"/>
        <v>27.099251006812452</v>
      </c>
      <c r="L911" s="1" t="str">
        <f t="shared" si="59"/>
        <v>Levemente acima do peso</v>
      </c>
      <c r="M911" t="s">
        <v>32</v>
      </c>
    </row>
    <row r="912" spans="1:13" x14ac:dyDescent="0.25">
      <c r="A912">
        <v>911</v>
      </c>
      <c r="B912" t="s">
        <v>1112</v>
      </c>
      <c r="C912" s="2" t="s">
        <v>1113</v>
      </c>
      <c r="D912" s="2">
        <f t="shared" ca="1" si="56"/>
        <v>76</v>
      </c>
      <c r="E912" t="s">
        <v>23</v>
      </c>
      <c r="F912" t="s">
        <v>241</v>
      </c>
      <c r="G912" t="s">
        <v>190</v>
      </c>
      <c r="H912" t="str">
        <f t="shared" si="57"/>
        <v>Várzea Grande - MT</v>
      </c>
      <c r="I912" s="1" t="s">
        <v>94</v>
      </c>
      <c r="J912" s="3">
        <v>54</v>
      </c>
      <c r="K912" s="4">
        <f t="shared" si="58"/>
        <v>18.042701059173375</v>
      </c>
      <c r="L912" s="1" t="str">
        <f t="shared" si="59"/>
        <v>Abaixo do peso</v>
      </c>
      <c r="M912" t="s">
        <v>14</v>
      </c>
    </row>
    <row r="913" spans="1:13" x14ac:dyDescent="0.25">
      <c r="A913">
        <v>912</v>
      </c>
      <c r="B913" t="s">
        <v>1947</v>
      </c>
      <c r="C913" s="2" t="s">
        <v>1948</v>
      </c>
      <c r="D913" s="2">
        <f t="shared" ca="1" si="56"/>
        <v>54</v>
      </c>
      <c r="E913" t="s">
        <v>23</v>
      </c>
      <c r="F913" t="s">
        <v>40</v>
      </c>
      <c r="G913" t="s">
        <v>41</v>
      </c>
      <c r="H913" t="str">
        <f t="shared" si="57"/>
        <v>Campina Grande - PB</v>
      </c>
      <c r="I913" s="1" t="s">
        <v>400</v>
      </c>
      <c r="J913" s="3">
        <v>82</v>
      </c>
      <c r="K913" s="4">
        <f t="shared" si="58"/>
        <v>25.308641975308639</v>
      </c>
      <c r="L913" s="1" t="str">
        <f t="shared" si="59"/>
        <v>Levemente acima do peso</v>
      </c>
      <c r="M913" t="s">
        <v>20</v>
      </c>
    </row>
    <row r="914" spans="1:13" x14ac:dyDescent="0.25">
      <c r="A914">
        <v>913</v>
      </c>
      <c r="B914" t="s">
        <v>1958</v>
      </c>
      <c r="C914" s="2" t="s">
        <v>1959</v>
      </c>
      <c r="D914" s="2">
        <f t="shared" ca="1" si="56"/>
        <v>72</v>
      </c>
      <c r="E914" t="s">
        <v>23</v>
      </c>
      <c r="F914" t="s">
        <v>35</v>
      </c>
      <c r="G914" t="s">
        <v>36</v>
      </c>
      <c r="H914" t="str">
        <f t="shared" si="57"/>
        <v>Timon - MA</v>
      </c>
      <c r="I914" s="1" t="s">
        <v>123</v>
      </c>
      <c r="J914" s="3">
        <v>76</v>
      </c>
      <c r="K914" s="4">
        <f t="shared" si="58"/>
        <v>24.535123966942148</v>
      </c>
      <c r="L914" s="1" t="str">
        <f t="shared" si="59"/>
        <v>Peso ideal - parabéns</v>
      </c>
      <c r="M914" t="s">
        <v>26</v>
      </c>
    </row>
    <row r="915" spans="1:13" x14ac:dyDescent="0.25">
      <c r="A915">
        <v>914</v>
      </c>
      <c r="B915" t="s">
        <v>1172</v>
      </c>
      <c r="C915" s="2" t="s">
        <v>1173</v>
      </c>
      <c r="D915" s="2">
        <f t="shared" ca="1" si="56"/>
        <v>46</v>
      </c>
      <c r="E915" t="s">
        <v>23</v>
      </c>
      <c r="F915" t="s">
        <v>1105</v>
      </c>
      <c r="G915" t="s">
        <v>310</v>
      </c>
      <c r="H915" t="str">
        <f t="shared" si="57"/>
        <v>Novo Hamburgo - RS</v>
      </c>
      <c r="I915" s="1" t="s">
        <v>281</v>
      </c>
      <c r="J915" s="3">
        <v>82</v>
      </c>
      <c r="K915" s="4">
        <f t="shared" si="58"/>
        <v>31.245237006553872</v>
      </c>
      <c r="L915" s="1" t="str">
        <f t="shared" si="59"/>
        <v>Obesidade grau I</v>
      </c>
      <c r="M915" t="s">
        <v>26</v>
      </c>
    </row>
    <row r="916" spans="1:13" x14ac:dyDescent="0.25">
      <c r="A916">
        <v>915</v>
      </c>
      <c r="B916" t="s">
        <v>245</v>
      </c>
      <c r="C916" s="2" t="s">
        <v>246</v>
      </c>
      <c r="D916" s="2">
        <f t="shared" ca="1" si="56"/>
        <v>65</v>
      </c>
      <c r="E916" t="s">
        <v>23</v>
      </c>
      <c r="F916" t="s">
        <v>59</v>
      </c>
      <c r="G916" t="s">
        <v>60</v>
      </c>
      <c r="H916" t="str">
        <f t="shared" si="57"/>
        <v>Palmas - TO</v>
      </c>
      <c r="I916" s="1" t="s">
        <v>247</v>
      </c>
      <c r="J916" s="3">
        <v>45</v>
      </c>
      <c r="K916" s="4">
        <f t="shared" si="58"/>
        <v>20</v>
      </c>
      <c r="L916" s="1" t="str">
        <f t="shared" si="59"/>
        <v>Peso ideal - parabéns</v>
      </c>
      <c r="M916" t="s">
        <v>83</v>
      </c>
    </row>
    <row r="917" spans="1:13" x14ac:dyDescent="0.25">
      <c r="A917">
        <v>916</v>
      </c>
      <c r="B917" t="s">
        <v>3858</v>
      </c>
      <c r="C917" s="2" t="s">
        <v>2841</v>
      </c>
      <c r="D917" s="2">
        <f t="shared" ca="1" si="56"/>
        <v>38</v>
      </c>
      <c r="E917" t="s">
        <v>23</v>
      </c>
      <c r="F917" t="s">
        <v>45</v>
      </c>
      <c r="G917" t="s">
        <v>46</v>
      </c>
      <c r="H917" t="str">
        <f t="shared" si="57"/>
        <v>Goiânia - GO</v>
      </c>
      <c r="I917" s="1" t="s">
        <v>191</v>
      </c>
      <c r="J917" s="3">
        <v>66</v>
      </c>
      <c r="K917" s="4">
        <f t="shared" si="58"/>
        <v>25.781249999999996</v>
      </c>
      <c r="L917" s="1" t="str">
        <f t="shared" si="59"/>
        <v>Levemente acima do peso</v>
      </c>
      <c r="M917" t="s">
        <v>83</v>
      </c>
    </row>
    <row r="918" spans="1:13" x14ac:dyDescent="0.25">
      <c r="A918">
        <v>917</v>
      </c>
      <c r="B918" t="s">
        <v>2886</v>
      </c>
      <c r="C918" s="2" t="s">
        <v>2887</v>
      </c>
      <c r="D918" s="2">
        <f t="shared" ca="1" si="56"/>
        <v>33</v>
      </c>
      <c r="E918" t="s">
        <v>23</v>
      </c>
      <c r="F918" t="s">
        <v>559</v>
      </c>
      <c r="G918" t="s">
        <v>175</v>
      </c>
      <c r="H918" t="str">
        <f t="shared" si="57"/>
        <v>Caruaru - PE</v>
      </c>
      <c r="I918" s="1" t="s">
        <v>155</v>
      </c>
      <c r="J918" s="3">
        <v>78</v>
      </c>
      <c r="K918" s="4">
        <f t="shared" si="58"/>
        <v>23.547880690737831</v>
      </c>
      <c r="L918" s="1" t="str">
        <f t="shared" si="59"/>
        <v>Peso ideal - parabéns</v>
      </c>
      <c r="M918" t="s">
        <v>26</v>
      </c>
    </row>
    <row r="919" spans="1:13" x14ac:dyDescent="0.25">
      <c r="A919">
        <v>918</v>
      </c>
      <c r="B919" t="s">
        <v>2090</v>
      </c>
      <c r="C919" s="2" t="s">
        <v>2091</v>
      </c>
      <c r="D919" s="2">
        <f t="shared" ca="1" si="56"/>
        <v>80</v>
      </c>
      <c r="E919" t="s">
        <v>23</v>
      </c>
      <c r="F919" t="s">
        <v>1880</v>
      </c>
      <c r="G919" t="s">
        <v>18</v>
      </c>
      <c r="H919" t="str">
        <f t="shared" si="57"/>
        <v>Dourados - MS</v>
      </c>
      <c r="I919" s="1" t="s">
        <v>194</v>
      </c>
      <c r="J919" s="3">
        <v>59</v>
      </c>
      <c r="K919" s="4">
        <f t="shared" si="58"/>
        <v>17.238860482103725</v>
      </c>
      <c r="L919" s="1" t="str">
        <f t="shared" si="59"/>
        <v>Abaixo do peso</v>
      </c>
      <c r="M919" t="s">
        <v>32</v>
      </c>
    </row>
    <row r="920" spans="1:13" x14ac:dyDescent="0.25">
      <c r="A920">
        <v>919</v>
      </c>
      <c r="B920" t="s">
        <v>1069</v>
      </c>
      <c r="C920" s="2" t="s">
        <v>1070</v>
      </c>
      <c r="D920" s="2">
        <f t="shared" ca="1" si="56"/>
        <v>37</v>
      </c>
      <c r="E920" t="s">
        <v>23</v>
      </c>
      <c r="F920" t="s">
        <v>59</v>
      </c>
      <c r="G920" t="s">
        <v>60</v>
      </c>
      <c r="H920" t="str">
        <f t="shared" si="57"/>
        <v>Palmas - TO</v>
      </c>
      <c r="I920" s="1" t="s">
        <v>104</v>
      </c>
      <c r="J920" s="3">
        <v>73</v>
      </c>
      <c r="K920" s="4">
        <f t="shared" si="58"/>
        <v>25.259515570934258</v>
      </c>
      <c r="L920" s="1" t="str">
        <f t="shared" si="59"/>
        <v>Levemente acima do peso</v>
      </c>
      <c r="M920" t="s">
        <v>76</v>
      </c>
    </row>
    <row r="921" spans="1:13" x14ac:dyDescent="0.25">
      <c r="A921">
        <v>920</v>
      </c>
      <c r="B921" t="s">
        <v>1859</v>
      </c>
      <c r="C921" s="2" t="s">
        <v>1860</v>
      </c>
      <c r="D921" s="2">
        <f t="shared" ca="1" si="56"/>
        <v>78</v>
      </c>
      <c r="E921" t="s">
        <v>23</v>
      </c>
      <c r="F921" t="s">
        <v>395</v>
      </c>
      <c r="G921" t="s">
        <v>36</v>
      </c>
      <c r="H921" t="str">
        <f t="shared" si="57"/>
        <v>Imperatriz - MA</v>
      </c>
      <c r="I921" s="1" t="s">
        <v>209</v>
      </c>
      <c r="J921" s="3">
        <v>50</v>
      </c>
      <c r="K921" s="4">
        <f t="shared" si="58"/>
        <v>21.0828132906055</v>
      </c>
      <c r="L921" s="1" t="str">
        <f t="shared" si="59"/>
        <v>Peso ideal - parabéns</v>
      </c>
      <c r="M921" t="s">
        <v>47</v>
      </c>
    </row>
    <row r="922" spans="1:13" x14ac:dyDescent="0.25">
      <c r="A922">
        <v>921</v>
      </c>
      <c r="B922" t="s">
        <v>1371</v>
      </c>
      <c r="C922" s="2" t="s">
        <v>1372</v>
      </c>
      <c r="D922" s="2">
        <f t="shared" ca="1" si="56"/>
        <v>47</v>
      </c>
      <c r="E922" t="s">
        <v>23</v>
      </c>
      <c r="F922" t="s">
        <v>189</v>
      </c>
      <c r="G922" t="s">
        <v>190</v>
      </c>
      <c r="H922" t="str">
        <f t="shared" si="57"/>
        <v>Cuiabá - MT</v>
      </c>
      <c r="I922" s="1" t="s">
        <v>56</v>
      </c>
      <c r="J922" s="3">
        <v>68</v>
      </c>
      <c r="K922" s="4">
        <f t="shared" si="58"/>
        <v>23.808690171912751</v>
      </c>
      <c r="L922" s="1" t="str">
        <f t="shared" si="59"/>
        <v>Peso ideal - parabéns</v>
      </c>
      <c r="M922" t="s">
        <v>14</v>
      </c>
    </row>
    <row r="923" spans="1:13" x14ac:dyDescent="0.25">
      <c r="A923">
        <v>922</v>
      </c>
      <c r="B923" t="s">
        <v>2355</v>
      </c>
      <c r="C923" s="2" t="s">
        <v>2356</v>
      </c>
      <c r="D923" s="2">
        <f t="shared" ca="1" si="56"/>
        <v>48</v>
      </c>
      <c r="E923" t="s">
        <v>23</v>
      </c>
      <c r="F923" t="s">
        <v>69</v>
      </c>
      <c r="G923" t="s">
        <v>70</v>
      </c>
      <c r="H923" t="str">
        <f t="shared" si="57"/>
        <v>Aracaju - SE</v>
      </c>
      <c r="I923" s="1" t="s">
        <v>194</v>
      </c>
      <c r="J923" s="3">
        <v>81</v>
      </c>
      <c r="K923" s="4">
        <f t="shared" si="58"/>
        <v>23.666910153396639</v>
      </c>
      <c r="L923" s="1" t="str">
        <f t="shared" si="59"/>
        <v>Peso ideal - parabéns</v>
      </c>
      <c r="M923" t="s">
        <v>26</v>
      </c>
    </row>
    <row r="924" spans="1:13" x14ac:dyDescent="0.25">
      <c r="A924">
        <v>923</v>
      </c>
      <c r="B924" t="s">
        <v>3334</v>
      </c>
      <c r="C924" s="2" t="s">
        <v>3335</v>
      </c>
      <c r="D924" s="2">
        <f t="shared" ca="1" si="56"/>
        <v>64</v>
      </c>
      <c r="E924" t="s">
        <v>23</v>
      </c>
      <c r="F924" t="s">
        <v>267</v>
      </c>
      <c r="G924" t="s">
        <v>103</v>
      </c>
      <c r="H924" t="str">
        <f t="shared" si="57"/>
        <v>São Paulo - SP</v>
      </c>
      <c r="I924" s="1" t="s">
        <v>416</v>
      </c>
      <c r="J924" s="3">
        <v>51</v>
      </c>
      <c r="K924" s="4">
        <f t="shared" si="58"/>
        <v>19.675166853130666</v>
      </c>
      <c r="L924" s="1" t="str">
        <f t="shared" si="59"/>
        <v>Peso ideal - parabéns</v>
      </c>
      <c r="M924" t="s">
        <v>76</v>
      </c>
    </row>
    <row r="925" spans="1:13" x14ac:dyDescent="0.25">
      <c r="A925">
        <v>924</v>
      </c>
      <c r="B925" t="s">
        <v>3114</v>
      </c>
      <c r="C925" s="2" t="s">
        <v>3039</v>
      </c>
      <c r="D925" s="2">
        <f t="shared" ca="1" si="56"/>
        <v>79</v>
      </c>
      <c r="E925" t="s">
        <v>23</v>
      </c>
      <c r="F925" t="s">
        <v>244</v>
      </c>
      <c r="G925" t="s">
        <v>60</v>
      </c>
      <c r="H925" t="str">
        <f t="shared" si="57"/>
        <v>Araguaína - TO</v>
      </c>
      <c r="I925" s="1" t="s">
        <v>56</v>
      </c>
      <c r="J925" s="3">
        <v>68</v>
      </c>
      <c r="K925" s="4">
        <f t="shared" si="58"/>
        <v>23.808690171912751</v>
      </c>
      <c r="L925" s="1" t="str">
        <f t="shared" si="59"/>
        <v>Peso ideal - parabéns</v>
      </c>
      <c r="M925" t="s">
        <v>20</v>
      </c>
    </row>
    <row r="926" spans="1:13" x14ac:dyDescent="0.25">
      <c r="A926">
        <v>925</v>
      </c>
      <c r="B926" t="s">
        <v>3786</v>
      </c>
      <c r="C926" s="2" t="s">
        <v>3379</v>
      </c>
      <c r="D926" s="2">
        <f t="shared" ca="1" si="56"/>
        <v>42</v>
      </c>
      <c r="E926" t="s">
        <v>23</v>
      </c>
      <c r="F926" t="s">
        <v>280</v>
      </c>
      <c r="G926" t="s">
        <v>175</v>
      </c>
      <c r="H926" t="str">
        <f t="shared" si="57"/>
        <v>Recife - PE</v>
      </c>
      <c r="I926" s="1" t="s">
        <v>123</v>
      </c>
      <c r="J926" s="3">
        <v>77</v>
      </c>
      <c r="K926" s="4">
        <f t="shared" si="58"/>
        <v>24.857954545454547</v>
      </c>
      <c r="L926" s="1" t="str">
        <f t="shared" si="59"/>
        <v>Peso ideal - parabéns</v>
      </c>
      <c r="M926" t="s">
        <v>47</v>
      </c>
    </row>
    <row r="927" spans="1:13" x14ac:dyDescent="0.25">
      <c r="A927">
        <v>926</v>
      </c>
      <c r="B927" t="s">
        <v>3786</v>
      </c>
      <c r="C927" s="2" t="s">
        <v>3379</v>
      </c>
      <c r="D927" s="2">
        <f t="shared" ca="1" si="56"/>
        <v>42</v>
      </c>
      <c r="E927" t="s">
        <v>23</v>
      </c>
      <c r="F927" t="s">
        <v>280</v>
      </c>
      <c r="G927" t="s">
        <v>175</v>
      </c>
      <c r="H927" t="str">
        <f t="shared" si="57"/>
        <v>Recife - PE</v>
      </c>
      <c r="I927" s="1" t="s">
        <v>123</v>
      </c>
      <c r="J927" s="3">
        <v>77</v>
      </c>
      <c r="K927" s="4">
        <f t="shared" si="58"/>
        <v>24.857954545454547</v>
      </c>
      <c r="L927" s="1" t="str">
        <f t="shared" si="59"/>
        <v>Peso ideal - parabéns</v>
      </c>
      <c r="M927" t="s">
        <v>47</v>
      </c>
    </row>
    <row r="928" spans="1:13" x14ac:dyDescent="0.25">
      <c r="A928">
        <v>927</v>
      </c>
      <c r="B928" t="s">
        <v>3894</v>
      </c>
      <c r="C928" s="2" t="s">
        <v>3895</v>
      </c>
      <c r="D928" s="2">
        <f t="shared" ca="1" si="56"/>
        <v>78</v>
      </c>
      <c r="E928" t="s">
        <v>23</v>
      </c>
      <c r="F928" t="s">
        <v>3896</v>
      </c>
      <c r="G928" t="s">
        <v>103</v>
      </c>
      <c r="H928" t="str">
        <f t="shared" si="57"/>
        <v>Caieiras - SP</v>
      </c>
      <c r="I928" s="1" t="s">
        <v>416</v>
      </c>
      <c r="J928" s="3">
        <v>48</v>
      </c>
      <c r="K928" s="4">
        <f t="shared" si="58"/>
        <v>18.517804097064154</v>
      </c>
      <c r="L928" s="1" t="str">
        <f t="shared" si="59"/>
        <v>Abaixo do peso</v>
      </c>
      <c r="M928" t="s">
        <v>95</v>
      </c>
    </row>
    <row r="929" spans="1:13" x14ac:dyDescent="0.25">
      <c r="A929">
        <v>928</v>
      </c>
      <c r="B929" t="s">
        <v>2561</v>
      </c>
      <c r="C929" s="2" t="s">
        <v>2562</v>
      </c>
      <c r="D929" s="2">
        <f t="shared" ca="1" si="56"/>
        <v>79</v>
      </c>
      <c r="E929" t="s">
        <v>23</v>
      </c>
      <c r="F929" t="s">
        <v>138</v>
      </c>
      <c r="G929" t="s">
        <v>46</v>
      </c>
      <c r="H929" t="str">
        <f t="shared" si="57"/>
        <v>Aparecida de Goiânia - GO</v>
      </c>
      <c r="I929" s="1" t="s">
        <v>416</v>
      </c>
      <c r="J929" s="3">
        <v>60</v>
      </c>
      <c r="K929" s="4">
        <f t="shared" si="58"/>
        <v>23.147255121330193</v>
      </c>
      <c r="L929" s="1" t="str">
        <f t="shared" si="59"/>
        <v>Peso ideal - parabéns</v>
      </c>
      <c r="M929" t="s">
        <v>83</v>
      </c>
    </row>
    <row r="930" spans="1:13" x14ac:dyDescent="0.25">
      <c r="A930">
        <v>929</v>
      </c>
      <c r="B930" t="s">
        <v>1902</v>
      </c>
      <c r="C930" s="2" t="s">
        <v>1903</v>
      </c>
      <c r="D930" s="2">
        <f t="shared" ca="1" si="56"/>
        <v>32</v>
      </c>
      <c r="E930" t="s">
        <v>23</v>
      </c>
      <c r="F930" t="s">
        <v>1288</v>
      </c>
      <c r="G930" t="s">
        <v>131</v>
      </c>
      <c r="H930" t="str">
        <f t="shared" si="57"/>
        <v>Jaraguá do Sul - SC</v>
      </c>
      <c r="I930" s="1" t="s">
        <v>247</v>
      </c>
      <c r="J930" s="3">
        <v>72</v>
      </c>
      <c r="K930" s="4">
        <f t="shared" si="58"/>
        <v>32</v>
      </c>
      <c r="L930" s="1" t="str">
        <f t="shared" si="59"/>
        <v>Obesidade grau I</v>
      </c>
      <c r="M930" t="s">
        <v>76</v>
      </c>
    </row>
    <row r="931" spans="1:13" x14ac:dyDescent="0.25">
      <c r="A931">
        <v>930</v>
      </c>
      <c r="B931" t="s">
        <v>1473</v>
      </c>
      <c r="C931" s="2" t="s">
        <v>1474</v>
      </c>
      <c r="D931" s="2">
        <f t="shared" ca="1" si="56"/>
        <v>50</v>
      </c>
      <c r="E931" t="s">
        <v>23</v>
      </c>
      <c r="F931" t="s">
        <v>102</v>
      </c>
      <c r="G931" t="s">
        <v>103</v>
      </c>
      <c r="H931" t="str">
        <f t="shared" si="57"/>
        <v>Mauá - SP</v>
      </c>
      <c r="I931" s="1" t="s">
        <v>281</v>
      </c>
      <c r="J931" s="3">
        <v>90</v>
      </c>
      <c r="K931" s="4">
        <f t="shared" si="58"/>
        <v>34.293552812071326</v>
      </c>
      <c r="L931" s="1" t="str">
        <f t="shared" si="59"/>
        <v>Obesidade grau I</v>
      </c>
      <c r="M931" t="s">
        <v>26</v>
      </c>
    </row>
    <row r="932" spans="1:13" x14ac:dyDescent="0.25">
      <c r="A932">
        <v>931</v>
      </c>
      <c r="B932" t="s">
        <v>67</v>
      </c>
      <c r="C932" s="2" t="s">
        <v>68</v>
      </c>
      <c r="D932" s="2">
        <f t="shared" ca="1" si="56"/>
        <v>32</v>
      </c>
      <c r="E932" t="s">
        <v>23</v>
      </c>
      <c r="F932" t="s">
        <v>69</v>
      </c>
      <c r="G932" t="s">
        <v>70</v>
      </c>
      <c r="H932" t="str">
        <f t="shared" si="57"/>
        <v>Aracaju - SE</v>
      </c>
      <c r="I932" s="1" t="s">
        <v>71</v>
      </c>
      <c r="J932" s="3">
        <v>75</v>
      </c>
      <c r="K932" s="4">
        <f t="shared" si="58"/>
        <v>22.395413419331717</v>
      </c>
      <c r="L932" s="1" t="str">
        <f t="shared" si="59"/>
        <v>Peso ideal - parabéns</v>
      </c>
      <c r="M932" t="s">
        <v>20</v>
      </c>
    </row>
    <row r="933" spans="1:13" x14ac:dyDescent="0.25">
      <c r="A933">
        <v>932</v>
      </c>
      <c r="B933" t="s">
        <v>3290</v>
      </c>
      <c r="C933" s="2" t="s">
        <v>3291</v>
      </c>
      <c r="D933" s="2">
        <f t="shared" ca="1" si="56"/>
        <v>47</v>
      </c>
      <c r="E933" t="s">
        <v>23</v>
      </c>
      <c r="F933" t="s">
        <v>74</v>
      </c>
      <c r="G933" t="s">
        <v>75</v>
      </c>
      <c r="H933" t="str">
        <f t="shared" si="57"/>
        <v>Macapá - AP</v>
      </c>
      <c r="I933" s="1" t="s">
        <v>56</v>
      </c>
      <c r="J933" s="3">
        <v>67</v>
      </c>
      <c r="K933" s="4">
        <f t="shared" si="58"/>
        <v>23.458562375266975</v>
      </c>
      <c r="L933" s="1" t="str">
        <f t="shared" si="59"/>
        <v>Peso ideal - parabéns</v>
      </c>
      <c r="M933" t="s">
        <v>32</v>
      </c>
    </row>
    <row r="934" spans="1:13" x14ac:dyDescent="0.25">
      <c r="A934">
        <v>933</v>
      </c>
      <c r="B934" t="s">
        <v>1396</v>
      </c>
      <c r="C934" s="2" t="s">
        <v>1397</v>
      </c>
      <c r="D934" s="2">
        <f t="shared" ca="1" si="56"/>
        <v>34</v>
      </c>
      <c r="E934" t="s">
        <v>23</v>
      </c>
      <c r="F934" t="s">
        <v>457</v>
      </c>
      <c r="G934" t="s">
        <v>41</v>
      </c>
      <c r="H934" t="str">
        <f t="shared" si="57"/>
        <v>João Pessoa - PB</v>
      </c>
      <c r="I934" s="1" t="s">
        <v>302</v>
      </c>
      <c r="J934" s="3">
        <v>84</v>
      </c>
      <c r="K934" s="4">
        <f t="shared" si="58"/>
        <v>36.840489452217007</v>
      </c>
      <c r="L934" s="1" t="str">
        <f t="shared" si="59"/>
        <v>Obesidade grau II - severa</v>
      </c>
      <c r="M934" t="s">
        <v>83</v>
      </c>
    </row>
    <row r="935" spans="1:13" x14ac:dyDescent="0.25">
      <c r="A935">
        <v>934</v>
      </c>
      <c r="B935" t="s">
        <v>2991</v>
      </c>
      <c r="C935" s="2" t="s">
        <v>2992</v>
      </c>
      <c r="D935" s="2">
        <f t="shared" ca="1" si="56"/>
        <v>60</v>
      </c>
      <c r="E935" t="s">
        <v>23</v>
      </c>
      <c r="F935" t="s">
        <v>158</v>
      </c>
      <c r="G935" t="s">
        <v>159</v>
      </c>
      <c r="H935" t="str">
        <f t="shared" si="57"/>
        <v>Brasília - DF</v>
      </c>
      <c r="I935" s="1" t="s">
        <v>386</v>
      </c>
      <c r="J935" s="3">
        <v>47</v>
      </c>
      <c r="K935" s="4">
        <f t="shared" si="58"/>
        <v>17.056176513282043</v>
      </c>
      <c r="L935" s="1" t="str">
        <f t="shared" si="59"/>
        <v>Abaixo do peso</v>
      </c>
      <c r="M935" t="s">
        <v>95</v>
      </c>
    </row>
    <row r="936" spans="1:13" x14ac:dyDescent="0.25">
      <c r="A936">
        <v>935</v>
      </c>
      <c r="B936" t="s">
        <v>3500</v>
      </c>
      <c r="C936" s="2" t="s">
        <v>3501</v>
      </c>
      <c r="D936" s="2">
        <f t="shared" ca="1" si="56"/>
        <v>51</v>
      </c>
      <c r="E936" t="s">
        <v>23</v>
      </c>
      <c r="F936" t="s">
        <v>40</v>
      </c>
      <c r="G936" t="s">
        <v>41</v>
      </c>
      <c r="H936" t="str">
        <f t="shared" si="57"/>
        <v>Campina Grande - PB</v>
      </c>
      <c r="I936" s="1" t="s">
        <v>90</v>
      </c>
      <c r="J936" s="3">
        <v>62</v>
      </c>
      <c r="K936" s="4">
        <f t="shared" si="58"/>
        <v>20.957274202271499</v>
      </c>
      <c r="L936" s="1" t="str">
        <f t="shared" si="59"/>
        <v>Peso ideal - parabéns</v>
      </c>
      <c r="M936" t="s">
        <v>76</v>
      </c>
    </row>
    <row r="937" spans="1:13" x14ac:dyDescent="0.25">
      <c r="A937">
        <v>936</v>
      </c>
      <c r="B937" t="s">
        <v>3375</v>
      </c>
      <c r="C937" s="2" t="s">
        <v>2410</v>
      </c>
      <c r="D937" s="2">
        <f t="shared" ca="1" si="56"/>
        <v>80</v>
      </c>
      <c r="E937" t="s">
        <v>23</v>
      </c>
      <c r="F937" t="s">
        <v>138</v>
      </c>
      <c r="G937" t="s">
        <v>46</v>
      </c>
      <c r="H937" t="str">
        <f t="shared" si="57"/>
        <v>Aparecida de Goiânia - GO</v>
      </c>
      <c r="I937" s="1" t="s">
        <v>179</v>
      </c>
      <c r="J937" s="3">
        <v>71</v>
      </c>
      <c r="K937" s="4">
        <f t="shared" si="58"/>
        <v>23.450918219051392</v>
      </c>
      <c r="L937" s="1" t="str">
        <f t="shared" si="59"/>
        <v>Peso ideal - parabéns</v>
      </c>
      <c r="M937" t="s">
        <v>83</v>
      </c>
    </row>
    <row r="938" spans="1:13" x14ac:dyDescent="0.25">
      <c r="A938">
        <v>937</v>
      </c>
      <c r="B938" t="s">
        <v>3465</v>
      </c>
      <c r="C938" s="2" t="s">
        <v>3466</v>
      </c>
      <c r="D938" s="2">
        <f t="shared" ca="1" si="56"/>
        <v>32</v>
      </c>
      <c r="E938" t="s">
        <v>23</v>
      </c>
      <c r="F938" t="s">
        <v>40</v>
      </c>
      <c r="G938" t="s">
        <v>41</v>
      </c>
      <c r="H938" t="str">
        <f t="shared" si="57"/>
        <v>Campina Grande - PB</v>
      </c>
      <c r="I938" s="1" t="s">
        <v>86</v>
      </c>
      <c r="J938" s="3">
        <v>74</v>
      </c>
      <c r="K938" s="4">
        <f t="shared" si="58"/>
        <v>22.587833094227893</v>
      </c>
      <c r="L938" s="1" t="str">
        <f t="shared" si="59"/>
        <v>Peso ideal - parabéns</v>
      </c>
      <c r="M938" t="s">
        <v>32</v>
      </c>
    </row>
    <row r="939" spans="1:13" x14ac:dyDescent="0.25">
      <c r="A939">
        <v>938</v>
      </c>
      <c r="B939" t="s">
        <v>1634</v>
      </c>
      <c r="C939" s="2" t="s">
        <v>1635</v>
      </c>
      <c r="D939" s="2">
        <f t="shared" ca="1" si="56"/>
        <v>57</v>
      </c>
      <c r="E939" t="s">
        <v>23</v>
      </c>
      <c r="F939" t="s">
        <v>1636</v>
      </c>
      <c r="G939" t="s">
        <v>103</v>
      </c>
      <c r="H939" t="str">
        <f t="shared" si="57"/>
        <v>Lins - SP</v>
      </c>
      <c r="I939" s="1" t="s">
        <v>90</v>
      </c>
      <c r="J939" s="3">
        <v>89</v>
      </c>
      <c r="K939" s="4">
        <f t="shared" si="58"/>
        <v>30.08382909680909</v>
      </c>
      <c r="L939" s="1" t="str">
        <f t="shared" si="59"/>
        <v>Obesidade grau I</v>
      </c>
      <c r="M939" t="s">
        <v>83</v>
      </c>
    </row>
    <row r="940" spans="1:13" x14ac:dyDescent="0.25">
      <c r="A940">
        <v>939</v>
      </c>
      <c r="B940" t="s">
        <v>2028</v>
      </c>
      <c r="C940" s="2" t="s">
        <v>2029</v>
      </c>
      <c r="D940" s="2">
        <f t="shared" ca="1" si="56"/>
        <v>31</v>
      </c>
      <c r="E940" t="s">
        <v>23</v>
      </c>
      <c r="F940" t="s">
        <v>204</v>
      </c>
      <c r="G940" t="s">
        <v>112</v>
      </c>
      <c r="H940" t="str">
        <f t="shared" si="57"/>
        <v>Belém - PA</v>
      </c>
      <c r="I940" s="1" t="s">
        <v>386</v>
      </c>
      <c r="J940" s="3">
        <v>76</v>
      </c>
      <c r="K940" s="4">
        <f t="shared" si="58"/>
        <v>27.580200319349689</v>
      </c>
      <c r="L940" s="1" t="str">
        <f t="shared" si="59"/>
        <v>Levemente acima do peso</v>
      </c>
      <c r="M940" t="s">
        <v>20</v>
      </c>
    </row>
    <row r="941" spans="1:13" x14ac:dyDescent="0.25">
      <c r="A941">
        <v>940</v>
      </c>
      <c r="B941" t="s">
        <v>4077</v>
      </c>
      <c r="C941" s="2" t="s">
        <v>4078</v>
      </c>
      <c r="D941" s="2">
        <f t="shared" ca="1" si="56"/>
        <v>60</v>
      </c>
      <c r="E941" t="s">
        <v>23</v>
      </c>
      <c r="F941" t="s">
        <v>50</v>
      </c>
      <c r="G941" t="s">
        <v>51</v>
      </c>
      <c r="H941" t="str">
        <f t="shared" si="57"/>
        <v>Magé - RJ</v>
      </c>
      <c r="I941" s="1" t="s">
        <v>416</v>
      </c>
      <c r="J941" s="3">
        <v>88</v>
      </c>
      <c r="K941" s="4">
        <f t="shared" si="58"/>
        <v>33.949307511284282</v>
      </c>
      <c r="L941" s="1" t="str">
        <f t="shared" si="59"/>
        <v>Obesidade grau I</v>
      </c>
      <c r="M941" t="s">
        <v>20</v>
      </c>
    </row>
    <row r="942" spans="1:13" x14ac:dyDescent="0.25">
      <c r="A942">
        <v>941</v>
      </c>
      <c r="B942" t="s">
        <v>2497</v>
      </c>
      <c r="C942" s="2" t="s">
        <v>2498</v>
      </c>
      <c r="D942" s="2">
        <f t="shared" ca="1" si="56"/>
        <v>67</v>
      </c>
      <c r="E942" t="s">
        <v>23</v>
      </c>
      <c r="F942" t="s">
        <v>89</v>
      </c>
      <c r="G942" t="s">
        <v>12</v>
      </c>
      <c r="H942" t="str">
        <f t="shared" si="57"/>
        <v>Fortaleza - CE</v>
      </c>
      <c r="I942" s="1" t="s">
        <v>484</v>
      </c>
      <c r="J942" s="3">
        <v>48</v>
      </c>
      <c r="K942" s="4">
        <f t="shared" si="58"/>
        <v>19.979188345473464</v>
      </c>
      <c r="L942" s="1" t="str">
        <f t="shared" si="59"/>
        <v>Peso ideal - parabéns</v>
      </c>
      <c r="M942" t="s">
        <v>83</v>
      </c>
    </row>
    <row r="943" spans="1:13" x14ac:dyDescent="0.25">
      <c r="A943">
        <v>942</v>
      </c>
      <c r="B943" t="s">
        <v>3838</v>
      </c>
      <c r="C943" s="2" t="s">
        <v>3839</v>
      </c>
      <c r="D943" s="2">
        <f t="shared" ca="1" si="56"/>
        <v>70</v>
      </c>
      <c r="E943" t="s">
        <v>23</v>
      </c>
      <c r="F943" t="s">
        <v>189</v>
      </c>
      <c r="G943" t="s">
        <v>190</v>
      </c>
      <c r="H943" t="str">
        <f t="shared" si="57"/>
        <v>Cuiabá - MT</v>
      </c>
      <c r="I943" s="1" t="s">
        <v>166</v>
      </c>
      <c r="J943" s="3">
        <v>84</v>
      </c>
      <c r="K943" s="4">
        <f t="shared" si="58"/>
        <v>29.761904761904766</v>
      </c>
      <c r="L943" s="1" t="str">
        <f t="shared" si="59"/>
        <v>Levemente acima do peso</v>
      </c>
      <c r="M943" t="s">
        <v>47</v>
      </c>
    </row>
    <row r="944" spans="1:13" x14ac:dyDescent="0.25">
      <c r="A944">
        <v>943</v>
      </c>
      <c r="B944" t="s">
        <v>1551</v>
      </c>
      <c r="C944" s="2" t="s">
        <v>1552</v>
      </c>
      <c r="D944" s="2">
        <f t="shared" ca="1" si="56"/>
        <v>70</v>
      </c>
      <c r="E944" t="s">
        <v>10</v>
      </c>
      <c r="F944" t="s">
        <v>185</v>
      </c>
      <c r="G944" t="s">
        <v>186</v>
      </c>
      <c r="H944" t="str">
        <f t="shared" si="57"/>
        <v>Montes Claros - MG</v>
      </c>
      <c r="I944" s="1" t="s">
        <v>155</v>
      </c>
      <c r="J944" s="3">
        <v>105</v>
      </c>
      <c r="K944" s="4">
        <f t="shared" si="58"/>
        <v>31.69907016060862</v>
      </c>
      <c r="L944" s="1" t="str">
        <f t="shared" si="59"/>
        <v>Obesidade grau I</v>
      </c>
      <c r="M944" t="s">
        <v>83</v>
      </c>
    </row>
    <row r="945" spans="1:13" x14ac:dyDescent="0.25">
      <c r="A945">
        <v>944</v>
      </c>
      <c r="B945" t="s">
        <v>3369</v>
      </c>
      <c r="C945" s="2" t="s">
        <v>3370</v>
      </c>
      <c r="D945" s="2">
        <f t="shared" ca="1" si="56"/>
        <v>61</v>
      </c>
      <c r="E945" t="s">
        <v>10</v>
      </c>
      <c r="F945" t="s">
        <v>457</v>
      </c>
      <c r="G945" t="s">
        <v>41</v>
      </c>
      <c r="H945" t="str">
        <f t="shared" si="57"/>
        <v>João Pessoa - PB</v>
      </c>
      <c r="I945" s="1" t="s">
        <v>179</v>
      </c>
      <c r="J945" s="3">
        <v>69</v>
      </c>
      <c r="K945" s="4">
        <f t="shared" si="58"/>
        <v>22.790328973444311</v>
      </c>
      <c r="L945" s="1" t="str">
        <f t="shared" si="59"/>
        <v>Peso ideal - parabéns</v>
      </c>
      <c r="M945" t="s">
        <v>83</v>
      </c>
    </row>
    <row r="946" spans="1:13" x14ac:dyDescent="0.25">
      <c r="A946">
        <v>945</v>
      </c>
      <c r="B946" t="s">
        <v>961</v>
      </c>
      <c r="C946" s="2" t="s">
        <v>962</v>
      </c>
      <c r="D946" s="2">
        <f t="shared" ca="1" si="56"/>
        <v>80</v>
      </c>
      <c r="E946" t="s">
        <v>10</v>
      </c>
      <c r="F946" t="s">
        <v>11</v>
      </c>
      <c r="G946" t="s">
        <v>12</v>
      </c>
      <c r="H946" t="str">
        <f t="shared" si="57"/>
        <v>Caucaia - CE</v>
      </c>
      <c r="I946" s="1" t="s">
        <v>201</v>
      </c>
      <c r="J946" s="3">
        <v>56</v>
      </c>
      <c r="K946" s="4">
        <f t="shared" si="58"/>
        <v>14.577259475218661</v>
      </c>
      <c r="L946" s="1" t="str">
        <f t="shared" si="59"/>
        <v>Muito abaixo do peso</v>
      </c>
      <c r="M946" t="s">
        <v>83</v>
      </c>
    </row>
    <row r="947" spans="1:13" x14ac:dyDescent="0.25">
      <c r="A947">
        <v>946</v>
      </c>
      <c r="B947" t="s">
        <v>4148</v>
      </c>
      <c r="C947" s="2" t="s">
        <v>2900</v>
      </c>
      <c r="D947" s="2">
        <f t="shared" ca="1" si="56"/>
        <v>74</v>
      </c>
      <c r="E947" t="s">
        <v>10</v>
      </c>
      <c r="F947" t="s">
        <v>126</v>
      </c>
      <c r="G947" t="s">
        <v>127</v>
      </c>
      <c r="H947" t="str">
        <f t="shared" si="57"/>
        <v>Boa Vista - RR</v>
      </c>
      <c r="I947" s="1" t="s">
        <v>194</v>
      </c>
      <c r="J947" s="3">
        <v>82</v>
      </c>
      <c r="K947" s="4">
        <f t="shared" si="58"/>
        <v>23.959094229364496</v>
      </c>
      <c r="L947" s="1" t="str">
        <f t="shared" si="59"/>
        <v>Peso ideal - parabéns</v>
      </c>
      <c r="M947" t="s">
        <v>95</v>
      </c>
    </row>
    <row r="948" spans="1:13" x14ac:dyDescent="0.25">
      <c r="A948">
        <v>947</v>
      </c>
      <c r="B948" t="s">
        <v>4168</v>
      </c>
      <c r="C948" s="2" t="s">
        <v>4169</v>
      </c>
      <c r="D948" s="2">
        <f t="shared" ca="1" si="56"/>
        <v>77</v>
      </c>
      <c r="E948" t="s">
        <v>10</v>
      </c>
      <c r="F948" t="s">
        <v>4170</v>
      </c>
      <c r="G948" t="s">
        <v>65</v>
      </c>
      <c r="H948" t="str">
        <f t="shared" si="57"/>
        <v>Feira da Mata - BA</v>
      </c>
      <c r="I948" s="1" t="s">
        <v>104</v>
      </c>
      <c r="J948" s="3">
        <v>92</v>
      </c>
      <c r="K948" s="4">
        <f t="shared" si="58"/>
        <v>31.833910034602081</v>
      </c>
      <c r="L948" s="1" t="str">
        <f t="shared" si="59"/>
        <v>Obesidade grau I</v>
      </c>
      <c r="M948" t="s">
        <v>76</v>
      </c>
    </row>
    <row r="949" spans="1:13" x14ac:dyDescent="0.25">
      <c r="A949">
        <v>948</v>
      </c>
      <c r="B949" t="s">
        <v>2241</v>
      </c>
      <c r="C949" s="2" t="s">
        <v>2242</v>
      </c>
      <c r="D949" s="2">
        <f t="shared" ca="1" si="56"/>
        <v>23</v>
      </c>
      <c r="E949" t="s">
        <v>10</v>
      </c>
      <c r="F949" t="s">
        <v>236</v>
      </c>
      <c r="G949" t="s">
        <v>237</v>
      </c>
      <c r="H949" t="str">
        <f t="shared" si="57"/>
        <v>Teresina - PI</v>
      </c>
      <c r="I949" s="1" t="s">
        <v>61</v>
      </c>
      <c r="J949" s="3">
        <v>109</v>
      </c>
      <c r="K949" s="4">
        <f t="shared" si="58"/>
        <v>30.514263318496123</v>
      </c>
      <c r="L949" s="1" t="str">
        <f t="shared" si="59"/>
        <v>Obesidade grau I</v>
      </c>
      <c r="M949" t="s">
        <v>20</v>
      </c>
    </row>
    <row r="950" spans="1:13" x14ac:dyDescent="0.25">
      <c r="A950">
        <v>949</v>
      </c>
      <c r="B950" t="s">
        <v>630</v>
      </c>
      <c r="C950" s="2" t="s">
        <v>631</v>
      </c>
      <c r="D950" s="2">
        <f t="shared" ca="1" si="56"/>
        <v>52</v>
      </c>
      <c r="E950" t="s">
        <v>10</v>
      </c>
      <c r="F950" t="s">
        <v>153</v>
      </c>
      <c r="G950" t="s">
        <v>154</v>
      </c>
      <c r="H950" t="str">
        <f t="shared" si="57"/>
        <v>Manaus - AM</v>
      </c>
      <c r="I950" s="1" t="s">
        <v>99</v>
      </c>
      <c r="J950" s="3">
        <v>105</v>
      </c>
      <c r="K950" s="4">
        <f t="shared" si="58"/>
        <v>27.8988202784568</v>
      </c>
      <c r="L950" s="1" t="str">
        <f t="shared" si="59"/>
        <v>Levemente acima do peso</v>
      </c>
      <c r="M950" t="s">
        <v>47</v>
      </c>
    </row>
    <row r="951" spans="1:13" x14ac:dyDescent="0.25">
      <c r="A951">
        <v>950</v>
      </c>
      <c r="B951" t="s">
        <v>3963</v>
      </c>
      <c r="C951" s="2" t="s">
        <v>2865</v>
      </c>
      <c r="D951" s="2">
        <f t="shared" ca="1" si="56"/>
        <v>49</v>
      </c>
      <c r="E951" t="s">
        <v>10</v>
      </c>
      <c r="F951" t="s">
        <v>564</v>
      </c>
      <c r="G951" t="s">
        <v>565</v>
      </c>
      <c r="H951" t="str">
        <f t="shared" si="57"/>
        <v>Rio Branco - AC</v>
      </c>
      <c r="I951" s="1" t="s">
        <v>400</v>
      </c>
      <c r="J951" s="3">
        <v>82</v>
      </c>
      <c r="K951" s="4">
        <f t="shared" si="58"/>
        <v>25.308641975308639</v>
      </c>
      <c r="L951" s="1" t="str">
        <f t="shared" si="59"/>
        <v>Levemente acima do peso</v>
      </c>
      <c r="M951" t="s">
        <v>95</v>
      </c>
    </row>
    <row r="952" spans="1:13" x14ac:dyDescent="0.25">
      <c r="A952">
        <v>951</v>
      </c>
      <c r="B952" t="s">
        <v>3477</v>
      </c>
      <c r="C952" s="2" t="s">
        <v>2871</v>
      </c>
      <c r="D952" s="2">
        <f t="shared" ca="1" si="56"/>
        <v>53</v>
      </c>
      <c r="E952" t="s">
        <v>10</v>
      </c>
      <c r="F952" t="s">
        <v>169</v>
      </c>
      <c r="G952" t="s">
        <v>170</v>
      </c>
      <c r="H952" t="str">
        <f t="shared" si="57"/>
        <v>Maceió - AL</v>
      </c>
      <c r="I952" s="1" t="s">
        <v>694</v>
      </c>
      <c r="J952" s="3">
        <v>80</v>
      </c>
      <c r="K952" s="4">
        <f t="shared" si="58"/>
        <v>23.12406058503873</v>
      </c>
      <c r="L952" s="1" t="str">
        <f t="shared" si="59"/>
        <v>Peso ideal - parabéns</v>
      </c>
      <c r="M952" t="s">
        <v>26</v>
      </c>
    </row>
    <row r="953" spans="1:13" x14ac:dyDescent="0.25">
      <c r="A953">
        <v>952</v>
      </c>
      <c r="B953" t="s">
        <v>1606</v>
      </c>
      <c r="C953" s="2" t="s">
        <v>1607</v>
      </c>
      <c r="D953" s="2">
        <f t="shared" ca="1" si="56"/>
        <v>58</v>
      </c>
      <c r="E953" t="s">
        <v>10</v>
      </c>
      <c r="F953" t="s">
        <v>11</v>
      </c>
      <c r="G953" t="s">
        <v>12</v>
      </c>
      <c r="H953" t="str">
        <f t="shared" si="57"/>
        <v>Caucaia - CE</v>
      </c>
      <c r="I953" s="1" t="s">
        <v>132</v>
      </c>
      <c r="J953" s="3">
        <v>104</v>
      </c>
      <c r="K953" s="4">
        <f t="shared" si="58"/>
        <v>29.740627412851378</v>
      </c>
      <c r="L953" s="1" t="str">
        <f t="shared" si="59"/>
        <v>Levemente acima do peso</v>
      </c>
      <c r="M953" t="s">
        <v>32</v>
      </c>
    </row>
    <row r="954" spans="1:13" x14ac:dyDescent="0.25">
      <c r="A954">
        <v>953</v>
      </c>
      <c r="B954" t="s">
        <v>2880</v>
      </c>
      <c r="C954" s="2" t="s">
        <v>2881</v>
      </c>
      <c r="D954" s="2">
        <f t="shared" ca="1" si="56"/>
        <v>55</v>
      </c>
      <c r="E954" t="s">
        <v>10</v>
      </c>
      <c r="F954" t="s">
        <v>189</v>
      </c>
      <c r="G954" t="s">
        <v>190</v>
      </c>
      <c r="H954" t="str">
        <f t="shared" si="57"/>
        <v>Cuiabá - MT</v>
      </c>
      <c r="I954" s="1" t="s">
        <v>160</v>
      </c>
      <c r="J954" s="3">
        <v>104</v>
      </c>
      <c r="K954" s="4">
        <f t="shared" si="58"/>
        <v>30.718336483931946</v>
      </c>
      <c r="L954" s="1" t="str">
        <f t="shared" si="59"/>
        <v>Obesidade grau I</v>
      </c>
      <c r="M954" t="s">
        <v>20</v>
      </c>
    </row>
    <row r="955" spans="1:13" x14ac:dyDescent="0.25">
      <c r="A955">
        <v>954</v>
      </c>
      <c r="B955" t="s">
        <v>2788</v>
      </c>
      <c r="C955" s="2" t="s">
        <v>2789</v>
      </c>
      <c r="D955" s="2">
        <f t="shared" ca="1" si="56"/>
        <v>56</v>
      </c>
      <c r="E955" t="s">
        <v>10</v>
      </c>
      <c r="F955" t="s">
        <v>189</v>
      </c>
      <c r="G955" t="s">
        <v>190</v>
      </c>
      <c r="H955" t="str">
        <f t="shared" si="57"/>
        <v>Cuiabá - MT</v>
      </c>
      <c r="I955" s="1" t="s">
        <v>117</v>
      </c>
      <c r="J955" s="3">
        <v>88</v>
      </c>
      <c r="K955" s="4">
        <f t="shared" si="58"/>
        <v>27.774270925388208</v>
      </c>
      <c r="L955" s="1" t="str">
        <f t="shared" si="59"/>
        <v>Levemente acima do peso</v>
      </c>
      <c r="M955" t="s">
        <v>47</v>
      </c>
    </row>
    <row r="956" spans="1:13" x14ac:dyDescent="0.25">
      <c r="A956">
        <v>955</v>
      </c>
      <c r="B956" t="s">
        <v>3556</v>
      </c>
      <c r="C956" s="2" t="s">
        <v>3557</v>
      </c>
      <c r="D956" s="2">
        <f t="shared" ca="1" si="56"/>
        <v>61</v>
      </c>
      <c r="E956" t="s">
        <v>10</v>
      </c>
      <c r="F956" t="s">
        <v>457</v>
      </c>
      <c r="G956" t="s">
        <v>41</v>
      </c>
      <c r="H956" t="str">
        <f t="shared" si="57"/>
        <v>João Pessoa - PB</v>
      </c>
      <c r="I956" s="1" t="s">
        <v>191</v>
      </c>
      <c r="J956" s="3">
        <v>53</v>
      </c>
      <c r="K956" s="4">
        <f t="shared" si="58"/>
        <v>20.703124999999996</v>
      </c>
      <c r="L956" s="1" t="str">
        <f t="shared" si="59"/>
        <v>Peso ideal - parabéns</v>
      </c>
      <c r="M956" t="s">
        <v>26</v>
      </c>
    </row>
    <row r="957" spans="1:13" x14ac:dyDescent="0.25">
      <c r="A957">
        <v>956</v>
      </c>
      <c r="B957" t="s">
        <v>2603</v>
      </c>
      <c r="C957" s="2" t="s">
        <v>2604</v>
      </c>
      <c r="D957" s="2">
        <f t="shared" ca="1" si="56"/>
        <v>82</v>
      </c>
      <c r="E957" t="s">
        <v>10</v>
      </c>
      <c r="F957" t="s">
        <v>1612</v>
      </c>
      <c r="G957" t="s">
        <v>175</v>
      </c>
      <c r="H957" t="str">
        <f t="shared" si="57"/>
        <v>Petrolina - PE</v>
      </c>
      <c r="I957" s="1" t="s">
        <v>148</v>
      </c>
      <c r="J957" s="3">
        <v>62</v>
      </c>
      <c r="K957" s="4">
        <f t="shared" si="58"/>
        <v>16.305062458908615</v>
      </c>
      <c r="L957" s="1" t="str">
        <f t="shared" si="59"/>
        <v>Muito abaixo do peso</v>
      </c>
      <c r="M957" t="s">
        <v>32</v>
      </c>
    </row>
    <row r="958" spans="1:13" x14ac:dyDescent="0.25">
      <c r="A958">
        <v>957</v>
      </c>
      <c r="B958" t="s">
        <v>2971</v>
      </c>
      <c r="C958" s="2" t="s">
        <v>2972</v>
      </c>
      <c r="D958" s="2">
        <f t="shared" ca="1" si="56"/>
        <v>32</v>
      </c>
      <c r="E958" t="s">
        <v>10</v>
      </c>
      <c r="F958" t="s">
        <v>280</v>
      </c>
      <c r="G958" t="s">
        <v>175</v>
      </c>
      <c r="H958" t="str">
        <f t="shared" si="57"/>
        <v>Recife - PE</v>
      </c>
      <c r="I958" s="1" t="s">
        <v>416</v>
      </c>
      <c r="J958" s="3">
        <v>97</v>
      </c>
      <c r="K958" s="4">
        <f t="shared" si="58"/>
        <v>37.421395779483809</v>
      </c>
      <c r="L958" s="1" t="str">
        <f t="shared" si="59"/>
        <v>Obesidade grau II - severa</v>
      </c>
      <c r="M958" t="s">
        <v>47</v>
      </c>
    </row>
    <row r="959" spans="1:13" x14ac:dyDescent="0.25">
      <c r="A959">
        <v>958</v>
      </c>
      <c r="B959" t="s">
        <v>540</v>
      </c>
      <c r="C959" s="2" t="s">
        <v>541</v>
      </c>
      <c r="D959" s="2">
        <f t="shared" ca="1" si="56"/>
        <v>54</v>
      </c>
      <c r="E959" t="s">
        <v>10</v>
      </c>
      <c r="F959" t="s">
        <v>294</v>
      </c>
      <c r="G959" t="s">
        <v>112</v>
      </c>
      <c r="H959" t="str">
        <f t="shared" si="57"/>
        <v>Santarém - PA</v>
      </c>
      <c r="I959" s="1" t="s">
        <v>42</v>
      </c>
      <c r="J959" s="3">
        <v>67</v>
      </c>
      <c r="K959" s="4">
        <f t="shared" si="58"/>
        <v>20.910708155176181</v>
      </c>
      <c r="L959" s="1" t="str">
        <f t="shared" si="59"/>
        <v>Peso ideal - parabéns</v>
      </c>
      <c r="M959" t="s">
        <v>47</v>
      </c>
    </row>
    <row r="960" spans="1:13" x14ac:dyDescent="0.25">
      <c r="A960">
        <v>959</v>
      </c>
      <c r="B960" t="s">
        <v>3449</v>
      </c>
      <c r="C960" s="2" t="s">
        <v>3450</v>
      </c>
      <c r="D960" s="2">
        <f t="shared" ca="1" si="56"/>
        <v>56</v>
      </c>
      <c r="E960" t="s">
        <v>10</v>
      </c>
      <c r="F960" t="s">
        <v>419</v>
      </c>
      <c r="G960" t="s">
        <v>25</v>
      </c>
      <c r="H960" t="str">
        <f t="shared" si="57"/>
        <v>Mossoró - RN</v>
      </c>
      <c r="I960" s="1" t="s">
        <v>117</v>
      </c>
      <c r="J960" s="3">
        <v>101</v>
      </c>
      <c r="K960" s="4">
        <f t="shared" si="58"/>
        <v>31.877288221184195</v>
      </c>
      <c r="L960" s="1" t="str">
        <f t="shared" si="59"/>
        <v>Obesidade grau I</v>
      </c>
      <c r="M960" t="s">
        <v>95</v>
      </c>
    </row>
    <row r="961" spans="1:13" x14ac:dyDescent="0.25">
      <c r="A961">
        <v>960</v>
      </c>
      <c r="B961" t="s">
        <v>2276</v>
      </c>
      <c r="C961" s="2" t="s">
        <v>2277</v>
      </c>
      <c r="D961" s="2">
        <f t="shared" ca="1" si="56"/>
        <v>67</v>
      </c>
      <c r="E961" t="s">
        <v>10</v>
      </c>
      <c r="F961" t="s">
        <v>2278</v>
      </c>
      <c r="G961" t="s">
        <v>112</v>
      </c>
      <c r="H961" t="str">
        <f t="shared" si="57"/>
        <v>Marabá - PA</v>
      </c>
      <c r="I961" s="1" t="s">
        <v>61</v>
      </c>
      <c r="J961" s="3">
        <v>104</v>
      </c>
      <c r="K961" s="4">
        <f t="shared" si="58"/>
        <v>29.114526469023826</v>
      </c>
      <c r="L961" s="1" t="str">
        <f t="shared" si="59"/>
        <v>Levemente acima do peso</v>
      </c>
      <c r="M961" t="s">
        <v>83</v>
      </c>
    </row>
    <row r="962" spans="1:13" x14ac:dyDescent="0.25">
      <c r="A962">
        <v>961</v>
      </c>
      <c r="B962" t="s">
        <v>1088</v>
      </c>
      <c r="C962" s="2" t="s">
        <v>1089</v>
      </c>
      <c r="D962" s="2">
        <f t="shared" ca="1" si="56"/>
        <v>45</v>
      </c>
      <c r="E962" t="s">
        <v>10</v>
      </c>
      <c r="F962" t="s">
        <v>169</v>
      </c>
      <c r="G962" t="s">
        <v>170</v>
      </c>
      <c r="H962" t="str">
        <f t="shared" si="57"/>
        <v>Maceió - AL</v>
      </c>
      <c r="I962" s="1" t="s">
        <v>179</v>
      </c>
      <c r="J962" s="3">
        <v>52</v>
      </c>
      <c r="K962" s="4">
        <f t="shared" si="58"/>
        <v>17.175320385784119</v>
      </c>
      <c r="L962" s="1" t="str">
        <f t="shared" si="59"/>
        <v>Abaixo do peso</v>
      </c>
      <c r="M962" t="s">
        <v>76</v>
      </c>
    </row>
    <row r="963" spans="1:13" x14ac:dyDescent="0.25">
      <c r="A963">
        <v>962</v>
      </c>
      <c r="B963" t="s">
        <v>2932</v>
      </c>
      <c r="C963" s="2" t="s">
        <v>2933</v>
      </c>
      <c r="D963" s="2">
        <f t="shared" ref="D963:D1026" ca="1" si="60">YEAR(TODAY())-YEAR(C963)</f>
        <v>47</v>
      </c>
      <c r="E963" t="s">
        <v>10</v>
      </c>
      <c r="F963" t="s">
        <v>446</v>
      </c>
      <c r="G963" t="s">
        <v>170</v>
      </c>
      <c r="H963" t="str">
        <f t="shared" ref="H963:H1026" si="61">CONCATENATE(F963," - ",G963)</f>
        <v>Arapiraca - AL</v>
      </c>
      <c r="I963" s="1" t="s">
        <v>262</v>
      </c>
      <c r="J963" s="3">
        <v>98</v>
      </c>
      <c r="K963" s="4">
        <f t="shared" ref="K963:K1026" si="62">J963/(I963*I963)</f>
        <v>27.146814404432135</v>
      </c>
      <c r="L963" s="1" t="str">
        <f t="shared" ref="L963:L1026" si="63">IF(K963&gt;=40,"Obesidade grau III - mórbida",
IF(K963&gt;=35,"Obesidade grau II - severa",
IF(K963&gt;=30,"Obesidade grau I",
IF(K963&gt;=25,"Levemente acima do peso",
IF(K963&gt;=18.6,"Peso ideal - parabéns",
IF(K963&gt;=17,"Abaixo do peso",
"Muito abaixo do peso"))))))</f>
        <v>Levemente acima do peso</v>
      </c>
      <c r="M963" t="s">
        <v>32</v>
      </c>
    </row>
    <row r="964" spans="1:13" x14ac:dyDescent="0.25">
      <c r="A964">
        <v>963</v>
      </c>
      <c r="B964" t="s">
        <v>1156</v>
      </c>
      <c r="C964" s="2" t="s">
        <v>1157</v>
      </c>
      <c r="D964" s="2">
        <f t="shared" ca="1" si="60"/>
        <v>23</v>
      </c>
      <c r="E964" t="s">
        <v>10</v>
      </c>
      <c r="F964" t="s">
        <v>457</v>
      </c>
      <c r="G964" t="s">
        <v>41</v>
      </c>
      <c r="H964" t="str">
        <f t="shared" si="61"/>
        <v>João Pessoa - PB</v>
      </c>
      <c r="I964" s="1" t="s">
        <v>201</v>
      </c>
      <c r="J964" s="3">
        <v>77</v>
      </c>
      <c r="K964" s="4">
        <f t="shared" si="62"/>
        <v>20.043731778425659</v>
      </c>
      <c r="L964" s="1" t="str">
        <f t="shared" si="63"/>
        <v>Peso ideal - parabéns</v>
      </c>
      <c r="M964" t="s">
        <v>26</v>
      </c>
    </row>
    <row r="965" spans="1:13" x14ac:dyDescent="0.25">
      <c r="A965">
        <v>964</v>
      </c>
      <c r="B965" t="s">
        <v>493</v>
      </c>
      <c r="C965" s="2" t="s">
        <v>494</v>
      </c>
      <c r="D965" s="2">
        <f t="shared" ca="1" si="60"/>
        <v>63</v>
      </c>
      <c r="E965" t="s">
        <v>10</v>
      </c>
      <c r="F965" t="s">
        <v>495</v>
      </c>
      <c r="G965" t="s">
        <v>103</v>
      </c>
      <c r="H965" t="str">
        <f t="shared" si="61"/>
        <v>Americana - SP</v>
      </c>
      <c r="I965" s="1" t="s">
        <v>286</v>
      </c>
      <c r="J965" s="3">
        <v>64</v>
      </c>
      <c r="K965" s="4">
        <f t="shared" si="62"/>
        <v>23.507805325987146</v>
      </c>
      <c r="L965" s="1" t="str">
        <f t="shared" si="63"/>
        <v>Peso ideal - parabéns</v>
      </c>
      <c r="M965" t="s">
        <v>32</v>
      </c>
    </row>
    <row r="966" spans="1:13" x14ac:dyDescent="0.25">
      <c r="A966">
        <v>965</v>
      </c>
      <c r="B966" t="s">
        <v>2756</v>
      </c>
      <c r="C966" s="2" t="s">
        <v>2757</v>
      </c>
      <c r="D966" s="2">
        <f t="shared" ca="1" si="60"/>
        <v>82</v>
      </c>
      <c r="E966" t="s">
        <v>10</v>
      </c>
      <c r="F966" t="s">
        <v>1550</v>
      </c>
      <c r="G966" t="s">
        <v>103</v>
      </c>
      <c r="H966" t="str">
        <f t="shared" si="61"/>
        <v>Mogi das Cruzes - SP</v>
      </c>
      <c r="I966" s="1" t="s">
        <v>155</v>
      </c>
      <c r="J966" s="3">
        <v>98</v>
      </c>
      <c r="K966" s="4">
        <f t="shared" si="62"/>
        <v>29.585798816568044</v>
      </c>
      <c r="L966" s="1" t="str">
        <f t="shared" si="63"/>
        <v>Levemente acima do peso</v>
      </c>
      <c r="M966" t="s">
        <v>20</v>
      </c>
    </row>
    <row r="967" spans="1:13" x14ac:dyDescent="0.25">
      <c r="A967">
        <v>966</v>
      </c>
      <c r="B967" t="s">
        <v>2913</v>
      </c>
      <c r="C967" s="2" t="s">
        <v>2914</v>
      </c>
      <c r="D967" s="2">
        <f t="shared" ca="1" si="60"/>
        <v>29</v>
      </c>
      <c r="E967" t="s">
        <v>10</v>
      </c>
      <c r="F967" t="s">
        <v>2915</v>
      </c>
      <c r="G967" t="s">
        <v>70</v>
      </c>
      <c r="H967" t="str">
        <f t="shared" si="61"/>
        <v>Graccho Cardoso - SE</v>
      </c>
      <c r="I967" s="1" t="s">
        <v>318</v>
      </c>
      <c r="J967" s="3">
        <v>60</v>
      </c>
      <c r="K967" s="4">
        <f t="shared" si="62"/>
        <v>16.276041666666668</v>
      </c>
      <c r="L967" s="1" t="str">
        <f t="shared" si="63"/>
        <v>Muito abaixo do peso</v>
      </c>
      <c r="M967" t="s">
        <v>32</v>
      </c>
    </row>
    <row r="968" spans="1:13" x14ac:dyDescent="0.25">
      <c r="A968">
        <v>967</v>
      </c>
      <c r="B968" t="s">
        <v>1712</v>
      </c>
      <c r="C968" s="2" t="s">
        <v>1713</v>
      </c>
      <c r="D968" s="2">
        <f t="shared" ca="1" si="60"/>
        <v>46</v>
      </c>
      <c r="E968" t="s">
        <v>10</v>
      </c>
      <c r="F968" t="s">
        <v>208</v>
      </c>
      <c r="G968" t="s">
        <v>30</v>
      </c>
      <c r="H968" t="str">
        <f t="shared" si="61"/>
        <v>Ji-Paraná - RO</v>
      </c>
      <c r="I968" s="1" t="s">
        <v>179</v>
      </c>
      <c r="J968" s="3">
        <v>79</v>
      </c>
      <c r="K968" s="4">
        <f t="shared" si="62"/>
        <v>26.09327520147972</v>
      </c>
      <c r="L968" s="1" t="str">
        <f t="shared" si="63"/>
        <v>Levemente acima do peso</v>
      </c>
      <c r="M968" t="s">
        <v>83</v>
      </c>
    </row>
    <row r="969" spans="1:13" x14ac:dyDescent="0.25">
      <c r="A969">
        <v>968</v>
      </c>
      <c r="B969" t="s">
        <v>1981</v>
      </c>
      <c r="C969" s="2" t="s">
        <v>1982</v>
      </c>
      <c r="D969" s="2">
        <f t="shared" ca="1" si="60"/>
        <v>32</v>
      </c>
      <c r="E969" t="s">
        <v>10</v>
      </c>
      <c r="F969" t="s">
        <v>1983</v>
      </c>
      <c r="G969" t="s">
        <v>25</v>
      </c>
      <c r="H969" t="str">
        <f t="shared" si="61"/>
        <v>Governador Dix-Sept Rosado - RN</v>
      </c>
      <c r="I969" s="1" t="s">
        <v>218</v>
      </c>
      <c r="J969" s="3">
        <v>79</v>
      </c>
      <c r="K969" s="4">
        <f t="shared" si="62"/>
        <v>21.208623050283229</v>
      </c>
      <c r="L969" s="1" t="str">
        <f t="shared" si="63"/>
        <v>Peso ideal - parabéns</v>
      </c>
      <c r="M969" t="s">
        <v>26</v>
      </c>
    </row>
    <row r="970" spans="1:13" x14ac:dyDescent="0.25">
      <c r="A970">
        <v>969</v>
      </c>
      <c r="B970" t="s">
        <v>1969</v>
      </c>
      <c r="C970" s="2" t="s">
        <v>1970</v>
      </c>
      <c r="D970" s="2">
        <f t="shared" ca="1" si="60"/>
        <v>58</v>
      </c>
      <c r="E970" t="s">
        <v>10</v>
      </c>
      <c r="F970" t="s">
        <v>153</v>
      </c>
      <c r="G970" t="s">
        <v>154</v>
      </c>
      <c r="H970" t="str">
        <f t="shared" si="61"/>
        <v>Manaus - AM</v>
      </c>
      <c r="I970" s="1" t="s">
        <v>226</v>
      </c>
      <c r="J970" s="3">
        <v>80</v>
      </c>
      <c r="K970" s="4">
        <f t="shared" si="62"/>
        <v>20.40608101214162</v>
      </c>
      <c r="L970" s="1" t="str">
        <f t="shared" si="63"/>
        <v>Peso ideal - parabéns</v>
      </c>
      <c r="M970" t="s">
        <v>14</v>
      </c>
    </row>
    <row r="971" spans="1:13" x14ac:dyDescent="0.25">
      <c r="A971">
        <v>970</v>
      </c>
      <c r="B971" t="s">
        <v>3317</v>
      </c>
      <c r="C971" s="2" t="s">
        <v>3318</v>
      </c>
      <c r="D971" s="2">
        <f t="shared" ca="1" si="60"/>
        <v>61</v>
      </c>
      <c r="E971" t="s">
        <v>10</v>
      </c>
      <c r="F971" t="s">
        <v>236</v>
      </c>
      <c r="G971" t="s">
        <v>237</v>
      </c>
      <c r="H971" t="str">
        <f t="shared" si="61"/>
        <v>Teresina - PI</v>
      </c>
      <c r="I971" s="1" t="s">
        <v>42</v>
      </c>
      <c r="J971" s="3">
        <v>92</v>
      </c>
      <c r="K971" s="4">
        <f t="shared" si="62"/>
        <v>28.713211198152369</v>
      </c>
      <c r="L971" s="1" t="str">
        <f t="shared" si="63"/>
        <v>Levemente acima do peso</v>
      </c>
      <c r="M971" t="s">
        <v>20</v>
      </c>
    </row>
    <row r="972" spans="1:13" x14ac:dyDescent="0.25">
      <c r="A972">
        <v>971</v>
      </c>
      <c r="B972" t="s">
        <v>986</v>
      </c>
      <c r="C972" s="2" t="s">
        <v>987</v>
      </c>
      <c r="D972" s="2">
        <f t="shared" ca="1" si="60"/>
        <v>52</v>
      </c>
      <c r="E972" t="s">
        <v>10</v>
      </c>
      <c r="F972" t="s">
        <v>208</v>
      </c>
      <c r="G972" t="s">
        <v>30</v>
      </c>
      <c r="H972" t="str">
        <f t="shared" si="61"/>
        <v>Ji-Paraná - RO</v>
      </c>
      <c r="I972" s="1" t="s">
        <v>13</v>
      </c>
      <c r="J972" s="3">
        <v>92</v>
      </c>
      <c r="K972" s="4">
        <f t="shared" si="62"/>
        <v>31.462672275229988</v>
      </c>
      <c r="L972" s="1" t="str">
        <f t="shared" si="63"/>
        <v>Obesidade grau I</v>
      </c>
      <c r="M972" t="s">
        <v>14</v>
      </c>
    </row>
    <row r="973" spans="1:13" x14ac:dyDescent="0.25">
      <c r="A973">
        <v>972</v>
      </c>
      <c r="B973" t="s">
        <v>2662</v>
      </c>
      <c r="C973" s="2" t="s">
        <v>2663</v>
      </c>
      <c r="D973" s="2">
        <f t="shared" ca="1" si="60"/>
        <v>24</v>
      </c>
      <c r="E973" t="s">
        <v>10</v>
      </c>
      <c r="F973" t="s">
        <v>831</v>
      </c>
      <c r="G973" t="s">
        <v>154</v>
      </c>
      <c r="H973" t="str">
        <f t="shared" si="61"/>
        <v>Itacoatiara - AM</v>
      </c>
      <c r="I973" s="1" t="s">
        <v>155</v>
      </c>
      <c r="J973" s="3">
        <v>99</v>
      </c>
      <c r="K973" s="4">
        <f t="shared" si="62"/>
        <v>29.887694722859557</v>
      </c>
      <c r="L973" s="1" t="str">
        <f t="shared" si="63"/>
        <v>Levemente acima do peso</v>
      </c>
      <c r="M973" t="s">
        <v>26</v>
      </c>
    </row>
    <row r="974" spans="1:13" x14ac:dyDescent="0.25">
      <c r="A974">
        <v>973</v>
      </c>
      <c r="B974" t="s">
        <v>1491</v>
      </c>
      <c r="C974" s="2" t="s">
        <v>1492</v>
      </c>
      <c r="D974" s="2">
        <f t="shared" ca="1" si="60"/>
        <v>23</v>
      </c>
      <c r="E974" t="s">
        <v>10</v>
      </c>
      <c r="F974" t="s">
        <v>852</v>
      </c>
      <c r="G974" t="s">
        <v>186</v>
      </c>
      <c r="H974" t="str">
        <f t="shared" si="61"/>
        <v>Belo Horizonte - MG</v>
      </c>
      <c r="I974" s="1" t="s">
        <v>19</v>
      </c>
      <c r="J974" s="3">
        <v>87</v>
      </c>
      <c r="K974" s="4">
        <f t="shared" si="62"/>
        <v>27.769797950780426</v>
      </c>
      <c r="L974" s="1" t="str">
        <f t="shared" si="63"/>
        <v>Levemente acima do peso</v>
      </c>
      <c r="M974" t="s">
        <v>83</v>
      </c>
    </row>
    <row r="975" spans="1:13" x14ac:dyDescent="0.25">
      <c r="A975">
        <v>974</v>
      </c>
      <c r="B975" t="s">
        <v>1277</v>
      </c>
      <c r="C975" s="2" t="s">
        <v>1278</v>
      </c>
      <c r="D975" s="2">
        <f t="shared" ca="1" si="60"/>
        <v>22</v>
      </c>
      <c r="E975" t="s">
        <v>10</v>
      </c>
      <c r="F975" t="s">
        <v>244</v>
      </c>
      <c r="G975" t="s">
        <v>60</v>
      </c>
      <c r="H975" t="str">
        <f t="shared" si="61"/>
        <v>Araguaína - TO</v>
      </c>
      <c r="I975" s="1" t="s">
        <v>447</v>
      </c>
      <c r="J975" s="3">
        <v>107</v>
      </c>
      <c r="K975" s="4">
        <f t="shared" si="62"/>
        <v>34.938775510204081</v>
      </c>
      <c r="L975" s="1" t="str">
        <f t="shared" si="63"/>
        <v>Obesidade grau I</v>
      </c>
      <c r="M975" t="s">
        <v>26</v>
      </c>
    </row>
    <row r="976" spans="1:13" x14ac:dyDescent="0.25">
      <c r="A976">
        <v>975</v>
      </c>
      <c r="B976" t="s">
        <v>1874</v>
      </c>
      <c r="C976" s="2" t="s">
        <v>1875</v>
      </c>
      <c r="D976" s="2">
        <f t="shared" ca="1" si="60"/>
        <v>57</v>
      </c>
      <c r="E976" t="s">
        <v>10</v>
      </c>
      <c r="F976" t="s">
        <v>153</v>
      </c>
      <c r="G976" t="s">
        <v>154</v>
      </c>
      <c r="H976" t="str">
        <f t="shared" si="61"/>
        <v>Manaus - AM</v>
      </c>
      <c r="I976" s="1" t="s">
        <v>694</v>
      </c>
      <c r="J976" s="3">
        <v>110</v>
      </c>
      <c r="K976" s="4">
        <f t="shared" si="62"/>
        <v>31.795583304428252</v>
      </c>
      <c r="L976" s="1" t="str">
        <f t="shared" si="63"/>
        <v>Obesidade grau I</v>
      </c>
      <c r="M976" t="s">
        <v>14</v>
      </c>
    </row>
    <row r="977" spans="1:13" x14ac:dyDescent="0.25">
      <c r="A977">
        <v>976</v>
      </c>
      <c r="B977" t="s">
        <v>1334</v>
      </c>
      <c r="C977" s="2" t="s">
        <v>1028</v>
      </c>
      <c r="D977" s="2">
        <f t="shared" ca="1" si="60"/>
        <v>39</v>
      </c>
      <c r="E977" t="s">
        <v>23</v>
      </c>
      <c r="F977" t="s">
        <v>1335</v>
      </c>
      <c r="G977" t="s">
        <v>51</v>
      </c>
      <c r="H977" t="str">
        <f t="shared" si="61"/>
        <v>Japeri - RJ</v>
      </c>
      <c r="I977" s="1" t="s">
        <v>90</v>
      </c>
      <c r="J977" s="3">
        <v>73</v>
      </c>
      <c r="K977" s="4">
        <f t="shared" si="62"/>
        <v>24.675500270416443</v>
      </c>
      <c r="L977" s="1" t="str">
        <f t="shared" si="63"/>
        <v>Peso ideal - parabéns</v>
      </c>
      <c r="M977" t="s">
        <v>95</v>
      </c>
    </row>
    <row r="978" spans="1:13" x14ac:dyDescent="0.25">
      <c r="A978">
        <v>977</v>
      </c>
      <c r="B978" t="s">
        <v>460</v>
      </c>
      <c r="C978" s="2" t="s">
        <v>461</v>
      </c>
      <c r="D978" s="2">
        <f t="shared" ca="1" si="60"/>
        <v>50</v>
      </c>
      <c r="E978" t="s">
        <v>23</v>
      </c>
      <c r="F978" t="s">
        <v>462</v>
      </c>
      <c r="G978" t="s">
        <v>36</v>
      </c>
      <c r="H978" t="str">
        <f t="shared" si="61"/>
        <v>Caxias - MA</v>
      </c>
      <c r="I978" s="1" t="s">
        <v>179</v>
      </c>
      <c r="J978" s="3">
        <v>50</v>
      </c>
      <c r="K978" s="4">
        <f t="shared" si="62"/>
        <v>16.514731140177037</v>
      </c>
      <c r="L978" s="1" t="str">
        <f t="shared" si="63"/>
        <v>Muito abaixo do peso</v>
      </c>
      <c r="M978" t="s">
        <v>26</v>
      </c>
    </row>
    <row r="979" spans="1:13" x14ac:dyDescent="0.25">
      <c r="A979">
        <v>978</v>
      </c>
      <c r="B979" t="s">
        <v>2055</v>
      </c>
      <c r="C979" s="2" t="s">
        <v>2056</v>
      </c>
      <c r="D979" s="2">
        <f t="shared" ca="1" si="60"/>
        <v>46</v>
      </c>
      <c r="E979" t="s">
        <v>23</v>
      </c>
      <c r="F979" t="s">
        <v>45</v>
      </c>
      <c r="G979" t="s">
        <v>46</v>
      </c>
      <c r="H979" t="str">
        <f t="shared" si="61"/>
        <v>Goiânia - GO</v>
      </c>
      <c r="I979" s="1" t="s">
        <v>582</v>
      </c>
      <c r="J979" s="3">
        <v>57</v>
      </c>
      <c r="K979" s="4">
        <f t="shared" si="62"/>
        <v>23.422090729783037</v>
      </c>
      <c r="L979" s="1" t="str">
        <f t="shared" si="63"/>
        <v>Peso ideal - parabéns</v>
      </c>
      <c r="M979" t="s">
        <v>20</v>
      </c>
    </row>
    <row r="980" spans="1:13" x14ac:dyDescent="0.25">
      <c r="A980">
        <v>979</v>
      </c>
      <c r="B980" t="s">
        <v>3342</v>
      </c>
      <c r="C980" s="2" t="s">
        <v>3343</v>
      </c>
      <c r="D980" s="2">
        <f t="shared" ca="1" si="60"/>
        <v>76</v>
      </c>
      <c r="E980" t="s">
        <v>23</v>
      </c>
      <c r="F980" t="s">
        <v>35</v>
      </c>
      <c r="G980" t="s">
        <v>36</v>
      </c>
      <c r="H980" t="str">
        <f t="shared" si="61"/>
        <v>Timon - MA</v>
      </c>
      <c r="I980" s="1" t="s">
        <v>484</v>
      </c>
      <c r="J980" s="3">
        <v>47</v>
      </c>
      <c r="K980" s="4">
        <f t="shared" si="62"/>
        <v>19.562955254942764</v>
      </c>
      <c r="L980" s="1" t="str">
        <f t="shared" si="63"/>
        <v>Peso ideal - parabéns</v>
      </c>
      <c r="M980" t="s">
        <v>47</v>
      </c>
    </row>
    <row r="981" spans="1:13" x14ac:dyDescent="0.25">
      <c r="A981">
        <v>980</v>
      </c>
      <c r="B981" t="s">
        <v>4147</v>
      </c>
      <c r="C981" s="2" t="s">
        <v>3809</v>
      </c>
      <c r="D981" s="2">
        <f t="shared" ca="1" si="60"/>
        <v>61</v>
      </c>
      <c r="E981" t="s">
        <v>23</v>
      </c>
      <c r="F981" t="s">
        <v>107</v>
      </c>
      <c r="G981" t="s">
        <v>36</v>
      </c>
      <c r="H981" t="str">
        <f t="shared" si="61"/>
        <v>São Luís - MA</v>
      </c>
      <c r="I981" s="1" t="s">
        <v>286</v>
      </c>
      <c r="J981" s="3">
        <v>48</v>
      </c>
      <c r="K981" s="4">
        <f t="shared" si="62"/>
        <v>17.630853994490359</v>
      </c>
      <c r="L981" s="1" t="str">
        <f t="shared" si="63"/>
        <v>Abaixo do peso</v>
      </c>
      <c r="M981" t="s">
        <v>95</v>
      </c>
    </row>
    <row r="982" spans="1:13" x14ac:dyDescent="0.25">
      <c r="A982">
        <v>981</v>
      </c>
      <c r="B982" t="s">
        <v>1482</v>
      </c>
      <c r="C982" s="2" t="s">
        <v>81</v>
      </c>
      <c r="D982" s="2">
        <f t="shared" ca="1" si="60"/>
        <v>23</v>
      </c>
      <c r="E982" t="s">
        <v>23</v>
      </c>
      <c r="F982" t="s">
        <v>1483</v>
      </c>
      <c r="G982" t="s">
        <v>175</v>
      </c>
      <c r="H982" t="str">
        <f t="shared" si="61"/>
        <v>Abreu e Lima - PE</v>
      </c>
      <c r="I982" s="1" t="s">
        <v>281</v>
      </c>
      <c r="J982" s="3">
        <v>80</v>
      </c>
      <c r="K982" s="4">
        <f t="shared" si="62"/>
        <v>30.48315805517451</v>
      </c>
      <c r="L982" s="1" t="str">
        <f t="shared" si="63"/>
        <v>Obesidade grau I</v>
      </c>
      <c r="M982" t="s">
        <v>32</v>
      </c>
    </row>
    <row r="983" spans="1:13" x14ac:dyDescent="0.25">
      <c r="A983">
        <v>982</v>
      </c>
      <c r="B983" t="s">
        <v>2989</v>
      </c>
      <c r="C983" s="2" t="s">
        <v>2990</v>
      </c>
      <c r="D983" s="2">
        <f t="shared" ca="1" si="60"/>
        <v>49</v>
      </c>
      <c r="E983" t="s">
        <v>23</v>
      </c>
      <c r="F983" t="s">
        <v>64</v>
      </c>
      <c r="G983" t="s">
        <v>65</v>
      </c>
      <c r="H983" t="str">
        <f t="shared" si="61"/>
        <v>Salvador - BA</v>
      </c>
      <c r="I983" s="1" t="s">
        <v>209</v>
      </c>
      <c r="J983" s="3">
        <v>84</v>
      </c>
      <c r="K983" s="4">
        <f t="shared" si="62"/>
        <v>35.419126328217239</v>
      </c>
      <c r="L983" s="1" t="str">
        <f t="shared" si="63"/>
        <v>Obesidade grau II - severa</v>
      </c>
      <c r="M983" t="s">
        <v>20</v>
      </c>
    </row>
    <row r="984" spans="1:13" x14ac:dyDescent="0.25">
      <c r="A984">
        <v>983</v>
      </c>
      <c r="B984" t="s">
        <v>1976</v>
      </c>
      <c r="C984" s="2" t="s">
        <v>1977</v>
      </c>
      <c r="D984" s="2">
        <f t="shared" ca="1" si="60"/>
        <v>27</v>
      </c>
      <c r="E984" t="s">
        <v>10</v>
      </c>
      <c r="F984" t="s">
        <v>1978</v>
      </c>
      <c r="G984" t="s">
        <v>131</v>
      </c>
      <c r="H984" t="str">
        <f t="shared" si="61"/>
        <v>Navegantes - SC</v>
      </c>
      <c r="I984" s="1" t="s">
        <v>194</v>
      </c>
      <c r="J984" s="3">
        <v>79</v>
      </c>
      <c r="K984" s="4">
        <f t="shared" si="62"/>
        <v>23.082542001460919</v>
      </c>
      <c r="L984" s="1" t="str">
        <f t="shared" si="63"/>
        <v>Peso ideal - parabéns</v>
      </c>
      <c r="M984" t="s">
        <v>83</v>
      </c>
    </row>
    <row r="985" spans="1:13" x14ac:dyDescent="0.25">
      <c r="A985">
        <v>984</v>
      </c>
      <c r="B985" t="s">
        <v>3207</v>
      </c>
      <c r="C985" s="2" t="s">
        <v>3208</v>
      </c>
      <c r="D985" s="2">
        <f t="shared" ca="1" si="60"/>
        <v>66</v>
      </c>
      <c r="E985" t="s">
        <v>10</v>
      </c>
      <c r="F985" t="s">
        <v>733</v>
      </c>
      <c r="G985" t="s">
        <v>310</v>
      </c>
      <c r="H985" t="str">
        <f t="shared" si="61"/>
        <v>Porto Alegre - RS</v>
      </c>
      <c r="I985" s="1" t="s">
        <v>281</v>
      </c>
      <c r="J985" s="3">
        <v>65</v>
      </c>
      <c r="K985" s="4">
        <f t="shared" si="62"/>
        <v>24.767565919829291</v>
      </c>
      <c r="L985" s="1" t="str">
        <f t="shared" si="63"/>
        <v>Peso ideal - parabéns</v>
      </c>
      <c r="M985" t="s">
        <v>14</v>
      </c>
    </row>
    <row r="986" spans="1:13" x14ac:dyDescent="0.25">
      <c r="A986">
        <v>985</v>
      </c>
      <c r="B986" t="s">
        <v>3570</v>
      </c>
      <c r="C986" s="2" t="s">
        <v>3571</v>
      </c>
      <c r="D986" s="2">
        <f t="shared" ca="1" si="60"/>
        <v>46</v>
      </c>
      <c r="E986" t="s">
        <v>10</v>
      </c>
      <c r="F986" t="s">
        <v>153</v>
      </c>
      <c r="G986" t="s">
        <v>154</v>
      </c>
      <c r="H986" t="str">
        <f t="shared" si="61"/>
        <v>Manaus - AM</v>
      </c>
      <c r="I986" s="1" t="s">
        <v>13</v>
      </c>
      <c r="J986" s="3">
        <v>52</v>
      </c>
      <c r="K986" s="4">
        <f t="shared" si="62"/>
        <v>17.783249546869126</v>
      </c>
      <c r="L986" s="1" t="str">
        <f t="shared" si="63"/>
        <v>Abaixo do peso</v>
      </c>
      <c r="M986" t="s">
        <v>76</v>
      </c>
    </row>
    <row r="987" spans="1:13" x14ac:dyDescent="0.25">
      <c r="A987">
        <v>986</v>
      </c>
      <c r="B987" t="s">
        <v>1176</v>
      </c>
      <c r="C987" s="2" t="s">
        <v>1177</v>
      </c>
      <c r="D987" s="2">
        <f t="shared" ca="1" si="60"/>
        <v>30</v>
      </c>
      <c r="E987" t="s">
        <v>10</v>
      </c>
      <c r="F987" t="s">
        <v>1178</v>
      </c>
      <c r="G987" t="s">
        <v>46</v>
      </c>
      <c r="H987" t="str">
        <f t="shared" si="61"/>
        <v>Luziânia - GO</v>
      </c>
      <c r="I987" s="1" t="s">
        <v>694</v>
      </c>
      <c r="J987" s="3">
        <v>53</v>
      </c>
      <c r="K987" s="4">
        <f t="shared" si="62"/>
        <v>15.319690137588159</v>
      </c>
      <c r="L987" s="1" t="str">
        <f t="shared" si="63"/>
        <v>Muito abaixo do peso</v>
      </c>
      <c r="M987" t="s">
        <v>95</v>
      </c>
    </row>
    <row r="988" spans="1:13" x14ac:dyDescent="0.25">
      <c r="A988">
        <v>987</v>
      </c>
      <c r="B988" t="s">
        <v>1046</v>
      </c>
      <c r="C988" s="2" t="s">
        <v>1047</v>
      </c>
      <c r="D988" s="2">
        <f t="shared" ca="1" si="60"/>
        <v>35</v>
      </c>
      <c r="E988" t="s">
        <v>10</v>
      </c>
      <c r="F988" t="s">
        <v>189</v>
      </c>
      <c r="G988" t="s">
        <v>190</v>
      </c>
      <c r="H988" t="str">
        <f t="shared" si="61"/>
        <v>Cuiabá - MT</v>
      </c>
      <c r="I988" s="1" t="s">
        <v>117</v>
      </c>
      <c r="J988" s="3">
        <v>87</v>
      </c>
      <c r="K988" s="4">
        <f t="shared" si="62"/>
        <v>27.458654210326976</v>
      </c>
      <c r="L988" s="1" t="str">
        <f t="shared" si="63"/>
        <v>Levemente acima do peso</v>
      </c>
      <c r="M988" t="s">
        <v>32</v>
      </c>
    </row>
    <row r="989" spans="1:13" x14ac:dyDescent="0.25">
      <c r="A989">
        <v>988</v>
      </c>
      <c r="B989" t="s">
        <v>3703</v>
      </c>
      <c r="C989" s="2" t="s">
        <v>3704</v>
      </c>
      <c r="D989" s="2">
        <f t="shared" ca="1" si="60"/>
        <v>39</v>
      </c>
      <c r="E989" t="s">
        <v>10</v>
      </c>
      <c r="F989" t="s">
        <v>498</v>
      </c>
      <c r="G989" t="s">
        <v>131</v>
      </c>
      <c r="H989" t="str">
        <f t="shared" si="61"/>
        <v>Florianópolis - SC</v>
      </c>
      <c r="I989" s="1" t="s">
        <v>13</v>
      </c>
      <c r="J989" s="3">
        <v>92</v>
      </c>
      <c r="K989" s="4">
        <f t="shared" si="62"/>
        <v>31.462672275229988</v>
      </c>
      <c r="L989" s="1" t="str">
        <f t="shared" si="63"/>
        <v>Obesidade grau I</v>
      </c>
      <c r="M989" t="s">
        <v>47</v>
      </c>
    </row>
    <row r="990" spans="1:13" x14ac:dyDescent="0.25">
      <c r="A990">
        <v>989</v>
      </c>
      <c r="B990" t="s">
        <v>2525</v>
      </c>
      <c r="C990" s="2" t="s">
        <v>2526</v>
      </c>
      <c r="D990" s="2">
        <f t="shared" ca="1" si="60"/>
        <v>59</v>
      </c>
      <c r="E990" t="s">
        <v>10</v>
      </c>
      <c r="F990" t="s">
        <v>236</v>
      </c>
      <c r="G990" t="s">
        <v>237</v>
      </c>
      <c r="H990" t="str">
        <f t="shared" si="61"/>
        <v>Teresina - PI</v>
      </c>
      <c r="I990" s="1" t="s">
        <v>86</v>
      </c>
      <c r="J990" s="3">
        <v>109</v>
      </c>
      <c r="K990" s="4">
        <f t="shared" si="62"/>
        <v>33.271267665822165</v>
      </c>
      <c r="L990" s="1" t="str">
        <f t="shared" si="63"/>
        <v>Obesidade grau I</v>
      </c>
      <c r="M990" t="s">
        <v>95</v>
      </c>
    </row>
    <row r="991" spans="1:13" x14ac:dyDescent="0.25">
      <c r="A991">
        <v>990</v>
      </c>
      <c r="B991" t="s">
        <v>2343</v>
      </c>
      <c r="C991" s="2" t="s">
        <v>2344</v>
      </c>
      <c r="D991" s="2">
        <f t="shared" ca="1" si="60"/>
        <v>43</v>
      </c>
      <c r="E991" t="s">
        <v>10</v>
      </c>
      <c r="F991" t="s">
        <v>204</v>
      </c>
      <c r="G991" t="s">
        <v>112</v>
      </c>
      <c r="H991" t="str">
        <f t="shared" si="61"/>
        <v>Belém - PA</v>
      </c>
      <c r="I991" s="1" t="s">
        <v>66</v>
      </c>
      <c r="J991" s="3">
        <v>77</v>
      </c>
      <c r="K991" s="4">
        <f t="shared" si="62"/>
        <v>21.785875961973744</v>
      </c>
      <c r="L991" s="1" t="str">
        <f t="shared" si="63"/>
        <v>Peso ideal - parabéns</v>
      </c>
      <c r="M991" t="s">
        <v>95</v>
      </c>
    </row>
    <row r="992" spans="1:13" x14ac:dyDescent="0.25">
      <c r="A992">
        <v>991</v>
      </c>
      <c r="B992" t="s">
        <v>1242</v>
      </c>
      <c r="C992" s="2" t="s">
        <v>1243</v>
      </c>
      <c r="D992" s="2">
        <f t="shared" ca="1" si="60"/>
        <v>42</v>
      </c>
      <c r="E992" t="s">
        <v>10</v>
      </c>
      <c r="F992" t="s">
        <v>336</v>
      </c>
      <c r="G992" t="s">
        <v>12</v>
      </c>
      <c r="H992" t="str">
        <f t="shared" si="61"/>
        <v>Juazeiro do Norte - CE</v>
      </c>
      <c r="I992" s="1" t="s">
        <v>61</v>
      </c>
      <c r="J992" s="3">
        <v>70</v>
      </c>
      <c r="K992" s="4">
        <f t="shared" si="62"/>
        <v>19.596315892612189</v>
      </c>
      <c r="L992" s="1" t="str">
        <f t="shared" si="63"/>
        <v>Peso ideal - parabéns</v>
      </c>
      <c r="M992" t="s">
        <v>14</v>
      </c>
    </row>
    <row r="993" spans="1:13" x14ac:dyDescent="0.25">
      <c r="A993">
        <v>992</v>
      </c>
      <c r="B993" t="s">
        <v>378</v>
      </c>
      <c r="C993" s="2" t="s">
        <v>379</v>
      </c>
      <c r="D993" s="2">
        <f t="shared" ca="1" si="60"/>
        <v>41</v>
      </c>
      <c r="E993" t="s">
        <v>10</v>
      </c>
      <c r="F993" t="s">
        <v>380</v>
      </c>
      <c r="G993" t="s">
        <v>112</v>
      </c>
      <c r="H993" t="str">
        <f t="shared" si="61"/>
        <v>Ananindeua - PA</v>
      </c>
      <c r="I993" s="1" t="s">
        <v>108</v>
      </c>
      <c r="J993" s="3">
        <v>67</v>
      </c>
      <c r="K993" s="4">
        <f t="shared" si="62"/>
        <v>18.36572462377676</v>
      </c>
      <c r="L993" s="1" t="str">
        <f t="shared" si="63"/>
        <v>Abaixo do peso</v>
      </c>
      <c r="M993" t="s">
        <v>95</v>
      </c>
    </row>
    <row r="994" spans="1:13" x14ac:dyDescent="0.25">
      <c r="A994">
        <v>993</v>
      </c>
      <c r="B994" t="s">
        <v>2102</v>
      </c>
      <c r="C994" s="2" t="s">
        <v>2103</v>
      </c>
      <c r="D994" s="2">
        <f t="shared" ca="1" si="60"/>
        <v>80</v>
      </c>
      <c r="E994" t="s">
        <v>10</v>
      </c>
      <c r="F994" t="s">
        <v>241</v>
      </c>
      <c r="G994" t="s">
        <v>190</v>
      </c>
      <c r="H994" t="str">
        <f t="shared" si="61"/>
        <v>Várzea Grande - MT</v>
      </c>
      <c r="I994" s="1" t="s">
        <v>123</v>
      </c>
      <c r="J994" s="3">
        <v>102</v>
      </c>
      <c r="K994" s="4">
        <f t="shared" si="62"/>
        <v>32.928719008264466</v>
      </c>
      <c r="L994" s="1" t="str">
        <f t="shared" si="63"/>
        <v>Obesidade grau I</v>
      </c>
      <c r="M994" t="s">
        <v>32</v>
      </c>
    </row>
    <row r="995" spans="1:13" x14ac:dyDescent="0.25">
      <c r="A995">
        <v>994</v>
      </c>
      <c r="B995" t="s">
        <v>2658</v>
      </c>
      <c r="C995" s="2" t="s">
        <v>2659</v>
      </c>
      <c r="D995" s="2">
        <f t="shared" ca="1" si="60"/>
        <v>23</v>
      </c>
      <c r="E995" t="s">
        <v>10</v>
      </c>
      <c r="F995" t="s">
        <v>74</v>
      </c>
      <c r="G995" t="s">
        <v>75</v>
      </c>
      <c r="H995" t="str">
        <f t="shared" si="61"/>
        <v>Macapá - AP</v>
      </c>
      <c r="I995" s="1" t="s">
        <v>61</v>
      </c>
      <c r="J995" s="3">
        <v>57</v>
      </c>
      <c r="K995" s="4">
        <f t="shared" si="62"/>
        <v>15.957000083984212</v>
      </c>
      <c r="L995" s="1" t="str">
        <f t="shared" si="63"/>
        <v>Muito abaixo do peso</v>
      </c>
      <c r="M995" t="s">
        <v>20</v>
      </c>
    </row>
    <row r="996" spans="1:13" x14ac:dyDescent="0.25">
      <c r="A996">
        <v>995</v>
      </c>
      <c r="B996" t="s">
        <v>1138</v>
      </c>
      <c r="C996" s="2" t="s">
        <v>1139</v>
      </c>
      <c r="D996" s="2">
        <f t="shared" ca="1" si="60"/>
        <v>28</v>
      </c>
      <c r="E996" t="s">
        <v>23</v>
      </c>
      <c r="F996" t="s">
        <v>107</v>
      </c>
      <c r="G996" t="s">
        <v>36</v>
      </c>
      <c r="H996" t="str">
        <f t="shared" si="61"/>
        <v>São Luís - MA</v>
      </c>
      <c r="I996" s="1" t="s">
        <v>416</v>
      </c>
      <c r="J996" s="3">
        <v>73</v>
      </c>
      <c r="K996" s="4">
        <f t="shared" si="62"/>
        <v>28.162493730951734</v>
      </c>
      <c r="L996" s="1" t="str">
        <f t="shared" si="63"/>
        <v>Levemente acima do peso</v>
      </c>
      <c r="M996" t="s">
        <v>14</v>
      </c>
    </row>
    <row r="997" spans="1:13" x14ac:dyDescent="0.25">
      <c r="A997">
        <v>996</v>
      </c>
      <c r="B997" t="s">
        <v>535</v>
      </c>
      <c r="C997" s="2" t="s">
        <v>536</v>
      </c>
      <c r="D997" s="2">
        <f t="shared" ca="1" si="60"/>
        <v>81</v>
      </c>
      <c r="E997" t="s">
        <v>23</v>
      </c>
      <c r="F997" t="s">
        <v>537</v>
      </c>
      <c r="G997" t="s">
        <v>55</v>
      </c>
      <c r="H997" t="str">
        <f t="shared" si="61"/>
        <v>Guarapuava - PR</v>
      </c>
      <c r="I997" s="1" t="s">
        <v>171</v>
      </c>
      <c r="J997" s="3">
        <v>56</v>
      </c>
      <c r="K997" s="4">
        <f t="shared" si="62"/>
        <v>20.07960127648894</v>
      </c>
      <c r="L997" s="1" t="str">
        <f t="shared" si="63"/>
        <v>Peso ideal - parabéns</v>
      </c>
      <c r="M997" t="s">
        <v>14</v>
      </c>
    </row>
    <row r="998" spans="1:13" x14ac:dyDescent="0.25">
      <c r="A998">
        <v>997</v>
      </c>
      <c r="B998" t="s">
        <v>542</v>
      </c>
      <c r="C998" s="2" t="s">
        <v>543</v>
      </c>
      <c r="D998" s="2">
        <f t="shared" ca="1" si="60"/>
        <v>55</v>
      </c>
      <c r="E998" t="s">
        <v>23</v>
      </c>
      <c r="F998" t="s">
        <v>236</v>
      </c>
      <c r="G998" t="s">
        <v>237</v>
      </c>
      <c r="H998" t="str">
        <f t="shared" si="61"/>
        <v>Teresina - PI</v>
      </c>
      <c r="I998" s="1" t="s">
        <v>71</v>
      </c>
      <c r="J998" s="3">
        <v>59</v>
      </c>
      <c r="K998" s="4">
        <f t="shared" si="62"/>
        <v>17.617725223207618</v>
      </c>
      <c r="L998" s="1" t="str">
        <f t="shared" si="63"/>
        <v>Abaixo do peso</v>
      </c>
      <c r="M998" t="s">
        <v>32</v>
      </c>
    </row>
    <row r="999" spans="1:13" x14ac:dyDescent="0.25">
      <c r="A999">
        <v>998</v>
      </c>
      <c r="B999" t="s">
        <v>1400</v>
      </c>
      <c r="C999" s="2" t="s">
        <v>1401</v>
      </c>
      <c r="D999" s="2">
        <f t="shared" ca="1" si="60"/>
        <v>53</v>
      </c>
      <c r="E999" t="s">
        <v>23</v>
      </c>
      <c r="F999" t="s">
        <v>153</v>
      </c>
      <c r="G999" t="s">
        <v>154</v>
      </c>
      <c r="H999" t="str">
        <f t="shared" si="61"/>
        <v>Manaus - AM</v>
      </c>
      <c r="I999" s="1" t="s">
        <v>42</v>
      </c>
      <c r="J999" s="3">
        <v>89</v>
      </c>
      <c r="K999" s="4">
        <f t="shared" si="62"/>
        <v>27.776910832995224</v>
      </c>
      <c r="L999" s="1" t="str">
        <f t="shared" si="63"/>
        <v>Levemente acima do peso</v>
      </c>
      <c r="M999" t="s">
        <v>95</v>
      </c>
    </row>
    <row r="1000" spans="1:13" x14ac:dyDescent="0.25">
      <c r="A1000">
        <v>999</v>
      </c>
      <c r="B1000" t="s">
        <v>3707</v>
      </c>
      <c r="C1000" s="2" t="s">
        <v>3708</v>
      </c>
      <c r="D1000" s="2">
        <f t="shared" ca="1" si="60"/>
        <v>62</v>
      </c>
      <c r="E1000" t="s">
        <v>23</v>
      </c>
      <c r="F1000" t="s">
        <v>1468</v>
      </c>
      <c r="G1000" t="s">
        <v>186</v>
      </c>
      <c r="H1000" t="str">
        <f t="shared" si="61"/>
        <v>Ituiutaba - MG</v>
      </c>
      <c r="I1000" s="1" t="s">
        <v>302</v>
      </c>
      <c r="J1000" s="3">
        <v>63</v>
      </c>
      <c r="K1000" s="4">
        <f t="shared" si="62"/>
        <v>27.630367089162757</v>
      </c>
      <c r="L1000" s="1" t="str">
        <f t="shared" si="63"/>
        <v>Levemente acima do peso</v>
      </c>
      <c r="M1000" t="s">
        <v>20</v>
      </c>
    </row>
    <row r="1001" spans="1:13" x14ac:dyDescent="0.25">
      <c r="A1001">
        <v>1000</v>
      </c>
      <c r="B1001" t="s">
        <v>227</v>
      </c>
      <c r="C1001" s="2" t="s">
        <v>228</v>
      </c>
      <c r="D1001" s="2">
        <f t="shared" ca="1" si="60"/>
        <v>57</v>
      </c>
      <c r="E1001" t="s">
        <v>23</v>
      </c>
      <c r="F1001" t="s">
        <v>208</v>
      </c>
      <c r="G1001" t="s">
        <v>30</v>
      </c>
      <c r="H1001" t="str">
        <f t="shared" si="61"/>
        <v>Ji-Paraná - RO</v>
      </c>
      <c r="I1001" s="1" t="s">
        <v>90</v>
      </c>
      <c r="J1001" s="3">
        <v>70</v>
      </c>
      <c r="K1001" s="4">
        <f t="shared" si="62"/>
        <v>23.661438615467823</v>
      </c>
      <c r="L1001" s="1" t="str">
        <f t="shared" si="63"/>
        <v>Peso ideal - parabéns</v>
      </c>
      <c r="M1001" t="s">
        <v>95</v>
      </c>
    </row>
    <row r="1002" spans="1:13" x14ac:dyDescent="0.25">
      <c r="A1002">
        <v>1001</v>
      </c>
      <c r="B1002" t="s">
        <v>586</v>
      </c>
      <c r="C1002" s="2" t="s">
        <v>587</v>
      </c>
      <c r="D1002" s="2">
        <f t="shared" ca="1" si="60"/>
        <v>66</v>
      </c>
      <c r="E1002" t="s">
        <v>23</v>
      </c>
      <c r="F1002" t="s">
        <v>204</v>
      </c>
      <c r="G1002" t="s">
        <v>112</v>
      </c>
      <c r="H1002" t="str">
        <f t="shared" si="61"/>
        <v>Belém - PA</v>
      </c>
      <c r="I1002" s="1" t="s">
        <v>213</v>
      </c>
      <c r="J1002" s="3">
        <v>82</v>
      </c>
      <c r="K1002" s="4">
        <f t="shared" si="62"/>
        <v>35.491689750692522</v>
      </c>
      <c r="L1002" s="1" t="str">
        <f t="shared" si="63"/>
        <v>Obesidade grau II - severa</v>
      </c>
      <c r="M1002" t="s">
        <v>32</v>
      </c>
    </row>
    <row r="1003" spans="1:13" x14ac:dyDescent="0.25">
      <c r="A1003">
        <v>1002</v>
      </c>
      <c r="B1003" t="s">
        <v>1916</v>
      </c>
      <c r="C1003" s="2" t="s">
        <v>1917</v>
      </c>
      <c r="D1003" s="2">
        <f t="shared" ca="1" si="60"/>
        <v>39</v>
      </c>
      <c r="E1003" t="s">
        <v>23</v>
      </c>
      <c r="F1003" t="s">
        <v>208</v>
      </c>
      <c r="G1003" t="s">
        <v>30</v>
      </c>
      <c r="H1003" t="str">
        <f t="shared" si="61"/>
        <v>Ji-Paraná - RO</v>
      </c>
      <c r="I1003" s="1" t="s">
        <v>179</v>
      </c>
      <c r="J1003" s="3">
        <v>89</v>
      </c>
      <c r="K1003" s="4">
        <f t="shared" si="62"/>
        <v>29.396221429515126</v>
      </c>
      <c r="L1003" s="1" t="str">
        <f t="shared" si="63"/>
        <v>Levemente acima do peso</v>
      </c>
      <c r="M1003" t="s">
        <v>76</v>
      </c>
    </row>
    <row r="1004" spans="1:13" x14ac:dyDescent="0.25">
      <c r="A1004">
        <v>1003</v>
      </c>
      <c r="B1004" t="s">
        <v>311</v>
      </c>
      <c r="C1004" s="2" t="s">
        <v>312</v>
      </c>
      <c r="D1004" s="2">
        <f t="shared" ca="1" si="60"/>
        <v>45</v>
      </c>
      <c r="E1004" t="s">
        <v>23</v>
      </c>
      <c r="F1004" t="s">
        <v>313</v>
      </c>
      <c r="G1004" t="s">
        <v>25</v>
      </c>
      <c r="H1004" t="str">
        <f t="shared" si="61"/>
        <v>Parnamirim - RN</v>
      </c>
      <c r="I1004" s="1" t="s">
        <v>286</v>
      </c>
      <c r="J1004" s="3">
        <v>56</v>
      </c>
      <c r="K1004" s="4">
        <f t="shared" si="62"/>
        <v>20.569329660238754</v>
      </c>
      <c r="L1004" s="1" t="str">
        <f t="shared" si="63"/>
        <v>Peso ideal - parabéns</v>
      </c>
      <c r="M1004" t="s">
        <v>32</v>
      </c>
    </row>
    <row r="1005" spans="1:13" x14ac:dyDescent="0.25">
      <c r="A1005">
        <v>1004</v>
      </c>
      <c r="B1005" t="s">
        <v>2212</v>
      </c>
      <c r="C1005" s="2" t="s">
        <v>2213</v>
      </c>
      <c r="D1005" s="2">
        <f t="shared" ca="1" si="60"/>
        <v>81</v>
      </c>
      <c r="E1005" t="s">
        <v>10</v>
      </c>
      <c r="F1005" t="s">
        <v>1256</v>
      </c>
      <c r="G1005" t="s">
        <v>103</v>
      </c>
      <c r="H1005" t="str">
        <f t="shared" si="61"/>
        <v>Araraquara - SP</v>
      </c>
      <c r="I1005" s="1" t="s">
        <v>42</v>
      </c>
      <c r="J1005" s="3">
        <v>67</v>
      </c>
      <c r="K1005" s="4">
        <f t="shared" si="62"/>
        <v>20.910708155176181</v>
      </c>
      <c r="L1005" s="1" t="str">
        <f t="shared" si="63"/>
        <v>Peso ideal - parabéns</v>
      </c>
      <c r="M1005" t="s">
        <v>26</v>
      </c>
    </row>
    <row r="1006" spans="1:13" x14ac:dyDescent="0.25">
      <c r="A1006">
        <v>1005</v>
      </c>
      <c r="B1006" t="s">
        <v>2736</v>
      </c>
      <c r="C1006" s="2" t="s">
        <v>320</v>
      </c>
      <c r="D1006" s="2">
        <f t="shared" ca="1" si="60"/>
        <v>40</v>
      </c>
      <c r="E1006" t="s">
        <v>10</v>
      </c>
      <c r="F1006" t="s">
        <v>1496</v>
      </c>
      <c r="G1006" t="s">
        <v>112</v>
      </c>
      <c r="H1006" t="str">
        <f t="shared" si="61"/>
        <v>Redenção - PA</v>
      </c>
      <c r="I1006" s="1" t="s">
        <v>99</v>
      </c>
      <c r="J1006" s="3">
        <v>108</v>
      </c>
      <c r="K1006" s="4">
        <f t="shared" si="62"/>
        <v>28.695929429269849</v>
      </c>
      <c r="L1006" s="1" t="str">
        <f t="shared" si="63"/>
        <v>Levemente acima do peso</v>
      </c>
      <c r="M1006" t="s">
        <v>14</v>
      </c>
    </row>
    <row r="1007" spans="1:13" x14ac:dyDescent="0.25">
      <c r="A1007">
        <v>1006</v>
      </c>
      <c r="B1007" t="s">
        <v>3296</v>
      </c>
      <c r="C1007" s="2" t="s">
        <v>3297</v>
      </c>
      <c r="D1007" s="2">
        <f t="shared" ca="1" si="60"/>
        <v>44</v>
      </c>
      <c r="E1007" t="s">
        <v>10</v>
      </c>
      <c r="F1007" t="s">
        <v>89</v>
      </c>
      <c r="G1007" t="s">
        <v>12</v>
      </c>
      <c r="H1007" t="str">
        <f t="shared" si="61"/>
        <v>Fortaleza - CE</v>
      </c>
      <c r="I1007" s="1" t="s">
        <v>113</v>
      </c>
      <c r="J1007" s="3">
        <v>68</v>
      </c>
      <c r="K1007" s="4">
        <f t="shared" si="62"/>
        <v>25.59373706198954</v>
      </c>
      <c r="L1007" s="1" t="str">
        <f t="shared" si="63"/>
        <v>Levemente acima do peso</v>
      </c>
      <c r="M1007" t="s">
        <v>47</v>
      </c>
    </row>
    <row r="1008" spans="1:13" x14ac:dyDescent="0.25">
      <c r="A1008">
        <v>1007</v>
      </c>
      <c r="B1008" t="s">
        <v>3592</v>
      </c>
      <c r="C1008" s="2" t="s">
        <v>3593</v>
      </c>
      <c r="D1008" s="2">
        <f t="shared" ca="1" si="60"/>
        <v>54</v>
      </c>
      <c r="E1008" t="s">
        <v>10</v>
      </c>
      <c r="F1008" t="s">
        <v>236</v>
      </c>
      <c r="G1008" t="s">
        <v>237</v>
      </c>
      <c r="H1008" t="str">
        <f t="shared" si="61"/>
        <v>Teresina - PI</v>
      </c>
      <c r="I1008" s="1" t="s">
        <v>104</v>
      </c>
      <c r="J1008" s="3">
        <v>81</v>
      </c>
      <c r="K1008" s="4">
        <f t="shared" si="62"/>
        <v>28.027681660899656</v>
      </c>
      <c r="L1008" s="1" t="str">
        <f t="shared" si="63"/>
        <v>Levemente acima do peso</v>
      </c>
      <c r="M1008" t="s">
        <v>47</v>
      </c>
    </row>
    <row r="1009" spans="1:13" x14ac:dyDescent="0.25">
      <c r="A1009">
        <v>1008</v>
      </c>
      <c r="B1009" t="s">
        <v>3138</v>
      </c>
      <c r="C1009" s="2" t="s">
        <v>3139</v>
      </c>
      <c r="D1009" s="2">
        <f t="shared" ca="1" si="60"/>
        <v>42</v>
      </c>
      <c r="E1009" t="s">
        <v>10</v>
      </c>
      <c r="F1009" t="s">
        <v>681</v>
      </c>
      <c r="G1009" t="s">
        <v>175</v>
      </c>
      <c r="H1009" t="str">
        <f t="shared" si="61"/>
        <v>Jaboatão dos Guararapes - PE</v>
      </c>
      <c r="I1009" s="1" t="s">
        <v>31</v>
      </c>
      <c r="J1009" s="3">
        <v>107</v>
      </c>
      <c r="K1009" s="4">
        <f t="shared" si="62"/>
        <v>39.782867340868535</v>
      </c>
      <c r="L1009" s="1" t="str">
        <f t="shared" si="63"/>
        <v>Obesidade grau II - severa</v>
      </c>
      <c r="M1009" t="s">
        <v>26</v>
      </c>
    </row>
    <row r="1010" spans="1:13" x14ac:dyDescent="0.25">
      <c r="A1010">
        <v>1009</v>
      </c>
      <c r="B1010" t="s">
        <v>4150</v>
      </c>
      <c r="C1010" s="2" t="s">
        <v>3061</v>
      </c>
      <c r="D1010" s="2">
        <f t="shared" ca="1" si="60"/>
        <v>41</v>
      </c>
      <c r="E1010" t="s">
        <v>10</v>
      </c>
      <c r="F1010" t="s">
        <v>3173</v>
      </c>
      <c r="G1010" t="s">
        <v>310</v>
      </c>
      <c r="H1010" t="str">
        <f t="shared" si="61"/>
        <v>Santa Cruz do Sul - RS</v>
      </c>
      <c r="I1010" s="1" t="s">
        <v>194</v>
      </c>
      <c r="J1010" s="3">
        <v>100</v>
      </c>
      <c r="K1010" s="4">
        <f t="shared" si="62"/>
        <v>29.218407596785973</v>
      </c>
      <c r="L1010" s="1" t="str">
        <f t="shared" si="63"/>
        <v>Levemente acima do peso</v>
      </c>
      <c r="M1010" t="s">
        <v>20</v>
      </c>
    </row>
    <row r="1011" spans="1:13" x14ac:dyDescent="0.25">
      <c r="A1011">
        <v>1010</v>
      </c>
      <c r="B1011" t="s">
        <v>3161</v>
      </c>
      <c r="C1011" s="2" t="s">
        <v>3162</v>
      </c>
      <c r="D1011" s="2">
        <f t="shared" ca="1" si="60"/>
        <v>55</v>
      </c>
      <c r="E1011" t="s">
        <v>10</v>
      </c>
      <c r="F1011" t="s">
        <v>733</v>
      </c>
      <c r="G1011" t="s">
        <v>310</v>
      </c>
      <c r="H1011" t="str">
        <f t="shared" si="61"/>
        <v>Porto Alegre - RS</v>
      </c>
      <c r="I1011" s="1" t="s">
        <v>386</v>
      </c>
      <c r="J1011" s="3">
        <v>88</v>
      </c>
      <c r="K1011" s="4">
        <f t="shared" si="62"/>
        <v>31.934968790825955</v>
      </c>
      <c r="L1011" s="1" t="str">
        <f t="shared" si="63"/>
        <v>Obesidade grau I</v>
      </c>
      <c r="M1011" t="s">
        <v>26</v>
      </c>
    </row>
    <row r="1012" spans="1:13" x14ac:dyDescent="0.25">
      <c r="A1012">
        <v>1011</v>
      </c>
      <c r="B1012" t="s">
        <v>4054</v>
      </c>
      <c r="C1012" s="2" t="s">
        <v>4055</v>
      </c>
      <c r="D1012" s="2">
        <f t="shared" ca="1" si="60"/>
        <v>63</v>
      </c>
      <c r="E1012" t="s">
        <v>10</v>
      </c>
      <c r="F1012" t="s">
        <v>24</v>
      </c>
      <c r="G1012" t="s">
        <v>25</v>
      </c>
      <c r="H1012" t="str">
        <f t="shared" si="61"/>
        <v>Natal - RN</v>
      </c>
      <c r="I1012" s="1" t="s">
        <v>117</v>
      </c>
      <c r="J1012" s="3">
        <v>100</v>
      </c>
      <c r="K1012" s="4">
        <f t="shared" si="62"/>
        <v>31.561671506122963</v>
      </c>
      <c r="L1012" s="1" t="str">
        <f t="shared" si="63"/>
        <v>Obesidade grau I</v>
      </c>
      <c r="M1012" t="s">
        <v>32</v>
      </c>
    </row>
    <row r="1013" spans="1:13" x14ac:dyDescent="0.25">
      <c r="A1013">
        <v>1012</v>
      </c>
      <c r="B1013" t="s">
        <v>4114</v>
      </c>
      <c r="C1013" s="2" t="s">
        <v>4115</v>
      </c>
      <c r="D1013" s="2">
        <f t="shared" ca="1" si="60"/>
        <v>51</v>
      </c>
      <c r="E1013" t="s">
        <v>10</v>
      </c>
      <c r="F1013" t="s">
        <v>126</v>
      </c>
      <c r="G1013" t="s">
        <v>127</v>
      </c>
      <c r="H1013" t="str">
        <f t="shared" si="61"/>
        <v>Boa Vista - RR</v>
      </c>
      <c r="I1013" s="1" t="s">
        <v>132</v>
      </c>
      <c r="J1013" s="3">
        <v>103</v>
      </c>
      <c r="K1013" s="4">
        <f t="shared" si="62"/>
        <v>29.45465984157396</v>
      </c>
      <c r="L1013" s="1" t="str">
        <f t="shared" si="63"/>
        <v>Levemente acima do peso</v>
      </c>
      <c r="M1013" t="s">
        <v>47</v>
      </c>
    </row>
    <row r="1014" spans="1:13" x14ac:dyDescent="0.25">
      <c r="A1014">
        <v>1013</v>
      </c>
      <c r="B1014" t="s">
        <v>3236</v>
      </c>
      <c r="C1014" s="2" t="s">
        <v>3237</v>
      </c>
      <c r="D1014" s="2">
        <f t="shared" ca="1" si="60"/>
        <v>63</v>
      </c>
      <c r="E1014" t="s">
        <v>10</v>
      </c>
      <c r="F1014" t="s">
        <v>1503</v>
      </c>
      <c r="G1014" t="s">
        <v>55</v>
      </c>
      <c r="H1014" t="str">
        <f t="shared" si="61"/>
        <v>Maringá - PR</v>
      </c>
      <c r="I1014" s="1" t="s">
        <v>694</v>
      </c>
      <c r="J1014" s="3">
        <v>78</v>
      </c>
      <c r="K1014" s="4">
        <f t="shared" si="62"/>
        <v>22.54595907041276</v>
      </c>
      <c r="L1014" s="1" t="str">
        <f t="shared" si="63"/>
        <v>Peso ideal - parabéns</v>
      </c>
      <c r="M1014" t="s">
        <v>76</v>
      </c>
    </row>
    <row r="1015" spans="1:13" x14ac:dyDescent="0.25">
      <c r="A1015">
        <v>1014</v>
      </c>
      <c r="B1015" t="s">
        <v>3711</v>
      </c>
      <c r="C1015" s="2" t="s">
        <v>3712</v>
      </c>
      <c r="D1015" s="2">
        <f t="shared" ca="1" si="60"/>
        <v>73</v>
      </c>
      <c r="E1015" t="s">
        <v>10</v>
      </c>
      <c r="F1015" t="s">
        <v>405</v>
      </c>
      <c r="G1015" t="s">
        <v>170</v>
      </c>
      <c r="H1015" t="str">
        <f t="shared" si="61"/>
        <v>Palmeira dos Índios - AL</v>
      </c>
      <c r="I1015" s="1" t="s">
        <v>155</v>
      </c>
      <c r="J1015" s="3">
        <v>55</v>
      </c>
      <c r="K1015" s="4">
        <f t="shared" si="62"/>
        <v>16.604274846033086</v>
      </c>
      <c r="L1015" s="1" t="str">
        <f t="shared" si="63"/>
        <v>Muito abaixo do peso</v>
      </c>
      <c r="M1015" t="s">
        <v>47</v>
      </c>
    </row>
    <row r="1016" spans="1:13" x14ac:dyDescent="0.25">
      <c r="A1016">
        <v>1015</v>
      </c>
      <c r="B1016" t="s">
        <v>3094</v>
      </c>
      <c r="C1016" s="2" t="s">
        <v>3095</v>
      </c>
      <c r="D1016" s="2">
        <f t="shared" ca="1" si="60"/>
        <v>66</v>
      </c>
      <c r="E1016" t="s">
        <v>10</v>
      </c>
      <c r="F1016" t="s">
        <v>144</v>
      </c>
      <c r="G1016" t="s">
        <v>12</v>
      </c>
      <c r="H1016" t="str">
        <f t="shared" si="61"/>
        <v>Maranguape - CE</v>
      </c>
      <c r="I1016" s="1" t="s">
        <v>194</v>
      </c>
      <c r="J1016" s="3">
        <v>66</v>
      </c>
      <c r="K1016" s="4">
        <f t="shared" si="62"/>
        <v>19.284149013878743</v>
      </c>
      <c r="L1016" s="1" t="str">
        <f t="shared" si="63"/>
        <v>Peso ideal - parabéns</v>
      </c>
      <c r="M1016" t="s">
        <v>83</v>
      </c>
    </row>
    <row r="1017" spans="1:13" x14ac:dyDescent="0.25">
      <c r="A1017">
        <v>1016</v>
      </c>
      <c r="B1017" t="s">
        <v>2144</v>
      </c>
      <c r="C1017" s="2" t="s">
        <v>2145</v>
      </c>
      <c r="D1017" s="2">
        <f t="shared" ca="1" si="60"/>
        <v>69</v>
      </c>
      <c r="E1017" t="s">
        <v>23</v>
      </c>
      <c r="F1017" t="s">
        <v>2146</v>
      </c>
      <c r="G1017" t="s">
        <v>310</v>
      </c>
      <c r="H1017" t="str">
        <f t="shared" si="61"/>
        <v>Passo Fundo - RS</v>
      </c>
      <c r="I1017" s="1" t="s">
        <v>302</v>
      </c>
      <c r="J1017" s="3">
        <v>46</v>
      </c>
      <c r="K1017" s="4">
        <f t="shared" si="62"/>
        <v>20.174553747642648</v>
      </c>
      <c r="L1017" s="1" t="str">
        <f t="shared" si="63"/>
        <v>Peso ideal - parabéns</v>
      </c>
      <c r="M1017" t="s">
        <v>76</v>
      </c>
    </row>
    <row r="1018" spans="1:13" x14ac:dyDescent="0.25">
      <c r="A1018">
        <v>1017</v>
      </c>
      <c r="B1018" t="s">
        <v>834</v>
      </c>
      <c r="C1018" s="2" t="s">
        <v>835</v>
      </c>
      <c r="D1018" s="2">
        <f t="shared" ca="1" si="60"/>
        <v>71</v>
      </c>
      <c r="E1018" t="s">
        <v>23</v>
      </c>
      <c r="F1018" t="s">
        <v>272</v>
      </c>
      <c r="G1018" t="s">
        <v>273</v>
      </c>
      <c r="H1018" t="str">
        <f t="shared" si="61"/>
        <v>Vitória - ES</v>
      </c>
      <c r="I1018" s="1" t="s">
        <v>56</v>
      </c>
      <c r="J1018" s="3">
        <v>70</v>
      </c>
      <c r="K1018" s="4">
        <f t="shared" si="62"/>
        <v>24.508945765204302</v>
      </c>
      <c r="L1018" s="1" t="str">
        <f t="shared" si="63"/>
        <v>Peso ideal - parabéns</v>
      </c>
      <c r="M1018" t="s">
        <v>47</v>
      </c>
    </row>
    <row r="1019" spans="1:13" x14ac:dyDescent="0.25">
      <c r="A1019">
        <v>1018</v>
      </c>
      <c r="B1019" t="s">
        <v>3745</v>
      </c>
      <c r="C1019" s="2" t="s">
        <v>3692</v>
      </c>
      <c r="D1019" s="2">
        <f t="shared" ca="1" si="60"/>
        <v>70</v>
      </c>
      <c r="E1019" t="s">
        <v>23</v>
      </c>
      <c r="F1019" t="s">
        <v>64</v>
      </c>
      <c r="G1019" t="s">
        <v>65</v>
      </c>
      <c r="H1019" t="str">
        <f t="shared" si="61"/>
        <v>Salvador - BA</v>
      </c>
      <c r="I1019" s="1" t="s">
        <v>179</v>
      </c>
      <c r="J1019" s="3">
        <v>75</v>
      </c>
      <c r="K1019" s="4">
        <f t="shared" si="62"/>
        <v>24.772096710265558</v>
      </c>
      <c r="L1019" s="1" t="str">
        <f t="shared" si="63"/>
        <v>Peso ideal - parabéns</v>
      </c>
      <c r="M1019" t="s">
        <v>32</v>
      </c>
    </row>
    <row r="1020" spans="1:13" x14ac:dyDescent="0.25">
      <c r="A1020">
        <v>1019</v>
      </c>
      <c r="B1020" t="s">
        <v>3336</v>
      </c>
      <c r="C1020" s="2" t="s">
        <v>3337</v>
      </c>
      <c r="D1020" s="2">
        <f t="shared" ca="1" si="60"/>
        <v>29</v>
      </c>
      <c r="E1020" t="s">
        <v>23</v>
      </c>
      <c r="F1020" t="s">
        <v>74</v>
      </c>
      <c r="G1020" t="s">
        <v>75</v>
      </c>
      <c r="H1020" t="str">
        <f t="shared" si="61"/>
        <v>Macapá - AP</v>
      </c>
      <c r="I1020" s="1" t="s">
        <v>198</v>
      </c>
      <c r="J1020" s="3">
        <v>45</v>
      </c>
      <c r="K1020" s="4">
        <f t="shared" si="62"/>
        <v>18.25631871475516</v>
      </c>
      <c r="L1020" s="1" t="str">
        <f t="shared" si="63"/>
        <v>Abaixo do peso</v>
      </c>
      <c r="M1020" t="s">
        <v>76</v>
      </c>
    </row>
    <row r="1021" spans="1:13" x14ac:dyDescent="0.25">
      <c r="A1021">
        <v>1020</v>
      </c>
      <c r="B1021" t="s">
        <v>3996</v>
      </c>
      <c r="C1021" s="2" t="s">
        <v>3997</v>
      </c>
      <c r="D1021" s="2">
        <f t="shared" ca="1" si="60"/>
        <v>38</v>
      </c>
      <c r="E1021" t="s">
        <v>23</v>
      </c>
      <c r="F1021" t="s">
        <v>45</v>
      </c>
      <c r="G1021" t="s">
        <v>46</v>
      </c>
      <c r="H1021" t="str">
        <f t="shared" si="61"/>
        <v>Goiânia - GO</v>
      </c>
      <c r="I1021" s="1" t="s">
        <v>209</v>
      </c>
      <c r="J1021" s="3">
        <v>47</v>
      </c>
      <c r="K1021" s="4">
        <f t="shared" si="62"/>
        <v>19.817844493169169</v>
      </c>
      <c r="L1021" s="1" t="str">
        <f t="shared" si="63"/>
        <v>Peso ideal - parabéns</v>
      </c>
      <c r="M1021" t="s">
        <v>95</v>
      </c>
    </row>
    <row r="1022" spans="1:13" x14ac:dyDescent="0.25">
      <c r="A1022">
        <v>1021</v>
      </c>
      <c r="B1022" t="s">
        <v>3984</v>
      </c>
      <c r="C1022" s="2" t="s">
        <v>3203</v>
      </c>
      <c r="D1022" s="2">
        <f t="shared" ca="1" si="60"/>
        <v>70</v>
      </c>
      <c r="E1022" t="s">
        <v>10</v>
      </c>
      <c r="F1022" t="s">
        <v>169</v>
      </c>
      <c r="G1022" t="s">
        <v>170</v>
      </c>
      <c r="H1022" t="str">
        <f t="shared" si="61"/>
        <v>Maceió - AL</v>
      </c>
      <c r="I1022" s="1" t="s">
        <v>400</v>
      </c>
      <c r="J1022" s="3">
        <v>63</v>
      </c>
      <c r="K1022" s="4">
        <f t="shared" si="62"/>
        <v>19.444444444444443</v>
      </c>
      <c r="L1022" s="1" t="str">
        <f t="shared" si="63"/>
        <v>Peso ideal - parabéns</v>
      </c>
      <c r="M1022" t="s">
        <v>26</v>
      </c>
    </row>
    <row r="1023" spans="1:13" x14ac:dyDescent="0.25">
      <c r="A1023">
        <v>1022</v>
      </c>
      <c r="B1023" t="s">
        <v>3054</v>
      </c>
      <c r="C1023" s="2" t="s">
        <v>3055</v>
      </c>
      <c r="D1023" s="2">
        <f t="shared" ca="1" si="60"/>
        <v>36</v>
      </c>
      <c r="E1023" t="s">
        <v>10</v>
      </c>
      <c r="F1023" t="s">
        <v>236</v>
      </c>
      <c r="G1023" t="s">
        <v>237</v>
      </c>
      <c r="H1023" t="str">
        <f t="shared" si="61"/>
        <v>Teresina - PI</v>
      </c>
      <c r="I1023" s="1" t="s">
        <v>31</v>
      </c>
      <c r="J1023" s="3">
        <v>85</v>
      </c>
      <c r="K1023" s="4">
        <f t="shared" si="62"/>
        <v>31.603212373587155</v>
      </c>
      <c r="L1023" s="1" t="str">
        <f t="shared" si="63"/>
        <v>Obesidade grau I</v>
      </c>
      <c r="M1023" t="s">
        <v>76</v>
      </c>
    </row>
    <row r="1024" spans="1:13" x14ac:dyDescent="0.25">
      <c r="A1024">
        <v>1023</v>
      </c>
      <c r="B1024" t="s">
        <v>3798</v>
      </c>
      <c r="C1024" s="2" t="s">
        <v>3799</v>
      </c>
      <c r="D1024" s="2">
        <f t="shared" ca="1" si="60"/>
        <v>78</v>
      </c>
      <c r="E1024" t="s">
        <v>10</v>
      </c>
      <c r="F1024" t="s">
        <v>24</v>
      </c>
      <c r="G1024" t="s">
        <v>25</v>
      </c>
      <c r="H1024" t="str">
        <f t="shared" si="61"/>
        <v>Natal - RN</v>
      </c>
      <c r="I1024" s="1" t="s">
        <v>31</v>
      </c>
      <c r="J1024" s="3">
        <v>105</v>
      </c>
      <c r="K1024" s="4">
        <f t="shared" si="62"/>
        <v>39.039262343842957</v>
      </c>
      <c r="L1024" s="1" t="str">
        <f t="shared" si="63"/>
        <v>Obesidade grau II - severa</v>
      </c>
      <c r="M1024" t="s">
        <v>20</v>
      </c>
    </row>
    <row r="1025" spans="1:13" x14ac:dyDescent="0.25">
      <c r="A1025">
        <v>1024</v>
      </c>
      <c r="B1025" t="s">
        <v>3798</v>
      </c>
      <c r="C1025" s="2" t="s">
        <v>3799</v>
      </c>
      <c r="D1025" s="2">
        <f t="shared" ca="1" si="60"/>
        <v>78</v>
      </c>
      <c r="E1025" t="s">
        <v>10</v>
      </c>
      <c r="F1025" t="s">
        <v>24</v>
      </c>
      <c r="G1025" t="s">
        <v>25</v>
      </c>
      <c r="H1025" t="str">
        <f t="shared" si="61"/>
        <v>Natal - RN</v>
      </c>
      <c r="I1025" s="1" t="s">
        <v>31</v>
      </c>
      <c r="J1025" s="3">
        <v>105</v>
      </c>
      <c r="K1025" s="4">
        <f t="shared" si="62"/>
        <v>39.039262343842957</v>
      </c>
      <c r="L1025" s="1" t="str">
        <f t="shared" si="63"/>
        <v>Obesidade grau II - severa</v>
      </c>
      <c r="M1025" t="s">
        <v>20</v>
      </c>
    </row>
    <row r="1026" spans="1:13" x14ac:dyDescent="0.25">
      <c r="A1026">
        <v>1025</v>
      </c>
      <c r="B1026" t="s">
        <v>2121</v>
      </c>
      <c r="C1026" s="2" t="s">
        <v>2122</v>
      </c>
      <c r="D1026" s="2">
        <f t="shared" ca="1" si="60"/>
        <v>60</v>
      </c>
      <c r="E1026" t="s">
        <v>10</v>
      </c>
      <c r="F1026" t="s">
        <v>383</v>
      </c>
      <c r="G1026" t="s">
        <v>237</v>
      </c>
      <c r="H1026" t="str">
        <f t="shared" si="61"/>
        <v>Parnaíba - PI</v>
      </c>
      <c r="I1026" s="1" t="s">
        <v>104</v>
      </c>
      <c r="J1026" s="3">
        <v>81</v>
      </c>
      <c r="K1026" s="4">
        <f t="shared" si="62"/>
        <v>28.027681660899656</v>
      </c>
      <c r="L1026" s="1" t="str">
        <f t="shared" si="63"/>
        <v>Levemente acima do peso</v>
      </c>
      <c r="M1026" t="s">
        <v>95</v>
      </c>
    </row>
    <row r="1027" spans="1:13" x14ac:dyDescent="0.25">
      <c r="A1027">
        <v>1026</v>
      </c>
      <c r="B1027" t="s">
        <v>2820</v>
      </c>
      <c r="C1027" s="2" t="s">
        <v>2821</v>
      </c>
      <c r="D1027" s="2">
        <f t="shared" ref="D1027:D1090" ca="1" si="64">YEAR(TODAY())-YEAR(C1027)</f>
        <v>59</v>
      </c>
      <c r="E1027" t="s">
        <v>10</v>
      </c>
      <c r="F1027" t="s">
        <v>17</v>
      </c>
      <c r="G1027" t="s">
        <v>18</v>
      </c>
      <c r="H1027" t="str">
        <f t="shared" ref="H1027:H1090" si="65">CONCATENATE(F1027," - ",G1027)</f>
        <v>Campo Grande - MS</v>
      </c>
      <c r="I1027" s="1" t="s">
        <v>117</v>
      </c>
      <c r="J1027" s="3">
        <v>70</v>
      </c>
      <c r="K1027" s="4">
        <f t="shared" ref="K1027:K1090" si="66">J1027/(I1027*I1027)</f>
        <v>22.093170054286073</v>
      </c>
      <c r="L1027" s="1" t="str">
        <f t="shared" ref="L1027:L1090" si="67">IF(K1027&gt;=40,"Obesidade grau III - mórbida",
IF(K1027&gt;=35,"Obesidade grau II - severa",
IF(K1027&gt;=30,"Obesidade grau I",
IF(K1027&gt;=25,"Levemente acima do peso",
IF(K1027&gt;=18.6,"Peso ideal - parabéns",
IF(K1027&gt;=17,"Abaixo do peso",
"Muito abaixo do peso"))))))</f>
        <v>Peso ideal - parabéns</v>
      </c>
      <c r="M1027" t="s">
        <v>32</v>
      </c>
    </row>
    <row r="1028" spans="1:13" x14ac:dyDescent="0.25">
      <c r="A1028">
        <v>1027</v>
      </c>
      <c r="B1028" t="s">
        <v>1343</v>
      </c>
      <c r="C1028" s="2" t="s">
        <v>1344</v>
      </c>
      <c r="D1028" s="2">
        <f t="shared" ca="1" si="64"/>
        <v>20</v>
      </c>
      <c r="E1028" t="s">
        <v>10</v>
      </c>
      <c r="F1028" t="s">
        <v>1083</v>
      </c>
      <c r="G1028" t="s">
        <v>65</v>
      </c>
      <c r="H1028" t="str">
        <f t="shared" si="65"/>
        <v>Itabuna - BA</v>
      </c>
      <c r="I1028" s="1" t="s">
        <v>179</v>
      </c>
      <c r="J1028" s="3">
        <v>53</v>
      </c>
      <c r="K1028" s="4">
        <f t="shared" si="66"/>
        <v>17.505615008587661</v>
      </c>
      <c r="L1028" s="1" t="str">
        <f t="shared" si="67"/>
        <v>Abaixo do peso</v>
      </c>
      <c r="M1028" t="s">
        <v>32</v>
      </c>
    </row>
    <row r="1029" spans="1:13" x14ac:dyDescent="0.25">
      <c r="A1029">
        <v>1028</v>
      </c>
      <c r="B1029" t="s">
        <v>1296</v>
      </c>
      <c r="C1029" s="2" t="s">
        <v>1297</v>
      </c>
      <c r="D1029" s="2">
        <f t="shared" ca="1" si="64"/>
        <v>66</v>
      </c>
      <c r="E1029" t="s">
        <v>10</v>
      </c>
      <c r="F1029" t="s">
        <v>733</v>
      </c>
      <c r="G1029" t="s">
        <v>310</v>
      </c>
      <c r="H1029" t="str">
        <f t="shared" si="65"/>
        <v>Porto Alegre - RS</v>
      </c>
      <c r="I1029" s="1" t="s">
        <v>71</v>
      </c>
      <c r="J1029" s="3">
        <v>72</v>
      </c>
      <c r="K1029" s="4">
        <f t="shared" si="66"/>
        <v>21.49959688255845</v>
      </c>
      <c r="L1029" s="1" t="str">
        <f t="shared" si="67"/>
        <v>Peso ideal - parabéns</v>
      </c>
      <c r="M1029" t="s">
        <v>95</v>
      </c>
    </row>
    <row r="1030" spans="1:13" x14ac:dyDescent="0.25">
      <c r="A1030">
        <v>1029</v>
      </c>
      <c r="B1030" t="s">
        <v>2775</v>
      </c>
      <c r="C1030" s="2" t="s">
        <v>2776</v>
      </c>
      <c r="D1030" s="2">
        <f t="shared" ca="1" si="64"/>
        <v>65</v>
      </c>
      <c r="E1030" t="s">
        <v>10</v>
      </c>
      <c r="F1030" t="s">
        <v>64</v>
      </c>
      <c r="G1030" t="s">
        <v>65</v>
      </c>
      <c r="H1030" t="str">
        <f t="shared" si="65"/>
        <v>Salvador - BA</v>
      </c>
      <c r="I1030" s="1" t="s">
        <v>90</v>
      </c>
      <c r="J1030" s="3">
        <v>90</v>
      </c>
      <c r="K1030" s="4">
        <f t="shared" si="66"/>
        <v>30.421849648458629</v>
      </c>
      <c r="L1030" s="1" t="str">
        <f t="shared" si="67"/>
        <v>Obesidade grau I</v>
      </c>
      <c r="M1030" t="s">
        <v>20</v>
      </c>
    </row>
    <row r="1031" spans="1:13" x14ac:dyDescent="0.25">
      <c r="A1031">
        <v>1030</v>
      </c>
      <c r="B1031" t="s">
        <v>753</v>
      </c>
      <c r="C1031" s="2" t="s">
        <v>754</v>
      </c>
      <c r="D1031" s="2">
        <f t="shared" ca="1" si="64"/>
        <v>34</v>
      </c>
      <c r="E1031" t="s">
        <v>10</v>
      </c>
      <c r="F1031" t="s">
        <v>153</v>
      </c>
      <c r="G1031" t="s">
        <v>154</v>
      </c>
      <c r="H1031" t="str">
        <f t="shared" si="65"/>
        <v>Manaus - AM</v>
      </c>
      <c r="I1031" s="1" t="s">
        <v>37</v>
      </c>
      <c r="J1031" s="3">
        <v>97</v>
      </c>
      <c r="K1031" s="4">
        <f t="shared" si="66"/>
        <v>24.994202375737586</v>
      </c>
      <c r="L1031" s="1" t="str">
        <f t="shared" si="67"/>
        <v>Peso ideal - parabéns</v>
      </c>
      <c r="M1031" t="s">
        <v>76</v>
      </c>
    </row>
    <row r="1032" spans="1:13" x14ac:dyDescent="0.25">
      <c r="A1032">
        <v>1031</v>
      </c>
      <c r="B1032" t="s">
        <v>3264</v>
      </c>
      <c r="C1032" s="2" t="s">
        <v>3082</v>
      </c>
      <c r="D1032" s="2">
        <f t="shared" ca="1" si="64"/>
        <v>56</v>
      </c>
      <c r="E1032" t="s">
        <v>10</v>
      </c>
      <c r="F1032" t="s">
        <v>2359</v>
      </c>
      <c r="G1032" t="s">
        <v>103</v>
      </c>
      <c r="H1032" t="str">
        <f t="shared" si="65"/>
        <v>Ribeirão Preto - SP</v>
      </c>
      <c r="I1032" s="1" t="s">
        <v>386</v>
      </c>
      <c r="J1032" s="3">
        <v>59</v>
      </c>
      <c r="K1032" s="4">
        <f t="shared" si="66"/>
        <v>21.410944984758313</v>
      </c>
      <c r="L1032" s="1" t="str">
        <f t="shared" si="67"/>
        <v>Peso ideal - parabéns</v>
      </c>
      <c r="M1032" t="s">
        <v>76</v>
      </c>
    </row>
    <row r="1033" spans="1:13" x14ac:dyDescent="0.25">
      <c r="A1033">
        <v>1032</v>
      </c>
      <c r="B1033" t="s">
        <v>3011</v>
      </c>
      <c r="C1033" s="2" t="s">
        <v>3012</v>
      </c>
      <c r="D1033" s="2">
        <f t="shared" ca="1" si="64"/>
        <v>40</v>
      </c>
      <c r="E1033" t="s">
        <v>10</v>
      </c>
      <c r="F1033" t="s">
        <v>40</v>
      </c>
      <c r="G1033" t="s">
        <v>41</v>
      </c>
      <c r="H1033" t="str">
        <f t="shared" si="65"/>
        <v>Campina Grande - PB</v>
      </c>
      <c r="I1033" s="1" t="s">
        <v>155</v>
      </c>
      <c r="J1033" s="3">
        <v>85</v>
      </c>
      <c r="K1033" s="4">
        <f t="shared" si="66"/>
        <v>25.661152034778407</v>
      </c>
      <c r="L1033" s="1" t="str">
        <f t="shared" si="67"/>
        <v>Levemente acima do peso</v>
      </c>
      <c r="M1033" t="s">
        <v>26</v>
      </c>
    </row>
    <row r="1034" spans="1:13" x14ac:dyDescent="0.25">
      <c r="A1034">
        <v>1033</v>
      </c>
      <c r="B1034" t="s">
        <v>3147</v>
      </c>
      <c r="C1034" s="2" t="s">
        <v>3148</v>
      </c>
      <c r="D1034" s="2">
        <f t="shared" ca="1" si="64"/>
        <v>70</v>
      </c>
      <c r="E1034" t="s">
        <v>10</v>
      </c>
      <c r="F1034" t="s">
        <v>329</v>
      </c>
      <c r="G1034" t="s">
        <v>103</v>
      </c>
      <c r="H1034" t="str">
        <f t="shared" si="65"/>
        <v>Guarulhos - SP</v>
      </c>
      <c r="I1034" s="1" t="s">
        <v>155</v>
      </c>
      <c r="J1034" s="3">
        <v>105</v>
      </c>
      <c r="K1034" s="4">
        <f t="shared" si="66"/>
        <v>31.69907016060862</v>
      </c>
      <c r="L1034" s="1" t="str">
        <f t="shared" si="67"/>
        <v>Obesidade grau I</v>
      </c>
      <c r="M1034" t="s">
        <v>76</v>
      </c>
    </row>
    <row r="1035" spans="1:13" x14ac:dyDescent="0.25">
      <c r="A1035">
        <v>1034</v>
      </c>
      <c r="B1035" t="s">
        <v>444</v>
      </c>
      <c r="C1035" s="2" t="s">
        <v>445</v>
      </c>
      <c r="D1035" s="2">
        <f t="shared" ca="1" si="64"/>
        <v>40</v>
      </c>
      <c r="E1035" t="s">
        <v>10</v>
      </c>
      <c r="F1035" t="s">
        <v>446</v>
      </c>
      <c r="G1035" t="s">
        <v>170</v>
      </c>
      <c r="H1035" t="str">
        <f t="shared" si="65"/>
        <v>Arapiraca - AL</v>
      </c>
      <c r="I1035" s="1" t="s">
        <v>447</v>
      </c>
      <c r="J1035" s="3">
        <v>80</v>
      </c>
      <c r="K1035" s="4">
        <f t="shared" si="66"/>
        <v>26.122448979591837</v>
      </c>
      <c r="L1035" s="1" t="str">
        <f t="shared" si="67"/>
        <v>Levemente acima do peso</v>
      </c>
      <c r="M1035" t="s">
        <v>83</v>
      </c>
    </row>
    <row r="1036" spans="1:13" x14ac:dyDescent="0.25">
      <c r="A1036">
        <v>1035</v>
      </c>
      <c r="B1036" t="s">
        <v>3836</v>
      </c>
      <c r="C1036" s="2" t="s">
        <v>3837</v>
      </c>
      <c r="D1036" s="2">
        <f t="shared" ca="1" si="64"/>
        <v>30</v>
      </c>
      <c r="E1036" t="s">
        <v>23</v>
      </c>
      <c r="F1036" t="s">
        <v>422</v>
      </c>
      <c r="G1036" t="s">
        <v>65</v>
      </c>
      <c r="H1036" t="str">
        <f t="shared" si="65"/>
        <v>Feira de Santana - BA</v>
      </c>
      <c r="I1036" s="1" t="s">
        <v>123</v>
      </c>
      <c r="J1036" s="3">
        <v>69</v>
      </c>
      <c r="K1036" s="4">
        <f t="shared" si="66"/>
        <v>22.275309917355372</v>
      </c>
      <c r="L1036" s="1" t="str">
        <f t="shared" si="67"/>
        <v>Peso ideal - parabéns</v>
      </c>
      <c r="M1036" t="s">
        <v>14</v>
      </c>
    </row>
    <row r="1037" spans="1:13" x14ac:dyDescent="0.25">
      <c r="A1037">
        <v>1036</v>
      </c>
      <c r="B1037" t="s">
        <v>1932</v>
      </c>
      <c r="C1037" s="2" t="s">
        <v>1933</v>
      </c>
      <c r="D1037" s="2">
        <f t="shared" ca="1" si="64"/>
        <v>56</v>
      </c>
      <c r="E1037" t="s">
        <v>23</v>
      </c>
      <c r="F1037" t="s">
        <v>796</v>
      </c>
      <c r="G1037" t="s">
        <v>131</v>
      </c>
      <c r="H1037" t="str">
        <f t="shared" si="65"/>
        <v>Joinville - SC</v>
      </c>
      <c r="I1037" s="1" t="s">
        <v>56</v>
      </c>
      <c r="J1037" s="3">
        <v>89</v>
      </c>
      <c r="K1037" s="4">
        <f t="shared" si="66"/>
        <v>31.161373901474043</v>
      </c>
      <c r="L1037" s="1" t="str">
        <f t="shared" si="67"/>
        <v>Obesidade grau I</v>
      </c>
      <c r="M1037" t="s">
        <v>76</v>
      </c>
    </row>
    <row r="1038" spans="1:13" x14ac:dyDescent="0.25">
      <c r="A1038">
        <v>1037</v>
      </c>
      <c r="B1038" t="s">
        <v>660</v>
      </c>
      <c r="C1038" s="2" t="s">
        <v>661</v>
      </c>
      <c r="D1038" s="2">
        <f t="shared" ca="1" si="64"/>
        <v>67</v>
      </c>
      <c r="E1038" t="s">
        <v>23</v>
      </c>
      <c r="F1038" t="s">
        <v>45</v>
      </c>
      <c r="G1038" t="s">
        <v>46</v>
      </c>
      <c r="H1038" t="str">
        <f t="shared" si="65"/>
        <v>Goiânia - GO</v>
      </c>
      <c r="I1038" s="1" t="s">
        <v>416</v>
      </c>
      <c r="J1038" s="3">
        <v>79</v>
      </c>
      <c r="K1038" s="4">
        <f t="shared" si="66"/>
        <v>30.477219243084754</v>
      </c>
      <c r="L1038" s="1" t="str">
        <f t="shared" si="67"/>
        <v>Obesidade grau I</v>
      </c>
      <c r="M1038" t="s">
        <v>95</v>
      </c>
    </row>
    <row r="1039" spans="1:13" x14ac:dyDescent="0.25">
      <c r="A1039">
        <v>1038</v>
      </c>
      <c r="B1039" t="s">
        <v>850</v>
      </c>
      <c r="C1039" s="2" t="s">
        <v>851</v>
      </c>
      <c r="D1039" s="2">
        <f t="shared" ca="1" si="64"/>
        <v>43</v>
      </c>
      <c r="E1039" t="s">
        <v>23</v>
      </c>
      <c r="F1039" t="s">
        <v>852</v>
      </c>
      <c r="G1039" t="s">
        <v>186</v>
      </c>
      <c r="H1039" t="str">
        <f t="shared" si="65"/>
        <v>Belo Horizonte - MG</v>
      </c>
      <c r="I1039" s="1" t="s">
        <v>302</v>
      </c>
      <c r="J1039" s="3">
        <v>78</v>
      </c>
      <c r="K1039" s="4">
        <f t="shared" si="66"/>
        <v>34.209025919915796</v>
      </c>
      <c r="L1039" s="1" t="str">
        <f t="shared" si="67"/>
        <v>Obesidade grau I</v>
      </c>
      <c r="M1039" t="s">
        <v>20</v>
      </c>
    </row>
    <row r="1040" spans="1:13" x14ac:dyDescent="0.25">
      <c r="A1040">
        <v>1039</v>
      </c>
      <c r="B1040" t="s">
        <v>573</v>
      </c>
      <c r="C1040" s="2" t="s">
        <v>574</v>
      </c>
      <c r="D1040" s="2">
        <f t="shared" ca="1" si="64"/>
        <v>67</v>
      </c>
      <c r="E1040" t="s">
        <v>23</v>
      </c>
      <c r="F1040" t="s">
        <v>321</v>
      </c>
      <c r="G1040" t="s">
        <v>273</v>
      </c>
      <c r="H1040" t="str">
        <f t="shared" si="65"/>
        <v>Cariacica - ES</v>
      </c>
      <c r="I1040" s="1" t="s">
        <v>575</v>
      </c>
      <c r="J1040" s="3">
        <v>65</v>
      </c>
      <c r="K1040" s="4">
        <f t="shared" si="66"/>
        <v>25.711008267078039</v>
      </c>
      <c r="L1040" s="1" t="str">
        <f t="shared" si="67"/>
        <v>Levemente acima do peso</v>
      </c>
      <c r="M1040" t="s">
        <v>83</v>
      </c>
    </row>
    <row r="1041" spans="1:13" x14ac:dyDescent="0.25">
      <c r="A1041">
        <v>1040</v>
      </c>
      <c r="B1041" t="s">
        <v>3452</v>
      </c>
      <c r="C1041" s="2" t="s">
        <v>3453</v>
      </c>
      <c r="D1041" s="2">
        <f t="shared" ca="1" si="64"/>
        <v>44</v>
      </c>
      <c r="E1041" t="s">
        <v>23</v>
      </c>
      <c r="F1041" t="s">
        <v>3454</v>
      </c>
      <c r="G1041" t="s">
        <v>103</v>
      </c>
      <c r="H1041" t="str">
        <f t="shared" si="65"/>
        <v>Itapetininga - SP</v>
      </c>
      <c r="I1041" s="1" t="s">
        <v>179</v>
      </c>
      <c r="J1041" s="3">
        <v>45</v>
      </c>
      <c r="K1041" s="4">
        <f t="shared" si="66"/>
        <v>14.863258026159334</v>
      </c>
      <c r="L1041" s="1" t="str">
        <f t="shared" si="67"/>
        <v>Muito abaixo do peso</v>
      </c>
      <c r="M1041" t="s">
        <v>76</v>
      </c>
    </row>
    <row r="1042" spans="1:13" x14ac:dyDescent="0.25">
      <c r="A1042">
        <v>1041</v>
      </c>
      <c r="B1042" t="s">
        <v>1840</v>
      </c>
      <c r="C1042" s="2" t="s">
        <v>1841</v>
      </c>
      <c r="D1042" s="2">
        <f t="shared" ca="1" si="64"/>
        <v>28</v>
      </c>
      <c r="E1042" t="s">
        <v>23</v>
      </c>
      <c r="F1042" t="s">
        <v>1842</v>
      </c>
      <c r="G1042" t="s">
        <v>103</v>
      </c>
      <c r="H1042" t="str">
        <f t="shared" si="65"/>
        <v>Rio Claro - SP</v>
      </c>
      <c r="I1042" s="1" t="s">
        <v>575</v>
      </c>
      <c r="J1042" s="3">
        <v>69</v>
      </c>
      <c r="K1042" s="4">
        <f t="shared" si="66"/>
        <v>27.29322416043669</v>
      </c>
      <c r="L1042" s="1" t="str">
        <f t="shared" si="67"/>
        <v>Levemente acima do peso</v>
      </c>
      <c r="M1042" t="s">
        <v>26</v>
      </c>
    </row>
    <row r="1043" spans="1:13" x14ac:dyDescent="0.25">
      <c r="A1043">
        <v>1042</v>
      </c>
      <c r="B1043" t="s">
        <v>3566</v>
      </c>
      <c r="C1043" s="2" t="s">
        <v>3567</v>
      </c>
      <c r="D1043" s="2">
        <f t="shared" ca="1" si="64"/>
        <v>25</v>
      </c>
      <c r="E1043" t="s">
        <v>23</v>
      </c>
      <c r="F1043" t="s">
        <v>3395</v>
      </c>
      <c r="G1043" t="s">
        <v>310</v>
      </c>
      <c r="H1043" t="str">
        <f t="shared" si="65"/>
        <v>Viamão - RS</v>
      </c>
      <c r="I1043" s="1" t="s">
        <v>205</v>
      </c>
      <c r="J1043" s="3">
        <v>72</v>
      </c>
      <c r="K1043" s="4">
        <f t="shared" si="66"/>
        <v>30.757400999615534</v>
      </c>
      <c r="L1043" s="1" t="str">
        <f t="shared" si="67"/>
        <v>Obesidade grau I</v>
      </c>
      <c r="M1043" t="s">
        <v>95</v>
      </c>
    </row>
    <row r="1044" spans="1:13" x14ac:dyDescent="0.25">
      <c r="A1044">
        <v>1043</v>
      </c>
      <c r="B1044" t="s">
        <v>2477</v>
      </c>
      <c r="C1044" s="2" t="s">
        <v>2478</v>
      </c>
      <c r="D1044" s="2">
        <f t="shared" ca="1" si="64"/>
        <v>26</v>
      </c>
      <c r="E1044" t="s">
        <v>23</v>
      </c>
      <c r="F1044" t="s">
        <v>1126</v>
      </c>
      <c r="G1044" t="s">
        <v>186</v>
      </c>
      <c r="H1044" t="str">
        <f t="shared" si="65"/>
        <v>Pará de Minas - MG</v>
      </c>
      <c r="I1044" s="1" t="s">
        <v>582</v>
      </c>
      <c r="J1044" s="3">
        <v>64</v>
      </c>
      <c r="K1044" s="4">
        <f t="shared" si="66"/>
        <v>26.298487836949374</v>
      </c>
      <c r="L1044" s="1" t="str">
        <f t="shared" si="67"/>
        <v>Levemente acima do peso</v>
      </c>
      <c r="M1044" t="s">
        <v>20</v>
      </c>
    </row>
    <row r="1045" spans="1:13" x14ac:dyDescent="0.25">
      <c r="A1045">
        <v>1044</v>
      </c>
      <c r="B1045" t="s">
        <v>3165</v>
      </c>
      <c r="C1045" s="2" t="s">
        <v>2606</v>
      </c>
      <c r="D1045" s="2">
        <f t="shared" ca="1" si="64"/>
        <v>75</v>
      </c>
      <c r="E1045" t="s">
        <v>23</v>
      </c>
      <c r="F1045" t="s">
        <v>1748</v>
      </c>
      <c r="G1045" t="s">
        <v>12</v>
      </c>
      <c r="H1045" t="str">
        <f t="shared" si="65"/>
        <v>Maracanaú - CE</v>
      </c>
      <c r="I1045" s="1" t="s">
        <v>575</v>
      </c>
      <c r="J1045" s="3">
        <v>52</v>
      </c>
      <c r="K1045" s="4">
        <f t="shared" si="66"/>
        <v>20.568806613662431</v>
      </c>
      <c r="L1045" s="1" t="str">
        <f t="shared" si="67"/>
        <v>Peso ideal - parabéns</v>
      </c>
      <c r="M1045" t="s">
        <v>14</v>
      </c>
    </row>
    <row r="1046" spans="1:13" x14ac:dyDescent="0.25">
      <c r="A1046">
        <v>1045</v>
      </c>
      <c r="B1046" t="s">
        <v>183</v>
      </c>
      <c r="C1046" s="2" t="s">
        <v>184</v>
      </c>
      <c r="D1046" s="2">
        <f t="shared" ca="1" si="64"/>
        <v>71</v>
      </c>
      <c r="E1046" t="s">
        <v>23</v>
      </c>
      <c r="F1046" t="s">
        <v>185</v>
      </c>
      <c r="G1046" t="s">
        <v>186</v>
      </c>
      <c r="H1046" t="str">
        <f t="shared" si="65"/>
        <v>Montes Claros - MG</v>
      </c>
      <c r="I1046" s="1" t="s">
        <v>117</v>
      </c>
      <c r="J1046" s="3">
        <v>81</v>
      </c>
      <c r="K1046" s="4">
        <f t="shared" si="66"/>
        <v>25.564953919959599</v>
      </c>
      <c r="L1046" s="1" t="str">
        <f t="shared" si="67"/>
        <v>Levemente acima do peso</v>
      </c>
      <c r="M1046" t="s">
        <v>14</v>
      </c>
    </row>
    <row r="1047" spans="1:13" x14ac:dyDescent="0.25">
      <c r="A1047">
        <v>1046</v>
      </c>
      <c r="B1047" t="s">
        <v>3132</v>
      </c>
      <c r="C1047" s="2" t="s">
        <v>3133</v>
      </c>
      <c r="D1047" s="2">
        <f t="shared" ca="1" si="64"/>
        <v>80</v>
      </c>
      <c r="E1047" t="s">
        <v>23</v>
      </c>
      <c r="F1047" t="s">
        <v>354</v>
      </c>
      <c r="G1047" t="s">
        <v>30</v>
      </c>
      <c r="H1047" t="str">
        <f t="shared" si="65"/>
        <v>Porto Velho - RO</v>
      </c>
      <c r="I1047" s="1" t="s">
        <v>166</v>
      </c>
      <c r="J1047" s="3">
        <v>80</v>
      </c>
      <c r="K1047" s="4">
        <f t="shared" si="66"/>
        <v>28.344671201814062</v>
      </c>
      <c r="L1047" s="1" t="str">
        <f t="shared" si="67"/>
        <v>Levemente acima do peso</v>
      </c>
      <c r="M1047" t="s">
        <v>83</v>
      </c>
    </row>
    <row r="1048" spans="1:13" x14ac:dyDescent="0.25">
      <c r="A1048">
        <v>1047</v>
      </c>
      <c r="B1048" t="s">
        <v>3652</v>
      </c>
      <c r="C1048" s="2" t="s">
        <v>3653</v>
      </c>
      <c r="D1048" s="2">
        <f t="shared" ca="1" si="64"/>
        <v>76</v>
      </c>
      <c r="E1048" t="s">
        <v>23</v>
      </c>
      <c r="F1048" t="s">
        <v>291</v>
      </c>
      <c r="G1048" t="s">
        <v>131</v>
      </c>
      <c r="H1048" t="str">
        <f t="shared" si="65"/>
        <v>Blumenau - SC</v>
      </c>
      <c r="I1048" s="1" t="s">
        <v>582</v>
      </c>
      <c r="J1048" s="3">
        <v>47</v>
      </c>
      <c r="K1048" s="4">
        <f t="shared" si="66"/>
        <v>19.312952005259696</v>
      </c>
      <c r="L1048" s="1" t="str">
        <f t="shared" si="67"/>
        <v>Peso ideal - parabéns</v>
      </c>
      <c r="M1048" t="s">
        <v>83</v>
      </c>
    </row>
    <row r="1049" spans="1:13" x14ac:dyDescent="0.25">
      <c r="A1049">
        <v>1048</v>
      </c>
      <c r="B1049" t="s">
        <v>2293</v>
      </c>
      <c r="C1049" s="2" t="s">
        <v>2294</v>
      </c>
      <c r="D1049" s="2">
        <f t="shared" ca="1" si="64"/>
        <v>77</v>
      </c>
      <c r="E1049" t="s">
        <v>23</v>
      </c>
      <c r="F1049" t="s">
        <v>2295</v>
      </c>
      <c r="G1049" t="s">
        <v>175</v>
      </c>
      <c r="H1049" t="str">
        <f t="shared" si="65"/>
        <v>Paulista - PE</v>
      </c>
      <c r="I1049" s="1" t="s">
        <v>71</v>
      </c>
      <c r="J1049" s="3">
        <v>51</v>
      </c>
      <c r="K1049" s="4">
        <f t="shared" si="66"/>
        <v>15.228881125145568</v>
      </c>
      <c r="L1049" s="1" t="str">
        <f t="shared" si="67"/>
        <v>Muito abaixo do peso</v>
      </c>
      <c r="M1049" t="s">
        <v>32</v>
      </c>
    </row>
    <row r="1050" spans="1:13" x14ac:dyDescent="0.25">
      <c r="A1050">
        <v>1049</v>
      </c>
      <c r="B1050" t="s">
        <v>3246</v>
      </c>
      <c r="C1050" s="2" t="s">
        <v>3247</v>
      </c>
      <c r="D1050" s="2">
        <f t="shared" ca="1" si="64"/>
        <v>53</v>
      </c>
      <c r="E1050" t="s">
        <v>23</v>
      </c>
      <c r="F1050" t="s">
        <v>126</v>
      </c>
      <c r="G1050" t="s">
        <v>127</v>
      </c>
      <c r="H1050" t="str">
        <f t="shared" si="65"/>
        <v>Boa Vista - RR</v>
      </c>
      <c r="I1050" s="1" t="s">
        <v>113</v>
      </c>
      <c r="J1050" s="3">
        <v>62</v>
      </c>
      <c r="K1050" s="4">
        <f t="shared" si="66"/>
        <v>23.335466144755166</v>
      </c>
      <c r="L1050" s="1" t="str">
        <f t="shared" si="67"/>
        <v>Peso ideal - parabéns</v>
      </c>
      <c r="M1050" t="s">
        <v>14</v>
      </c>
    </row>
    <row r="1051" spans="1:13" x14ac:dyDescent="0.25">
      <c r="A1051">
        <v>1050</v>
      </c>
      <c r="B1051" t="s">
        <v>2520</v>
      </c>
      <c r="C1051" s="2" t="s">
        <v>2521</v>
      </c>
      <c r="D1051" s="2">
        <f t="shared" ca="1" si="64"/>
        <v>82</v>
      </c>
      <c r="E1051" t="s">
        <v>23</v>
      </c>
      <c r="F1051" t="s">
        <v>2522</v>
      </c>
      <c r="G1051" t="s">
        <v>51</v>
      </c>
      <c r="H1051" t="str">
        <f t="shared" si="65"/>
        <v>Nova Friburgo - RJ</v>
      </c>
      <c r="I1051" s="1" t="s">
        <v>400</v>
      </c>
      <c r="J1051" s="3">
        <v>74</v>
      </c>
      <c r="K1051" s="4">
        <f t="shared" si="66"/>
        <v>22.839506172839506</v>
      </c>
      <c r="L1051" s="1" t="str">
        <f t="shared" si="67"/>
        <v>Peso ideal - parabéns</v>
      </c>
      <c r="M1051" t="s">
        <v>14</v>
      </c>
    </row>
    <row r="1052" spans="1:13" x14ac:dyDescent="0.25">
      <c r="A1052">
        <v>1051</v>
      </c>
      <c r="B1052" t="s">
        <v>2750</v>
      </c>
      <c r="C1052" s="2" t="s">
        <v>2751</v>
      </c>
      <c r="D1052" s="2">
        <f t="shared" ca="1" si="64"/>
        <v>42</v>
      </c>
      <c r="E1052" t="s">
        <v>23</v>
      </c>
      <c r="F1052" t="s">
        <v>383</v>
      </c>
      <c r="G1052" t="s">
        <v>237</v>
      </c>
      <c r="H1052" t="str">
        <f t="shared" si="65"/>
        <v>Parnaíba - PI</v>
      </c>
      <c r="I1052" s="1" t="s">
        <v>90</v>
      </c>
      <c r="J1052" s="3">
        <v>65</v>
      </c>
      <c r="K1052" s="4">
        <f t="shared" si="66"/>
        <v>21.971335857220122</v>
      </c>
      <c r="L1052" s="1" t="str">
        <f t="shared" si="67"/>
        <v>Peso ideal - parabéns</v>
      </c>
      <c r="M1052" t="s">
        <v>26</v>
      </c>
    </row>
    <row r="1053" spans="1:13" x14ac:dyDescent="0.25">
      <c r="A1053">
        <v>1052</v>
      </c>
      <c r="B1053" t="s">
        <v>3100</v>
      </c>
      <c r="C1053" s="2" t="s">
        <v>3101</v>
      </c>
      <c r="D1053" s="2">
        <f t="shared" ca="1" si="64"/>
        <v>22</v>
      </c>
      <c r="E1053" t="s">
        <v>23</v>
      </c>
      <c r="F1053" t="s">
        <v>17</v>
      </c>
      <c r="G1053" t="s">
        <v>18</v>
      </c>
      <c r="H1053" t="str">
        <f t="shared" si="65"/>
        <v>Campo Grande - MS</v>
      </c>
      <c r="I1053" s="1" t="s">
        <v>247</v>
      </c>
      <c r="J1053" s="3">
        <v>62</v>
      </c>
      <c r="K1053" s="4">
        <f t="shared" si="66"/>
        <v>27.555555555555557</v>
      </c>
      <c r="L1053" s="1" t="str">
        <f t="shared" si="67"/>
        <v>Levemente acima do peso</v>
      </c>
      <c r="M1053" t="s">
        <v>95</v>
      </c>
    </row>
    <row r="1054" spans="1:13" x14ac:dyDescent="0.25">
      <c r="A1054">
        <v>1053</v>
      </c>
      <c r="B1054" t="s">
        <v>337</v>
      </c>
      <c r="C1054" s="2" t="s">
        <v>338</v>
      </c>
      <c r="D1054" s="2">
        <f t="shared" ca="1" si="64"/>
        <v>40</v>
      </c>
      <c r="E1054" t="s">
        <v>23</v>
      </c>
      <c r="F1054" t="s">
        <v>339</v>
      </c>
      <c r="G1054" t="s">
        <v>46</v>
      </c>
      <c r="H1054" t="str">
        <f t="shared" si="65"/>
        <v>Jataí - GO</v>
      </c>
      <c r="I1054" s="1" t="s">
        <v>155</v>
      </c>
      <c r="J1054" s="3">
        <v>60</v>
      </c>
      <c r="K1054" s="4">
        <f t="shared" si="66"/>
        <v>18.11375437749064</v>
      </c>
      <c r="L1054" s="1" t="str">
        <f t="shared" si="67"/>
        <v>Abaixo do peso</v>
      </c>
      <c r="M1054" t="s">
        <v>26</v>
      </c>
    </row>
    <row r="1055" spans="1:13" x14ac:dyDescent="0.25">
      <c r="A1055">
        <v>1054</v>
      </c>
      <c r="B1055" t="s">
        <v>2164</v>
      </c>
      <c r="C1055" s="2" t="s">
        <v>2165</v>
      </c>
      <c r="D1055" s="2">
        <f t="shared" ca="1" si="64"/>
        <v>67</v>
      </c>
      <c r="E1055" t="s">
        <v>23</v>
      </c>
      <c r="F1055" t="s">
        <v>107</v>
      </c>
      <c r="G1055" t="s">
        <v>36</v>
      </c>
      <c r="H1055" t="str">
        <f t="shared" si="65"/>
        <v>São Luís - MA</v>
      </c>
      <c r="I1055" s="1" t="s">
        <v>582</v>
      </c>
      <c r="J1055" s="3">
        <v>78</v>
      </c>
      <c r="K1055" s="4">
        <f t="shared" si="66"/>
        <v>32.051282051282051</v>
      </c>
      <c r="L1055" s="1" t="str">
        <f t="shared" si="67"/>
        <v>Obesidade grau I</v>
      </c>
      <c r="M1055" t="s">
        <v>32</v>
      </c>
    </row>
    <row r="1056" spans="1:13" x14ac:dyDescent="0.25">
      <c r="A1056">
        <v>1055</v>
      </c>
      <c r="B1056" t="s">
        <v>2405</v>
      </c>
      <c r="C1056" s="2" t="s">
        <v>2406</v>
      </c>
      <c r="D1056" s="2">
        <f t="shared" ca="1" si="64"/>
        <v>41</v>
      </c>
      <c r="E1056" t="s">
        <v>23</v>
      </c>
      <c r="F1056" t="s">
        <v>775</v>
      </c>
      <c r="G1056" t="s">
        <v>51</v>
      </c>
      <c r="H1056" t="str">
        <f t="shared" si="65"/>
        <v>Rio de Janeiro - RJ</v>
      </c>
      <c r="I1056" s="1" t="s">
        <v>94</v>
      </c>
      <c r="J1056" s="3">
        <v>64</v>
      </c>
      <c r="K1056" s="4">
        <f t="shared" si="66"/>
        <v>21.383941996057334</v>
      </c>
      <c r="L1056" s="1" t="str">
        <f t="shared" si="67"/>
        <v>Peso ideal - parabéns</v>
      </c>
      <c r="M1056" t="s">
        <v>20</v>
      </c>
    </row>
    <row r="1057" spans="1:13" x14ac:dyDescent="0.25">
      <c r="A1057">
        <v>1056</v>
      </c>
      <c r="B1057" t="s">
        <v>1446</v>
      </c>
      <c r="C1057" s="2" t="s">
        <v>1447</v>
      </c>
      <c r="D1057" s="2">
        <f t="shared" ca="1" si="64"/>
        <v>22</v>
      </c>
      <c r="E1057" t="s">
        <v>23</v>
      </c>
      <c r="F1057" t="s">
        <v>733</v>
      </c>
      <c r="G1057" t="s">
        <v>310</v>
      </c>
      <c r="H1057" t="str">
        <f t="shared" si="65"/>
        <v>Porto Alegre - RS</v>
      </c>
      <c r="I1057" s="1" t="s">
        <v>400</v>
      </c>
      <c r="J1057" s="3">
        <v>57</v>
      </c>
      <c r="K1057" s="4">
        <f t="shared" si="66"/>
        <v>17.592592592592592</v>
      </c>
      <c r="L1057" s="1" t="str">
        <f t="shared" si="67"/>
        <v>Abaixo do peso</v>
      </c>
      <c r="M1057" t="s">
        <v>26</v>
      </c>
    </row>
    <row r="1058" spans="1:13" x14ac:dyDescent="0.25">
      <c r="A1058">
        <v>1057</v>
      </c>
      <c r="B1058" t="s">
        <v>366</v>
      </c>
      <c r="C1058" s="2" t="s">
        <v>367</v>
      </c>
      <c r="D1058" s="2">
        <f t="shared" ca="1" si="64"/>
        <v>38</v>
      </c>
      <c r="E1058" t="s">
        <v>23</v>
      </c>
      <c r="F1058" t="s">
        <v>354</v>
      </c>
      <c r="G1058" t="s">
        <v>30</v>
      </c>
      <c r="H1058" t="str">
        <f t="shared" si="65"/>
        <v>Porto Velho - RO</v>
      </c>
      <c r="I1058" s="1" t="s">
        <v>123</v>
      </c>
      <c r="J1058" s="3">
        <v>80</v>
      </c>
      <c r="K1058" s="4">
        <f t="shared" si="66"/>
        <v>25.826446280991735</v>
      </c>
      <c r="L1058" s="1" t="str">
        <f t="shared" si="67"/>
        <v>Levemente acima do peso</v>
      </c>
      <c r="M1058" t="s">
        <v>95</v>
      </c>
    </row>
    <row r="1059" spans="1:13" x14ac:dyDescent="0.25">
      <c r="A1059">
        <v>1058</v>
      </c>
      <c r="B1059" t="s">
        <v>2088</v>
      </c>
      <c r="C1059" s="2" t="s">
        <v>2089</v>
      </c>
      <c r="D1059" s="2">
        <f t="shared" ca="1" si="64"/>
        <v>76</v>
      </c>
      <c r="E1059" t="s">
        <v>23</v>
      </c>
      <c r="F1059" t="s">
        <v>564</v>
      </c>
      <c r="G1059" t="s">
        <v>565</v>
      </c>
      <c r="H1059" t="str">
        <f t="shared" si="65"/>
        <v>Rio Branco - AC</v>
      </c>
      <c r="I1059" s="1" t="s">
        <v>90</v>
      </c>
      <c r="J1059" s="3">
        <v>84</v>
      </c>
      <c r="K1059" s="4">
        <f t="shared" si="66"/>
        <v>28.393726338561386</v>
      </c>
      <c r="L1059" s="1" t="str">
        <f t="shared" si="67"/>
        <v>Levemente acima do peso</v>
      </c>
      <c r="M1059" t="s">
        <v>83</v>
      </c>
    </row>
    <row r="1060" spans="1:13" x14ac:dyDescent="0.25">
      <c r="A1060">
        <v>1059</v>
      </c>
      <c r="B1060" t="s">
        <v>398</v>
      </c>
      <c r="C1060" s="2" t="s">
        <v>399</v>
      </c>
      <c r="D1060" s="2">
        <f t="shared" ca="1" si="64"/>
        <v>72</v>
      </c>
      <c r="E1060" t="s">
        <v>23</v>
      </c>
      <c r="F1060" t="s">
        <v>313</v>
      </c>
      <c r="G1060" t="s">
        <v>25</v>
      </c>
      <c r="H1060" t="str">
        <f t="shared" si="65"/>
        <v>Parnamirim - RN</v>
      </c>
      <c r="I1060" s="1" t="s">
        <v>400</v>
      </c>
      <c r="J1060" s="3">
        <v>48</v>
      </c>
      <c r="K1060" s="4">
        <f t="shared" si="66"/>
        <v>14.814814814814813</v>
      </c>
      <c r="L1060" s="1" t="str">
        <f t="shared" si="67"/>
        <v>Muito abaixo do peso</v>
      </c>
      <c r="M1060" t="s">
        <v>20</v>
      </c>
    </row>
    <row r="1061" spans="1:13" x14ac:dyDescent="0.25">
      <c r="A1061">
        <v>1060</v>
      </c>
      <c r="B1061" t="s">
        <v>3654</v>
      </c>
      <c r="C1061" s="2" t="s">
        <v>3293</v>
      </c>
      <c r="D1061" s="2">
        <f t="shared" ca="1" si="64"/>
        <v>44</v>
      </c>
      <c r="E1061" t="s">
        <v>23</v>
      </c>
      <c r="F1061" t="s">
        <v>1657</v>
      </c>
      <c r="G1061" t="s">
        <v>273</v>
      </c>
      <c r="H1061" t="str">
        <f t="shared" si="65"/>
        <v>São Mateus - ES</v>
      </c>
      <c r="I1061" s="1" t="s">
        <v>166</v>
      </c>
      <c r="J1061" s="3">
        <v>73</v>
      </c>
      <c r="K1061" s="4">
        <f t="shared" si="66"/>
        <v>25.864512471655331</v>
      </c>
      <c r="L1061" s="1" t="str">
        <f t="shared" si="67"/>
        <v>Levemente acima do peso</v>
      </c>
      <c r="M1061" t="s">
        <v>76</v>
      </c>
    </row>
    <row r="1062" spans="1:13" x14ac:dyDescent="0.25">
      <c r="A1062">
        <v>1061</v>
      </c>
      <c r="B1062" t="s">
        <v>2773</v>
      </c>
      <c r="C1062" s="2" t="s">
        <v>2774</v>
      </c>
      <c r="D1062" s="2">
        <f t="shared" ca="1" si="64"/>
        <v>53</v>
      </c>
      <c r="E1062" t="s">
        <v>23</v>
      </c>
      <c r="F1062" t="s">
        <v>158</v>
      </c>
      <c r="G1062" t="s">
        <v>159</v>
      </c>
      <c r="H1062" t="str">
        <f t="shared" si="65"/>
        <v>Brasília - DF</v>
      </c>
      <c r="I1062" s="1" t="s">
        <v>575</v>
      </c>
      <c r="J1062" s="3">
        <v>66</v>
      </c>
      <c r="K1062" s="4">
        <f t="shared" si="66"/>
        <v>26.106562240417702</v>
      </c>
      <c r="L1062" s="1" t="str">
        <f t="shared" si="67"/>
        <v>Levemente acima do peso</v>
      </c>
      <c r="M1062" t="s">
        <v>95</v>
      </c>
    </row>
    <row r="1063" spans="1:13" x14ac:dyDescent="0.25">
      <c r="A1063">
        <v>1062</v>
      </c>
      <c r="B1063" t="s">
        <v>3759</v>
      </c>
      <c r="C1063" s="2" t="s">
        <v>3760</v>
      </c>
      <c r="D1063" s="2">
        <f t="shared" ca="1" si="64"/>
        <v>50</v>
      </c>
      <c r="E1063" t="s">
        <v>23</v>
      </c>
      <c r="F1063" t="s">
        <v>153</v>
      </c>
      <c r="G1063" t="s">
        <v>154</v>
      </c>
      <c r="H1063" t="str">
        <f t="shared" si="65"/>
        <v>Manaus - AM</v>
      </c>
      <c r="I1063" s="1" t="s">
        <v>171</v>
      </c>
      <c r="J1063" s="3">
        <v>49</v>
      </c>
      <c r="K1063" s="4">
        <f t="shared" si="66"/>
        <v>17.569651116927822</v>
      </c>
      <c r="L1063" s="1" t="str">
        <f t="shared" si="67"/>
        <v>Abaixo do peso</v>
      </c>
      <c r="M1063" t="s">
        <v>14</v>
      </c>
    </row>
    <row r="1064" spans="1:13" x14ac:dyDescent="0.25">
      <c r="A1064">
        <v>1063</v>
      </c>
      <c r="B1064" t="s">
        <v>3588</v>
      </c>
      <c r="C1064" s="2" t="s">
        <v>3589</v>
      </c>
      <c r="D1064" s="2">
        <f t="shared" ca="1" si="64"/>
        <v>40</v>
      </c>
      <c r="E1064" t="s">
        <v>23</v>
      </c>
      <c r="F1064" t="s">
        <v>204</v>
      </c>
      <c r="G1064" t="s">
        <v>112</v>
      </c>
      <c r="H1064" t="str">
        <f t="shared" si="65"/>
        <v>Belém - PA</v>
      </c>
      <c r="I1064" s="1" t="s">
        <v>416</v>
      </c>
      <c r="J1064" s="3">
        <v>70</v>
      </c>
      <c r="K1064" s="4">
        <f t="shared" si="66"/>
        <v>27.005130974885226</v>
      </c>
      <c r="L1064" s="1" t="str">
        <f t="shared" si="67"/>
        <v>Levemente acima do peso</v>
      </c>
      <c r="M1064" t="s">
        <v>83</v>
      </c>
    </row>
    <row r="1065" spans="1:13" x14ac:dyDescent="0.25">
      <c r="A1065">
        <v>1064</v>
      </c>
      <c r="B1065" t="s">
        <v>780</v>
      </c>
      <c r="C1065" s="2" t="s">
        <v>781</v>
      </c>
      <c r="D1065" s="2">
        <f t="shared" ca="1" si="64"/>
        <v>66</v>
      </c>
      <c r="E1065" t="s">
        <v>23</v>
      </c>
      <c r="F1065" t="s">
        <v>89</v>
      </c>
      <c r="G1065" t="s">
        <v>12</v>
      </c>
      <c r="H1065" t="str">
        <f t="shared" si="65"/>
        <v>Fortaleza - CE</v>
      </c>
      <c r="I1065" s="1" t="s">
        <v>416</v>
      </c>
      <c r="J1065" s="3">
        <v>45</v>
      </c>
      <c r="K1065" s="4">
        <f t="shared" si="66"/>
        <v>17.360441340997646</v>
      </c>
      <c r="L1065" s="1" t="str">
        <f t="shared" si="67"/>
        <v>Abaixo do peso</v>
      </c>
      <c r="M1065" t="s">
        <v>14</v>
      </c>
    </row>
    <row r="1066" spans="1:13" x14ac:dyDescent="0.25">
      <c r="A1066">
        <v>1065</v>
      </c>
      <c r="B1066" t="s">
        <v>3338</v>
      </c>
      <c r="C1066" s="2" t="s">
        <v>2825</v>
      </c>
      <c r="D1066" s="2">
        <f t="shared" ca="1" si="64"/>
        <v>48</v>
      </c>
      <c r="E1066" t="s">
        <v>23</v>
      </c>
      <c r="F1066" t="s">
        <v>280</v>
      </c>
      <c r="G1066" t="s">
        <v>175</v>
      </c>
      <c r="H1066" t="str">
        <f t="shared" si="65"/>
        <v>Recife - PE</v>
      </c>
      <c r="I1066" s="1" t="s">
        <v>286</v>
      </c>
      <c r="J1066" s="3">
        <v>75</v>
      </c>
      <c r="K1066" s="4">
        <f t="shared" si="66"/>
        <v>27.548209366391188</v>
      </c>
      <c r="L1066" s="1" t="str">
        <f t="shared" si="67"/>
        <v>Levemente acima do peso</v>
      </c>
      <c r="M1066" t="s">
        <v>32</v>
      </c>
    </row>
    <row r="1067" spans="1:13" x14ac:dyDescent="0.25">
      <c r="A1067">
        <v>1066</v>
      </c>
      <c r="B1067" t="s">
        <v>1201</v>
      </c>
      <c r="C1067" s="2" t="s">
        <v>1202</v>
      </c>
      <c r="D1067" s="2">
        <f t="shared" ca="1" si="64"/>
        <v>81</v>
      </c>
      <c r="E1067" t="s">
        <v>23</v>
      </c>
      <c r="F1067" t="s">
        <v>537</v>
      </c>
      <c r="G1067" t="s">
        <v>55</v>
      </c>
      <c r="H1067" t="str">
        <f t="shared" si="65"/>
        <v>Guarapuava - PR</v>
      </c>
      <c r="I1067" s="1" t="s">
        <v>94</v>
      </c>
      <c r="J1067" s="3">
        <v>89</v>
      </c>
      <c r="K1067" s="4">
        <f t="shared" si="66"/>
        <v>29.737044338267232</v>
      </c>
      <c r="L1067" s="1" t="str">
        <f t="shared" si="67"/>
        <v>Levemente acima do peso</v>
      </c>
      <c r="M1067" t="s">
        <v>83</v>
      </c>
    </row>
    <row r="1068" spans="1:13" x14ac:dyDescent="0.25">
      <c r="A1068">
        <v>1067</v>
      </c>
      <c r="B1068" t="s">
        <v>3242</v>
      </c>
      <c r="C1068" s="2" t="s">
        <v>3243</v>
      </c>
      <c r="D1068" s="2">
        <f t="shared" ca="1" si="64"/>
        <v>22</v>
      </c>
      <c r="E1068" t="s">
        <v>23</v>
      </c>
      <c r="F1068" t="s">
        <v>1880</v>
      </c>
      <c r="G1068" t="s">
        <v>18</v>
      </c>
      <c r="H1068" t="str">
        <f t="shared" si="65"/>
        <v>Dourados - MS</v>
      </c>
      <c r="I1068" s="1" t="s">
        <v>582</v>
      </c>
      <c r="J1068" s="3">
        <v>77</v>
      </c>
      <c r="K1068" s="4">
        <f t="shared" si="66"/>
        <v>31.640368178829714</v>
      </c>
      <c r="L1068" s="1" t="str">
        <f t="shared" si="67"/>
        <v>Obesidade grau I</v>
      </c>
      <c r="M1068" t="s">
        <v>20</v>
      </c>
    </row>
    <row r="1069" spans="1:13" x14ac:dyDescent="0.25">
      <c r="A1069">
        <v>1068</v>
      </c>
      <c r="B1069" t="s">
        <v>3783</v>
      </c>
      <c r="C1069" s="2" t="s">
        <v>3512</v>
      </c>
      <c r="D1069" s="2">
        <f t="shared" ca="1" si="64"/>
        <v>75</v>
      </c>
      <c r="E1069" t="s">
        <v>23</v>
      </c>
      <c r="F1069" t="s">
        <v>564</v>
      </c>
      <c r="G1069" t="s">
        <v>565</v>
      </c>
      <c r="H1069" t="str">
        <f t="shared" si="65"/>
        <v>Rio Branco - AC</v>
      </c>
      <c r="I1069" s="1" t="s">
        <v>286</v>
      </c>
      <c r="J1069" s="3">
        <v>66</v>
      </c>
      <c r="K1069" s="4">
        <f t="shared" si="66"/>
        <v>24.242424242424246</v>
      </c>
      <c r="L1069" s="1" t="str">
        <f t="shared" si="67"/>
        <v>Peso ideal - parabéns</v>
      </c>
      <c r="M1069" t="s">
        <v>95</v>
      </c>
    </row>
    <row r="1070" spans="1:13" x14ac:dyDescent="0.25">
      <c r="A1070">
        <v>1069</v>
      </c>
      <c r="B1070" t="s">
        <v>3783</v>
      </c>
      <c r="C1070" s="2" t="s">
        <v>3512</v>
      </c>
      <c r="D1070" s="2">
        <f t="shared" ca="1" si="64"/>
        <v>75</v>
      </c>
      <c r="E1070" t="s">
        <v>23</v>
      </c>
      <c r="F1070" t="s">
        <v>564</v>
      </c>
      <c r="G1070" t="s">
        <v>565</v>
      </c>
      <c r="H1070" t="str">
        <f t="shared" si="65"/>
        <v>Rio Branco - AC</v>
      </c>
      <c r="I1070" s="1" t="s">
        <v>286</v>
      </c>
      <c r="J1070" s="3">
        <v>66</v>
      </c>
      <c r="K1070" s="4">
        <f t="shared" si="66"/>
        <v>24.242424242424246</v>
      </c>
      <c r="L1070" s="1" t="str">
        <f t="shared" si="67"/>
        <v>Peso ideal - parabéns</v>
      </c>
      <c r="M1070" t="s">
        <v>95</v>
      </c>
    </row>
    <row r="1071" spans="1:13" x14ac:dyDescent="0.25">
      <c r="A1071">
        <v>1070</v>
      </c>
      <c r="B1071" t="s">
        <v>303</v>
      </c>
      <c r="C1071" s="2" t="s">
        <v>304</v>
      </c>
      <c r="D1071" s="2">
        <f t="shared" ca="1" si="64"/>
        <v>45</v>
      </c>
      <c r="E1071" t="s">
        <v>23</v>
      </c>
      <c r="F1071" t="s">
        <v>138</v>
      </c>
      <c r="G1071" t="s">
        <v>46</v>
      </c>
      <c r="H1071" t="str">
        <f t="shared" si="65"/>
        <v>Aparecida de Goiânia - GO</v>
      </c>
      <c r="I1071" s="1" t="s">
        <v>19</v>
      </c>
      <c r="J1071" s="3">
        <v>64</v>
      </c>
      <c r="K1071" s="4">
        <f t="shared" si="66"/>
        <v>20.428357113217785</v>
      </c>
      <c r="L1071" s="1" t="str">
        <f t="shared" si="67"/>
        <v>Peso ideal - parabéns</v>
      </c>
      <c r="M1071" t="s">
        <v>47</v>
      </c>
    </row>
    <row r="1072" spans="1:13" x14ac:dyDescent="0.25">
      <c r="A1072">
        <v>1071</v>
      </c>
      <c r="B1072" t="s">
        <v>3307</v>
      </c>
      <c r="C1072" s="2" t="s">
        <v>3308</v>
      </c>
      <c r="D1072" s="2">
        <f t="shared" ca="1" si="64"/>
        <v>29</v>
      </c>
      <c r="E1072" t="s">
        <v>23</v>
      </c>
      <c r="F1072" t="s">
        <v>236</v>
      </c>
      <c r="G1072" t="s">
        <v>237</v>
      </c>
      <c r="H1072" t="str">
        <f t="shared" si="65"/>
        <v>Teresina - PI</v>
      </c>
      <c r="I1072" s="1" t="s">
        <v>360</v>
      </c>
      <c r="J1072" s="3">
        <v>72</v>
      </c>
      <c r="K1072" s="4">
        <f t="shared" si="66"/>
        <v>28.841531805800347</v>
      </c>
      <c r="L1072" s="1" t="str">
        <f t="shared" si="67"/>
        <v>Levemente acima do peso</v>
      </c>
      <c r="M1072" t="s">
        <v>26</v>
      </c>
    </row>
    <row r="1073" spans="1:13" x14ac:dyDescent="0.25">
      <c r="A1073">
        <v>1072</v>
      </c>
      <c r="B1073" t="s">
        <v>2824</v>
      </c>
      <c r="C1073" s="2" t="s">
        <v>2825</v>
      </c>
      <c r="D1073" s="2">
        <f t="shared" ca="1" si="64"/>
        <v>48</v>
      </c>
      <c r="E1073" t="s">
        <v>23</v>
      </c>
      <c r="F1073" t="s">
        <v>272</v>
      </c>
      <c r="G1073" t="s">
        <v>273</v>
      </c>
      <c r="H1073" t="str">
        <f t="shared" si="65"/>
        <v>Vitória - ES</v>
      </c>
      <c r="I1073" s="1" t="s">
        <v>447</v>
      </c>
      <c r="J1073" s="3">
        <v>83</v>
      </c>
      <c r="K1073" s="4">
        <f t="shared" si="66"/>
        <v>27.102040816326532</v>
      </c>
      <c r="L1073" s="1" t="str">
        <f t="shared" si="67"/>
        <v>Levemente acima do peso</v>
      </c>
      <c r="M1073" t="s">
        <v>95</v>
      </c>
    </row>
    <row r="1074" spans="1:13" x14ac:dyDescent="0.25">
      <c r="A1074">
        <v>1073</v>
      </c>
      <c r="B1074" t="s">
        <v>648</v>
      </c>
      <c r="C1074" s="2" t="s">
        <v>649</v>
      </c>
      <c r="D1074" s="2">
        <f t="shared" ca="1" si="64"/>
        <v>59</v>
      </c>
      <c r="E1074" t="s">
        <v>10</v>
      </c>
      <c r="F1074" t="s">
        <v>69</v>
      </c>
      <c r="G1074" t="s">
        <v>70</v>
      </c>
      <c r="H1074" t="str">
        <f t="shared" si="65"/>
        <v>Aracaju - SE</v>
      </c>
      <c r="I1074" s="1" t="s">
        <v>179</v>
      </c>
      <c r="J1074" s="3">
        <v>67</v>
      </c>
      <c r="K1074" s="4">
        <f t="shared" si="66"/>
        <v>22.129739727837229</v>
      </c>
      <c r="L1074" s="1" t="str">
        <f t="shared" si="67"/>
        <v>Peso ideal - parabéns</v>
      </c>
      <c r="M1074" t="s">
        <v>83</v>
      </c>
    </row>
    <row r="1075" spans="1:13" x14ac:dyDescent="0.25">
      <c r="A1075">
        <v>1074</v>
      </c>
      <c r="B1075" t="s">
        <v>1019</v>
      </c>
      <c r="C1075" s="2" t="s">
        <v>1020</v>
      </c>
      <c r="D1075" s="2">
        <f t="shared" ca="1" si="64"/>
        <v>39</v>
      </c>
      <c r="E1075" t="s">
        <v>10</v>
      </c>
      <c r="F1075" t="s">
        <v>17</v>
      </c>
      <c r="G1075" t="s">
        <v>18</v>
      </c>
      <c r="H1075" t="str">
        <f t="shared" si="65"/>
        <v>Campo Grande - MS</v>
      </c>
      <c r="I1075" s="1" t="s">
        <v>416</v>
      </c>
      <c r="J1075" s="3">
        <v>92</v>
      </c>
      <c r="K1075" s="4">
        <f t="shared" si="66"/>
        <v>35.492457852706295</v>
      </c>
      <c r="L1075" s="1" t="str">
        <f t="shared" si="67"/>
        <v>Obesidade grau II - severa</v>
      </c>
      <c r="M1075" t="s">
        <v>47</v>
      </c>
    </row>
    <row r="1076" spans="1:13" x14ac:dyDescent="0.25">
      <c r="A1076">
        <v>1075</v>
      </c>
      <c r="B1076" t="s">
        <v>2318</v>
      </c>
      <c r="C1076" s="2" t="s">
        <v>2319</v>
      </c>
      <c r="D1076" s="2">
        <f t="shared" ca="1" si="64"/>
        <v>71</v>
      </c>
      <c r="E1076" t="s">
        <v>10</v>
      </c>
      <c r="F1076" t="s">
        <v>564</v>
      </c>
      <c r="G1076" t="s">
        <v>565</v>
      </c>
      <c r="H1076" t="str">
        <f t="shared" si="65"/>
        <v>Rio Branco - AC</v>
      </c>
      <c r="I1076" s="1" t="s">
        <v>104</v>
      </c>
      <c r="J1076" s="3">
        <v>92</v>
      </c>
      <c r="K1076" s="4">
        <f t="shared" si="66"/>
        <v>31.833910034602081</v>
      </c>
      <c r="L1076" s="1" t="str">
        <f t="shared" si="67"/>
        <v>Obesidade grau I</v>
      </c>
      <c r="M1076" t="s">
        <v>26</v>
      </c>
    </row>
    <row r="1077" spans="1:13" x14ac:dyDescent="0.25">
      <c r="A1077">
        <v>1076</v>
      </c>
      <c r="B1077" t="s">
        <v>1466</v>
      </c>
      <c r="C1077" s="2" t="s">
        <v>1467</v>
      </c>
      <c r="D1077" s="2">
        <f t="shared" ca="1" si="64"/>
        <v>67</v>
      </c>
      <c r="E1077" t="s">
        <v>10</v>
      </c>
      <c r="F1077" t="s">
        <v>1468</v>
      </c>
      <c r="G1077" t="s">
        <v>186</v>
      </c>
      <c r="H1077" t="str">
        <f t="shared" si="65"/>
        <v>Ituiutaba - MG</v>
      </c>
      <c r="I1077" s="1" t="s">
        <v>71</v>
      </c>
      <c r="J1077" s="3">
        <v>95</v>
      </c>
      <c r="K1077" s="4">
        <f t="shared" si="66"/>
        <v>28.367523664486843</v>
      </c>
      <c r="L1077" s="1" t="str">
        <f t="shared" si="67"/>
        <v>Levemente acima do peso</v>
      </c>
      <c r="M1077" t="s">
        <v>95</v>
      </c>
    </row>
    <row r="1078" spans="1:13" x14ac:dyDescent="0.25">
      <c r="A1078">
        <v>1077</v>
      </c>
      <c r="B1078" t="s">
        <v>389</v>
      </c>
      <c r="C1078" s="2" t="s">
        <v>390</v>
      </c>
      <c r="D1078" s="2">
        <f t="shared" ca="1" si="64"/>
        <v>49</v>
      </c>
      <c r="E1078" t="s">
        <v>10</v>
      </c>
      <c r="F1078" t="s">
        <v>153</v>
      </c>
      <c r="G1078" t="s">
        <v>154</v>
      </c>
      <c r="H1078" t="str">
        <f t="shared" si="65"/>
        <v>Manaus - AM</v>
      </c>
      <c r="I1078" s="1" t="s">
        <v>66</v>
      </c>
      <c r="J1078" s="3">
        <v>85</v>
      </c>
      <c r="K1078" s="4">
        <f t="shared" si="66"/>
        <v>24.049343594386603</v>
      </c>
      <c r="L1078" s="1" t="str">
        <f t="shared" si="67"/>
        <v>Peso ideal - parabéns</v>
      </c>
      <c r="M1078" t="s">
        <v>20</v>
      </c>
    </row>
    <row r="1079" spans="1:13" x14ac:dyDescent="0.25">
      <c r="A1079">
        <v>1078</v>
      </c>
      <c r="B1079" t="s">
        <v>662</v>
      </c>
      <c r="C1079" s="2" t="s">
        <v>663</v>
      </c>
      <c r="D1079" s="2">
        <f t="shared" ca="1" si="64"/>
        <v>81</v>
      </c>
      <c r="E1079" t="s">
        <v>10</v>
      </c>
      <c r="F1079" t="s">
        <v>664</v>
      </c>
      <c r="G1079" t="s">
        <v>103</v>
      </c>
      <c r="H1079" t="str">
        <f t="shared" si="65"/>
        <v>Votorantim - SP</v>
      </c>
      <c r="I1079" s="1" t="s">
        <v>191</v>
      </c>
      <c r="J1079" s="3">
        <v>98</v>
      </c>
      <c r="K1079" s="4">
        <f t="shared" si="66"/>
        <v>38.281249999999993</v>
      </c>
      <c r="L1079" s="1" t="str">
        <f t="shared" si="67"/>
        <v>Obesidade grau II - severa</v>
      </c>
      <c r="M1079" t="s">
        <v>32</v>
      </c>
    </row>
    <row r="1080" spans="1:13" x14ac:dyDescent="0.25">
      <c r="A1080">
        <v>1079</v>
      </c>
      <c r="B1080" t="s">
        <v>512</v>
      </c>
      <c r="C1080" s="2" t="s">
        <v>513</v>
      </c>
      <c r="D1080" s="2">
        <f t="shared" ca="1" si="64"/>
        <v>69</v>
      </c>
      <c r="E1080" t="s">
        <v>10</v>
      </c>
      <c r="F1080" t="s">
        <v>64</v>
      </c>
      <c r="G1080" t="s">
        <v>65</v>
      </c>
      <c r="H1080" t="str">
        <f t="shared" si="65"/>
        <v>Salvador - BA</v>
      </c>
      <c r="I1080" s="1" t="s">
        <v>132</v>
      </c>
      <c r="J1080" s="3">
        <v>110</v>
      </c>
      <c r="K1080" s="4">
        <f t="shared" si="66"/>
        <v>31.45643284051588</v>
      </c>
      <c r="L1080" s="1" t="str">
        <f t="shared" si="67"/>
        <v>Obesidade grau I</v>
      </c>
      <c r="M1080" t="s">
        <v>26</v>
      </c>
    </row>
    <row r="1081" spans="1:13" x14ac:dyDescent="0.25">
      <c r="A1081">
        <v>1080</v>
      </c>
      <c r="B1081" t="s">
        <v>2958</v>
      </c>
      <c r="C1081" s="2" t="s">
        <v>2959</v>
      </c>
      <c r="D1081" s="2">
        <f t="shared" ca="1" si="64"/>
        <v>49</v>
      </c>
      <c r="E1081" t="s">
        <v>10</v>
      </c>
      <c r="F1081" t="s">
        <v>564</v>
      </c>
      <c r="G1081" t="s">
        <v>565</v>
      </c>
      <c r="H1081" t="str">
        <f t="shared" si="65"/>
        <v>Rio Branco - AC</v>
      </c>
      <c r="I1081" s="1" t="s">
        <v>155</v>
      </c>
      <c r="J1081" s="3">
        <v>81</v>
      </c>
      <c r="K1081" s="4">
        <f t="shared" si="66"/>
        <v>24.453568409612362</v>
      </c>
      <c r="L1081" s="1" t="str">
        <f t="shared" si="67"/>
        <v>Peso ideal - parabéns</v>
      </c>
      <c r="M1081" t="s">
        <v>20</v>
      </c>
    </row>
    <row r="1082" spans="1:13" x14ac:dyDescent="0.25">
      <c r="A1082">
        <v>1081</v>
      </c>
      <c r="B1082" t="s">
        <v>3230</v>
      </c>
      <c r="C1082" s="2" t="s">
        <v>1384</v>
      </c>
      <c r="D1082" s="2">
        <f t="shared" ca="1" si="64"/>
        <v>27</v>
      </c>
      <c r="E1082" t="s">
        <v>10</v>
      </c>
      <c r="F1082" t="s">
        <v>69</v>
      </c>
      <c r="G1082" t="s">
        <v>70</v>
      </c>
      <c r="H1082" t="str">
        <f t="shared" si="65"/>
        <v>Aracaju - SE</v>
      </c>
      <c r="I1082" s="1" t="s">
        <v>160</v>
      </c>
      <c r="J1082" s="3">
        <v>70</v>
      </c>
      <c r="K1082" s="4">
        <f t="shared" si="66"/>
        <v>20.675803402646501</v>
      </c>
      <c r="L1082" s="1" t="str">
        <f t="shared" si="67"/>
        <v>Peso ideal - parabéns</v>
      </c>
      <c r="M1082" t="s">
        <v>32</v>
      </c>
    </row>
    <row r="1083" spans="1:13" x14ac:dyDescent="0.25">
      <c r="A1083">
        <v>1082</v>
      </c>
      <c r="B1083" t="s">
        <v>4136</v>
      </c>
      <c r="C1083" s="2" t="s">
        <v>4137</v>
      </c>
      <c r="D1083" s="2">
        <f t="shared" ca="1" si="64"/>
        <v>30</v>
      </c>
      <c r="E1083" t="s">
        <v>10</v>
      </c>
      <c r="F1083" t="s">
        <v>3677</v>
      </c>
      <c r="G1083" t="s">
        <v>131</v>
      </c>
      <c r="H1083" t="str">
        <f t="shared" si="65"/>
        <v>Araranguá - SC</v>
      </c>
      <c r="I1083" s="1" t="s">
        <v>218</v>
      </c>
      <c r="J1083" s="3">
        <v>90</v>
      </c>
      <c r="K1083" s="4">
        <f t="shared" si="66"/>
        <v>24.161722462347985</v>
      </c>
      <c r="L1083" s="1" t="str">
        <f t="shared" si="67"/>
        <v>Peso ideal - parabéns</v>
      </c>
      <c r="M1083" t="s">
        <v>83</v>
      </c>
    </row>
    <row r="1084" spans="1:13" x14ac:dyDescent="0.25">
      <c r="A1084">
        <v>1083</v>
      </c>
      <c r="B1084" t="s">
        <v>1475</v>
      </c>
      <c r="C1084" s="2" t="s">
        <v>1121</v>
      </c>
      <c r="D1084" s="2">
        <f t="shared" ca="1" si="64"/>
        <v>56</v>
      </c>
      <c r="E1084" t="s">
        <v>10</v>
      </c>
      <c r="F1084" t="s">
        <v>98</v>
      </c>
      <c r="G1084" t="s">
        <v>65</v>
      </c>
      <c r="H1084" t="str">
        <f t="shared" si="65"/>
        <v>Vitória da Conquista - BA</v>
      </c>
      <c r="I1084" s="1" t="s">
        <v>639</v>
      </c>
      <c r="J1084" s="3">
        <v>83</v>
      </c>
      <c r="K1084" s="4">
        <f t="shared" si="66"/>
        <v>20.75</v>
      </c>
      <c r="L1084" s="1" t="str">
        <f t="shared" si="67"/>
        <v>Peso ideal - parabéns</v>
      </c>
      <c r="M1084" t="s">
        <v>32</v>
      </c>
    </row>
    <row r="1085" spans="1:13" x14ac:dyDescent="0.25">
      <c r="A1085">
        <v>1084</v>
      </c>
      <c r="B1085" t="s">
        <v>4031</v>
      </c>
      <c r="C1085" s="2" t="s">
        <v>4032</v>
      </c>
      <c r="D1085" s="2">
        <f t="shared" ca="1" si="64"/>
        <v>32</v>
      </c>
      <c r="E1085" t="s">
        <v>10</v>
      </c>
      <c r="F1085" t="s">
        <v>153</v>
      </c>
      <c r="G1085" t="s">
        <v>154</v>
      </c>
      <c r="H1085" t="str">
        <f t="shared" si="65"/>
        <v>Manaus - AM</v>
      </c>
      <c r="I1085" s="1" t="s">
        <v>90</v>
      </c>
      <c r="J1085" s="3">
        <v>62</v>
      </c>
      <c r="K1085" s="4">
        <f t="shared" si="66"/>
        <v>20.957274202271499</v>
      </c>
      <c r="L1085" s="1" t="str">
        <f t="shared" si="67"/>
        <v>Peso ideal - parabéns</v>
      </c>
      <c r="M1085" t="s">
        <v>14</v>
      </c>
    </row>
    <row r="1086" spans="1:13" x14ac:dyDescent="0.25">
      <c r="A1086">
        <v>1085</v>
      </c>
      <c r="B1086" t="s">
        <v>1311</v>
      </c>
      <c r="C1086" s="2" t="s">
        <v>1312</v>
      </c>
      <c r="D1086" s="2">
        <f t="shared" ca="1" si="64"/>
        <v>54</v>
      </c>
      <c r="E1086" t="s">
        <v>10</v>
      </c>
      <c r="F1086" t="s">
        <v>354</v>
      </c>
      <c r="G1086" t="s">
        <v>30</v>
      </c>
      <c r="H1086" t="str">
        <f t="shared" si="65"/>
        <v>Porto Velho - RO</v>
      </c>
      <c r="I1086" s="1" t="s">
        <v>191</v>
      </c>
      <c r="J1086" s="3">
        <v>105</v>
      </c>
      <c r="K1086" s="4">
        <f t="shared" si="66"/>
        <v>41.015624999999993</v>
      </c>
      <c r="L1086" s="1" t="str">
        <f t="shared" si="67"/>
        <v>Obesidade grau III - mórbida</v>
      </c>
      <c r="M1086" t="s">
        <v>95</v>
      </c>
    </row>
    <row r="1087" spans="1:13" x14ac:dyDescent="0.25">
      <c r="A1087">
        <v>1086</v>
      </c>
      <c r="B1087" t="s">
        <v>703</v>
      </c>
      <c r="C1087" s="2" t="s">
        <v>704</v>
      </c>
      <c r="D1087" s="2">
        <f t="shared" ca="1" si="64"/>
        <v>20</v>
      </c>
      <c r="E1087" t="s">
        <v>10</v>
      </c>
      <c r="F1087" t="s">
        <v>59</v>
      </c>
      <c r="G1087" t="s">
        <v>60</v>
      </c>
      <c r="H1087" t="str">
        <f t="shared" si="65"/>
        <v>Palmas - TO</v>
      </c>
      <c r="I1087" s="1" t="s">
        <v>160</v>
      </c>
      <c r="J1087" s="3">
        <v>71</v>
      </c>
      <c r="K1087" s="4">
        <f t="shared" si="66"/>
        <v>20.971172022684311</v>
      </c>
      <c r="L1087" s="1" t="str">
        <f t="shared" si="67"/>
        <v>Peso ideal - parabéns</v>
      </c>
      <c r="M1087" t="s">
        <v>32</v>
      </c>
    </row>
    <row r="1088" spans="1:13" x14ac:dyDescent="0.25">
      <c r="A1088">
        <v>1087</v>
      </c>
      <c r="B1088" t="s">
        <v>1511</v>
      </c>
      <c r="C1088" s="2" t="s">
        <v>1512</v>
      </c>
      <c r="D1088" s="2">
        <f t="shared" ca="1" si="64"/>
        <v>28</v>
      </c>
      <c r="E1088" t="s">
        <v>23</v>
      </c>
      <c r="F1088" t="s">
        <v>736</v>
      </c>
      <c r="G1088" t="s">
        <v>190</v>
      </c>
      <c r="H1088" t="str">
        <f t="shared" si="65"/>
        <v>Sinop - MT</v>
      </c>
      <c r="I1088" s="1" t="s">
        <v>117</v>
      </c>
      <c r="J1088" s="3">
        <v>69</v>
      </c>
      <c r="K1088" s="4">
        <f t="shared" si="66"/>
        <v>21.777553339224845</v>
      </c>
      <c r="L1088" s="1" t="str">
        <f t="shared" si="67"/>
        <v>Peso ideal - parabéns</v>
      </c>
      <c r="M1088" t="s">
        <v>76</v>
      </c>
    </row>
    <row r="1089" spans="1:13" x14ac:dyDescent="0.25">
      <c r="A1089">
        <v>1088</v>
      </c>
      <c r="B1089" t="s">
        <v>238</v>
      </c>
      <c r="C1089" s="2" t="s">
        <v>239</v>
      </c>
      <c r="D1089" s="2">
        <f t="shared" ca="1" si="64"/>
        <v>60</v>
      </c>
      <c r="E1089" t="s">
        <v>23</v>
      </c>
      <c r="F1089" t="s">
        <v>241</v>
      </c>
      <c r="G1089" t="s">
        <v>190</v>
      </c>
      <c r="H1089" t="str">
        <f t="shared" si="65"/>
        <v>Várzea Grande - MT</v>
      </c>
      <c r="I1089" s="1" t="s">
        <v>19</v>
      </c>
      <c r="J1089" s="3">
        <v>65</v>
      </c>
      <c r="K1089" s="4">
        <f t="shared" si="66"/>
        <v>20.747550193111813</v>
      </c>
      <c r="L1089" s="1" t="str">
        <f t="shared" si="67"/>
        <v>Peso ideal - parabéns</v>
      </c>
      <c r="M1089" t="s">
        <v>76</v>
      </c>
    </row>
    <row r="1090" spans="1:13" x14ac:dyDescent="0.25">
      <c r="A1090">
        <v>1089</v>
      </c>
      <c r="B1090" t="s">
        <v>3859</v>
      </c>
      <c r="C1090" s="2" t="s">
        <v>3860</v>
      </c>
      <c r="D1090" s="2">
        <f t="shared" ca="1" si="64"/>
        <v>54</v>
      </c>
      <c r="E1090" t="s">
        <v>23</v>
      </c>
      <c r="F1090" t="s">
        <v>189</v>
      </c>
      <c r="G1090" t="s">
        <v>190</v>
      </c>
      <c r="H1090" t="str">
        <f t="shared" si="65"/>
        <v>Cuiabá - MT</v>
      </c>
      <c r="I1090" s="1" t="s">
        <v>286</v>
      </c>
      <c r="J1090" s="3">
        <v>50</v>
      </c>
      <c r="K1090" s="4">
        <f t="shared" si="66"/>
        <v>18.365472910927458</v>
      </c>
      <c r="L1090" s="1" t="str">
        <f t="shared" si="67"/>
        <v>Abaixo do peso</v>
      </c>
      <c r="M1090" t="s">
        <v>26</v>
      </c>
    </row>
    <row r="1091" spans="1:13" x14ac:dyDescent="0.25">
      <c r="A1091">
        <v>1090</v>
      </c>
      <c r="B1091" t="s">
        <v>1557</v>
      </c>
      <c r="C1091" s="2" t="s">
        <v>1558</v>
      </c>
      <c r="D1091" s="2">
        <f t="shared" ref="D1091:D1154" ca="1" si="68">YEAR(TODAY())-YEAR(C1091)</f>
        <v>68</v>
      </c>
      <c r="E1091" t="s">
        <v>23</v>
      </c>
      <c r="F1091" t="s">
        <v>241</v>
      </c>
      <c r="G1091" t="s">
        <v>190</v>
      </c>
      <c r="H1091" t="str">
        <f t="shared" ref="H1091:H1154" si="69">CONCATENATE(F1091," - ",G1091)</f>
        <v>Várzea Grande - MT</v>
      </c>
      <c r="I1091" s="1" t="s">
        <v>198</v>
      </c>
      <c r="J1091" s="3">
        <v>76</v>
      </c>
      <c r="K1091" s="4">
        <f t="shared" ref="K1091:K1154" si="70">J1091/(I1091*I1091)</f>
        <v>30.832893829364274</v>
      </c>
      <c r="L1091" s="1" t="str">
        <f t="shared" ref="L1091:L1154" si="71">IF(K1091&gt;=40,"Obesidade grau III - mórbida",
IF(K1091&gt;=35,"Obesidade grau II - severa",
IF(K1091&gt;=30,"Obesidade grau I",
IF(K1091&gt;=25,"Levemente acima do peso",
IF(K1091&gt;=18.6,"Peso ideal - parabéns",
IF(K1091&gt;=17,"Abaixo do peso",
"Muito abaixo do peso"))))))</f>
        <v>Obesidade grau I</v>
      </c>
      <c r="M1091" t="s">
        <v>32</v>
      </c>
    </row>
    <row r="1092" spans="1:13" x14ac:dyDescent="0.25">
      <c r="A1092">
        <v>1091</v>
      </c>
      <c r="B1092" t="s">
        <v>1594</v>
      </c>
      <c r="C1092" s="2" t="s">
        <v>1595</v>
      </c>
      <c r="D1092" s="2">
        <f t="shared" ca="1" si="68"/>
        <v>20</v>
      </c>
      <c r="E1092" t="s">
        <v>23</v>
      </c>
      <c r="F1092" t="s">
        <v>309</v>
      </c>
      <c r="G1092" t="s">
        <v>310</v>
      </c>
      <c r="H1092" t="str">
        <f t="shared" si="69"/>
        <v>Gravataí - RS</v>
      </c>
      <c r="I1092" s="1" t="s">
        <v>302</v>
      </c>
      <c r="J1092" s="3">
        <v>53</v>
      </c>
      <c r="K1092" s="4">
        <f t="shared" si="70"/>
        <v>23.244594535327398</v>
      </c>
      <c r="L1092" s="1" t="str">
        <f t="shared" si="71"/>
        <v>Peso ideal - parabéns</v>
      </c>
      <c r="M1092" t="s">
        <v>32</v>
      </c>
    </row>
    <row r="1093" spans="1:13" x14ac:dyDescent="0.25">
      <c r="A1093">
        <v>1092</v>
      </c>
      <c r="B1093" t="s">
        <v>84</v>
      </c>
      <c r="C1093" s="2" t="s">
        <v>85</v>
      </c>
      <c r="D1093" s="2">
        <f t="shared" ca="1" si="68"/>
        <v>36</v>
      </c>
      <c r="E1093" t="s">
        <v>23</v>
      </c>
      <c r="F1093" t="s">
        <v>69</v>
      </c>
      <c r="G1093" t="s">
        <v>70</v>
      </c>
      <c r="H1093" t="str">
        <f t="shared" si="69"/>
        <v>Aracaju - SE</v>
      </c>
      <c r="I1093" s="1" t="s">
        <v>86</v>
      </c>
      <c r="J1093" s="3">
        <v>68</v>
      </c>
      <c r="K1093" s="4">
        <f t="shared" si="70"/>
        <v>20.756387167668876</v>
      </c>
      <c r="L1093" s="1" t="str">
        <f t="shared" si="71"/>
        <v>Peso ideal - parabéns</v>
      </c>
      <c r="M1093" t="s">
        <v>14</v>
      </c>
    </row>
    <row r="1094" spans="1:13" x14ac:dyDescent="0.25">
      <c r="A1094">
        <v>1093</v>
      </c>
      <c r="B1094" t="s">
        <v>4103</v>
      </c>
      <c r="C1094" s="2" t="s">
        <v>4104</v>
      </c>
      <c r="D1094" s="2">
        <f t="shared" ca="1" si="68"/>
        <v>75</v>
      </c>
      <c r="E1094" t="s">
        <v>23</v>
      </c>
      <c r="F1094" t="s">
        <v>169</v>
      </c>
      <c r="G1094" t="s">
        <v>170</v>
      </c>
      <c r="H1094" t="str">
        <f t="shared" si="69"/>
        <v>Maceió - AL</v>
      </c>
      <c r="I1094" s="1" t="s">
        <v>166</v>
      </c>
      <c r="J1094" s="3">
        <v>62</v>
      </c>
      <c r="K1094" s="4">
        <f t="shared" si="70"/>
        <v>21.9671201814059</v>
      </c>
      <c r="L1094" s="1" t="str">
        <f t="shared" si="71"/>
        <v>Peso ideal - parabéns</v>
      </c>
      <c r="M1094" t="s">
        <v>26</v>
      </c>
    </row>
    <row r="1095" spans="1:13" x14ac:dyDescent="0.25">
      <c r="A1095">
        <v>1094</v>
      </c>
      <c r="B1095" t="s">
        <v>2098</v>
      </c>
      <c r="C1095" s="2" t="s">
        <v>2099</v>
      </c>
      <c r="D1095" s="2">
        <f t="shared" ca="1" si="68"/>
        <v>44</v>
      </c>
      <c r="E1095" t="s">
        <v>23</v>
      </c>
      <c r="F1095" t="s">
        <v>107</v>
      </c>
      <c r="G1095" t="s">
        <v>36</v>
      </c>
      <c r="H1095" t="str">
        <f t="shared" si="69"/>
        <v>São Luís - MA</v>
      </c>
      <c r="I1095" s="1" t="s">
        <v>416</v>
      </c>
      <c r="J1095" s="3">
        <v>51</v>
      </c>
      <c r="K1095" s="4">
        <f t="shared" si="70"/>
        <v>19.675166853130666</v>
      </c>
      <c r="L1095" s="1" t="str">
        <f t="shared" si="71"/>
        <v>Peso ideal - parabéns</v>
      </c>
      <c r="M1095" t="s">
        <v>47</v>
      </c>
    </row>
    <row r="1096" spans="1:13" x14ac:dyDescent="0.25">
      <c r="A1096">
        <v>1095</v>
      </c>
      <c r="B1096" t="s">
        <v>4091</v>
      </c>
      <c r="C1096" s="2" t="s">
        <v>3116</v>
      </c>
      <c r="D1096" s="2">
        <f t="shared" ca="1" si="68"/>
        <v>43</v>
      </c>
      <c r="E1096" t="s">
        <v>10</v>
      </c>
      <c r="F1096" t="s">
        <v>29</v>
      </c>
      <c r="G1096" t="s">
        <v>30</v>
      </c>
      <c r="H1096" t="str">
        <f t="shared" si="69"/>
        <v>Cacoal - RO</v>
      </c>
      <c r="I1096" s="1" t="s">
        <v>56</v>
      </c>
      <c r="J1096" s="3">
        <v>79</v>
      </c>
      <c r="K1096" s="4">
        <f t="shared" si="70"/>
        <v>27.660095935016283</v>
      </c>
      <c r="L1096" s="1" t="str">
        <f t="shared" si="71"/>
        <v>Levemente acima do peso</v>
      </c>
      <c r="M1096" t="s">
        <v>32</v>
      </c>
    </row>
    <row r="1097" spans="1:13" x14ac:dyDescent="0.25">
      <c r="A1097">
        <v>1096</v>
      </c>
      <c r="B1097" t="s">
        <v>3149</v>
      </c>
      <c r="C1097" s="2" t="s">
        <v>3150</v>
      </c>
      <c r="D1097" s="2">
        <f t="shared" ca="1" si="68"/>
        <v>63</v>
      </c>
      <c r="E1097" t="s">
        <v>10</v>
      </c>
      <c r="F1097" t="s">
        <v>1259</v>
      </c>
      <c r="G1097" t="s">
        <v>103</v>
      </c>
      <c r="H1097" t="str">
        <f t="shared" si="69"/>
        <v>Catanduva - SP</v>
      </c>
      <c r="I1097" s="1" t="s">
        <v>226</v>
      </c>
      <c r="J1097" s="3">
        <v>58</v>
      </c>
      <c r="K1097" s="4">
        <f t="shared" si="70"/>
        <v>14.794408733802674</v>
      </c>
      <c r="L1097" s="1" t="str">
        <f t="shared" si="71"/>
        <v>Muito abaixo do peso</v>
      </c>
      <c r="M1097" t="s">
        <v>95</v>
      </c>
    </row>
    <row r="1098" spans="1:13" x14ac:dyDescent="0.25">
      <c r="A1098">
        <v>1097</v>
      </c>
      <c r="B1098" t="s">
        <v>2491</v>
      </c>
      <c r="C1098" s="2" t="s">
        <v>2492</v>
      </c>
      <c r="D1098" s="2">
        <f t="shared" ca="1" si="68"/>
        <v>77</v>
      </c>
      <c r="E1098" t="s">
        <v>10</v>
      </c>
      <c r="F1098" t="s">
        <v>979</v>
      </c>
      <c r="G1098" t="s">
        <v>51</v>
      </c>
      <c r="H1098" t="str">
        <f t="shared" si="69"/>
        <v>São Gonçalo - RJ</v>
      </c>
      <c r="I1098" s="1" t="s">
        <v>148</v>
      </c>
      <c r="J1098" s="3">
        <v>85</v>
      </c>
      <c r="K1098" s="4">
        <f t="shared" si="70"/>
        <v>22.353714661406972</v>
      </c>
      <c r="L1098" s="1" t="str">
        <f t="shared" si="71"/>
        <v>Peso ideal - parabéns</v>
      </c>
      <c r="M1098" t="s">
        <v>32</v>
      </c>
    </row>
    <row r="1099" spans="1:13" x14ac:dyDescent="0.25">
      <c r="A1099">
        <v>1098</v>
      </c>
      <c r="B1099" t="s">
        <v>3938</v>
      </c>
      <c r="C1099" s="2" t="s">
        <v>3939</v>
      </c>
      <c r="D1099" s="2">
        <f t="shared" ca="1" si="68"/>
        <v>73</v>
      </c>
      <c r="E1099" t="s">
        <v>10</v>
      </c>
      <c r="F1099" t="s">
        <v>236</v>
      </c>
      <c r="G1099" t="s">
        <v>237</v>
      </c>
      <c r="H1099" t="str">
        <f t="shared" si="69"/>
        <v>Teresina - PI</v>
      </c>
      <c r="I1099" s="1" t="s">
        <v>56</v>
      </c>
      <c r="J1099" s="3">
        <v>100</v>
      </c>
      <c r="K1099" s="4">
        <f t="shared" si="70"/>
        <v>35.012779664577572</v>
      </c>
      <c r="L1099" s="1" t="str">
        <f t="shared" si="71"/>
        <v>Obesidade grau II - severa</v>
      </c>
      <c r="M1099" t="s">
        <v>76</v>
      </c>
    </row>
    <row r="1100" spans="1:13" x14ac:dyDescent="0.25">
      <c r="A1100">
        <v>1099</v>
      </c>
      <c r="B1100" t="s">
        <v>289</v>
      </c>
      <c r="C1100" s="2" t="s">
        <v>290</v>
      </c>
      <c r="D1100" s="2">
        <f t="shared" ca="1" si="68"/>
        <v>82</v>
      </c>
      <c r="E1100" t="s">
        <v>10</v>
      </c>
      <c r="F1100" t="s">
        <v>291</v>
      </c>
      <c r="G1100" t="s">
        <v>131</v>
      </c>
      <c r="H1100" t="str">
        <f t="shared" si="69"/>
        <v>Blumenau - SC</v>
      </c>
      <c r="I1100" s="1" t="s">
        <v>218</v>
      </c>
      <c r="J1100" s="3">
        <v>56</v>
      </c>
      <c r="K1100" s="4">
        <f t="shared" si="70"/>
        <v>15.033960643238744</v>
      </c>
      <c r="L1100" s="1" t="str">
        <f t="shared" si="71"/>
        <v>Muito abaixo do peso</v>
      </c>
      <c r="M1100" t="s">
        <v>32</v>
      </c>
    </row>
    <row r="1101" spans="1:13" x14ac:dyDescent="0.25">
      <c r="A1101">
        <v>1100</v>
      </c>
      <c r="B1101" t="s">
        <v>2734</v>
      </c>
      <c r="C1101" s="2" t="s">
        <v>2735</v>
      </c>
      <c r="D1101" s="2">
        <f t="shared" ca="1" si="68"/>
        <v>24</v>
      </c>
      <c r="E1101" t="s">
        <v>10</v>
      </c>
      <c r="F1101" t="s">
        <v>419</v>
      </c>
      <c r="G1101" t="s">
        <v>25</v>
      </c>
      <c r="H1101" t="str">
        <f t="shared" si="69"/>
        <v>Mossoró - RN</v>
      </c>
      <c r="I1101" s="1" t="s">
        <v>31</v>
      </c>
      <c r="J1101" s="3">
        <v>54</v>
      </c>
      <c r="K1101" s="4">
        <f t="shared" si="70"/>
        <v>20.077334919690664</v>
      </c>
      <c r="L1101" s="1" t="str">
        <f t="shared" si="71"/>
        <v>Peso ideal - parabéns</v>
      </c>
      <c r="M1101" t="s">
        <v>95</v>
      </c>
    </row>
    <row r="1102" spans="1:13" x14ac:dyDescent="0.25">
      <c r="A1102">
        <v>1101</v>
      </c>
      <c r="B1102" t="s">
        <v>1289</v>
      </c>
      <c r="C1102" s="2" t="s">
        <v>1290</v>
      </c>
      <c r="D1102" s="2">
        <f t="shared" ca="1" si="68"/>
        <v>61</v>
      </c>
      <c r="E1102" t="s">
        <v>10</v>
      </c>
      <c r="F1102" t="s">
        <v>54</v>
      </c>
      <c r="G1102" t="s">
        <v>55</v>
      </c>
      <c r="H1102" t="str">
        <f t="shared" si="69"/>
        <v>Ponta Grossa - PR</v>
      </c>
      <c r="I1102" s="1" t="s">
        <v>61</v>
      </c>
      <c r="J1102" s="3">
        <v>54</v>
      </c>
      <c r="K1102" s="4">
        <f t="shared" si="70"/>
        <v>15.117157974300833</v>
      </c>
      <c r="L1102" s="1" t="str">
        <f t="shared" si="71"/>
        <v>Muito abaixo do peso</v>
      </c>
      <c r="M1102" t="s">
        <v>95</v>
      </c>
    </row>
    <row r="1103" spans="1:13" x14ac:dyDescent="0.25">
      <c r="A1103">
        <v>1102</v>
      </c>
      <c r="B1103" t="s">
        <v>479</v>
      </c>
      <c r="C1103" s="2" t="s">
        <v>480</v>
      </c>
      <c r="D1103" s="2">
        <f t="shared" ca="1" si="68"/>
        <v>65</v>
      </c>
      <c r="E1103" t="s">
        <v>10</v>
      </c>
      <c r="F1103" t="s">
        <v>481</v>
      </c>
      <c r="G1103" t="s">
        <v>310</v>
      </c>
      <c r="H1103" t="str">
        <f t="shared" si="69"/>
        <v>Cachoeirinha - RS</v>
      </c>
      <c r="I1103" s="1" t="s">
        <v>108</v>
      </c>
      <c r="J1103" s="3">
        <v>71</v>
      </c>
      <c r="K1103" s="4">
        <f t="shared" si="70"/>
        <v>19.462185795345523</v>
      </c>
      <c r="L1103" s="1" t="str">
        <f t="shared" si="71"/>
        <v>Peso ideal - parabéns</v>
      </c>
      <c r="M1103" t="s">
        <v>20</v>
      </c>
    </row>
    <row r="1104" spans="1:13" x14ac:dyDescent="0.25">
      <c r="A1104">
        <v>1103</v>
      </c>
      <c r="B1104" t="s">
        <v>2533</v>
      </c>
      <c r="C1104" s="2" t="s">
        <v>2534</v>
      </c>
      <c r="D1104" s="2">
        <f t="shared" ca="1" si="68"/>
        <v>28</v>
      </c>
      <c r="E1104" t="s">
        <v>10</v>
      </c>
      <c r="F1104" t="s">
        <v>2535</v>
      </c>
      <c r="G1104" t="s">
        <v>65</v>
      </c>
      <c r="H1104" t="str">
        <f t="shared" si="69"/>
        <v>Igrapiúna - BA</v>
      </c>
      <c r="I1104" s="1" t="s">
        <v>160</v>
      </c>
      <c r="J1104" s="3">
        <v>99</v>
      </c>
      <c r="K1104" s="4">
        <f t="shared" si="70"/>
        <v>29.24149338374291</v>
      </c>
      <c r="L1104" s="1" t="str">
        <f t="shared" si="71"/>
        <v>Levemente acima do peso</v>
      </c>
      <c r="M1104" t="s">
        <v>95</v>
      </c>
    </row>
    <row r="1105" spans="1:13" x14ac:dyDescent="0.25">
      <c r="A1105">
        <v>1104</v>
      </c>
      <c r="B1105" t="s">
        <v>3197</v>
      </c>
      <c r="C1105" s="2" t="s">
        <v>3198</v>
      </c>
      <c r="D1105" s="2">
        <f t="shared" ca="1" si="68"/>
        <v>55</v>
      </c>
      <c r="E1105" t="s">
        <v>23</v>
      </c>
      <c r="F1105" t="s">
        <v>932</v>
      </c>
      <c r="G1105" t="s">
        <v>46</v>
      </c>
      <c r="H1105" t="str">
        <f t="shared" si="69"/>
        <v>Rio Verde - GO</v>
      </c>
      <c r="I1105" s="1" t="s">
        <v>360</v>
      </c>
      <c r="J1105" s="3">
        <v>76</v>
      </c>
      <c r="K1105" s="4">
        <f t="shared" si="70"/>
        <v>30.443839128344813</v>
      </c>
      <c r="L1105" s="1" t="str">
        <f t="shared" si="71"/>
        <v>Obesidade grau I</v>
      </c>
      <c r="M1105" t="s">
        <v>26</v>
      </c>
    </row>
    <row r="1106" spans="1:13" x14ac:dyDescent="0.25">
      <c r="A1106">
        <v>1105</v>
      </c>
      <c r="B1106" t="s">
        <v>3419</v>
      </c>
      <c r="C1106" s="2" t="s">
        <v>1034</v>
      </c>
      <c r="D1106" s="2">
        <f t="shared" ca="1" si="68"/>
        <v>26</v>
      </c>
      <c r="E1106" t="s">
        <v>23</v>
      </c>
      <c r="F1106" t="s">
        <v>2134</v>
      </c>
      <c r="G1106" t="s">
        <v>65</v>
      </c>
      <c r="H1106" t="str">
        <f t="shared" si="69"/>
        <v>Eunápolis - BA</v>
      </c>
      <c r="I1106" s="1" t="s">
        <v>447</v>
      </c>
      <c r="J1106" s="3">
        <v>90</v>
      </c>
      <c r="K1106" s="4">
        <f t="shared" si="70"/>
        <v>29.387755102040817</v>
      </c>
      <c r="L1106" s="1" t="str">
        <f t="shared" si="71"/>
        <v>Levemente acima do peso</v>
      </c>
      <c r="M1106" t="s">
        <v>20</v>
      </c>
    </row>
    <row r="1107" spans="1:13" x14ac:dyDescent="0.25">
      <c r="A1107">
        <v>1106</v>
      </c>
      <c r="B1107" t="s">
        <v>772</v>
      </c>
      <c r="C1107" s="2" t="s">
        <v>687</v>
      </c>
      <c r="D1107" s="2">
        <f t="shared" ca="1" si="68"/>
        <v>69</v>
      </c>
      <c r="E1107" t="s">
        <v>23</v>
      </c>
      <c r="F1107" t="s">
        <v>564</v>
      </c>
      <c r="G1107" t="s">
        <v>565</v>
      </c>
      <c r="H1107" t="str">
        <f t="shared" si="69"/>
        <v>Rio Branco - AC</v>
      </c>
      <c r="I1107" s="1" t="s">
        <v>56</v>
      </c>
      <c r="J1107" s="3">
        <v>66</v>
      </c>
      <c r="K1107" s="4">
        <f t="shared" si="70"/>
        <v>23.1084345786212</v>
      </c>
      <c r="L1107" s="1" t="str">
        <f t="shared" si="71"/>
        <v>Peso ideal - parabéns</v>
      </c>
      <c r="M1107" t="s">
        <v>76</v>
      </c>
    </row>
    <row r="1108" spans="1:13" x14ac:dyDescent="0.25">
      <c r="A1108">
        <v>1107</v>
      </c>
      <c r="B1108" t="s">
        <v>1286</v>
      </c>
      <c r="C1108" s="2" t="s">
        <v>1287</v>
      </c>
      <c r="D1108" s="2">
        <f t="shared" ca="1" si="68"/>
        <v>40</v>
      </c>
      <c r="E1108" t="s">
        <v>23</v>
      </c>
      <c r="F1108" t="s">
        <v>1288</v>
      </c>
      <c r="G1108" t="s">
        <v>131</v>
      </c>
      <c r="H1108" t="str">
        <f t="shared" si="69"/>
        <v>Jaraguá do Sul - SC</v>
      </c>
      <c r="I1108" s="1" t="s">
        <v>209</v>
      </c>
      <c r="J1108" s="3">
        <v>64</v>
      </c>
      <c r="K1108" s="4">
        <f t="shared" si="70"/>
        <v>26.986001011975038</v>
      </c>
      <c r="L1108" s="1" t="str">
        <f t="shared" si="71"/>
        <v>Levemente acima do peso</v>
      </c>
      <c r="M1108" t="s">
        <v>83</v>
      </c>
    </row>
    <row r="1109" spans="1:13" x14ac:dyDescent="0.25">
      <c r="A1109">
        <v>1108</v>
      </c>
      <c r="B1109" t="s">
        <v>2633</v>
      </c>
      <c r="C1109" s="2" t="s">
        <v>2634</v>
      </c>
      <c r="D1109" s="2">
        <f t="shared" ca="1" si="68"/>
        <v>30</v>
      </c>
      <c r="E1109" t="s">
        <v>23</v>
      </c>
      <c r="F1109" t="s">
        <v>852</v>
      </c>
      <c r="G1109" t="s">
        <v>186</v>
      </c>
      <c r="H1109" t="str">
        <f t="shared" si="69"/>
        <v>Belo Horizonte - MG</v>
      </c>
      <c r="I1109" s="1" t="s">
        <v>198</v>
      </c>
      <c r="J1109" s="3">
        <v>57</v>
      </c>
      <c r="K1109" s="4">
        <f t="shared" si="70"/>
        <v>23.124670372023203</v>
      </c>
      <c r="L1109" s="1" t="str">
        <f t="shared" si="71"/>
        <v>Peso ideal - parabéns</v>
      </c>
      <c r="M1109" t="s">
        <v>47</v>
      </c>
    </row>
    <row r="1110" spans="1:13" x14ac:dyDescent="0.25">
      <c r="A1110">
        <v>1109</v>
      </c>
      <c r="B1110" t="s">
        <v>3870</v>
      </c>
      <c r="C1110" s="2" t="s">
        <v>3871</v>
      </c>
      <c r="D1110" s="2">
        <f t="shared" ca="1" si="68"/>
        <v>36</v>
      </c>
      <c r="E1110" t="s">
        <v>23</v>
      </c>
      <c r="F1110" t="s">
        <v>3872</v>
      </c>
      <c r="G1110" t="s">
        <v>186</v>
      </c>
      <c r="H1110" t="str">
        <f t="shared" si="69"/>
        <v>Três Pontas - MG</v>
      </c>
      <c r="I1110" s="1" t="s">
        <v>71</v>
      </c>
      <c r="J1110" s="3">
        <v>80</v>
      </c>
      <c r="K1110" s="4">
        <f t="shared" si="70"/>
        <v>23.888440980620498</v>
      </c>
      <c r="L1110" s="1" t="str">
        <f t="shared" si="71"/>
        <v>Peso ideal - parabéns</v>
      </c>
      <c r="M1110" t="s">
        <v>26</v>
      </c>
    </row>
    <row r="1111" spans="1:13" x14ac:dyDescent="0.25">
      <c r="A1111">
        <v>1110</v>
      </c>
      <c r="B1111" t="s">
        <v>526</v>
      </c>
      <c r="C1111" s="2" t="s">
        <v>527</v>
      </c>
      <c r="D1111" s="2">
        <f t="shared" ca="1" si="68"/>
        <v>72</v>
      </c>
      <c r="E1111" t="s">
        <v>23</v>
      </c>
      <c r="F1111" t="s">
        <v>528</v>
      </c>
      <c r="G1111" t="s">
        <v>51</v>
      </c>
      <c r="H1111" t="str">
        <f t="shared" si="69"/>
        <v>Nova Iguaçu - RJ</v>
      </c>
      <c r="I1111" s="1" t="s">
        <v>13</v>
      </c>
      <c r="J1111" s="3">
        <v>65</v>
      </c>
      <c r="K1111" s="4">
        <f t="shared" si="70"/>
        <v>22.229061933586404</v>
      </c>
      <c r="L1111" s="1" t="str">
        <f t="shared" si="71"/>
        <v>Peso ideal - parabéns</v>
      </c>
      <c r="M1111" t="s">
        <v>20</v>
      </c>
    </row>
    <row r="1112" spans="1:13" x14ac:dyDescent="0.25">
      <c r="A1112">
        <v>1111</v>
      </c>
      <c r="B1112" t="s">
        <v>475</v>
      </c>
      <c r="C1112" s="2" t="s">
        <v>476</v>
      </c>
      <c r="D1112" s="2">
        <f t="shared" ca="1" si="68"/>
        <v>81</v>
      </c>
      <c r="E1112" t="s">
        <v>23</v>
      </c>
      <c r="F1112" t="s">
        <v>158</v>
      </c>
      <c r="G1112" t="s">
        <v>159</v>
      </c>
      <c r="H1112" t="str">
        <f t="shared" si="69"/>
        <v>Brasília - DF</v>
      </c>
      <c r="I1112" s="1" t="s">
        <v>90</v>
      </c>
      <c r="J1112" s="3">
        <v>60</v>
      </c>
      <c r="K1112" s="4">
        <f t="shared" si="70"/>
        <v>20.281233098972418</v>
      </c>
      <c r="L1112" s="1" t="str">
        <f t="shared" si="71"/>
        <v>Peso ideal - parabéns</v>
      </c>
      <c r="M1112" t="s">
        <v>20</v>
      </c>
    </row>
    <row r="1113" spans="1:13" x14ac:dyDescent="0.25">
      <c r="A1113">
        <v>1112</v>
      </c>
      <c r="B1113" t="s">
        <v>3211</v>
      </c>
      <c r="C1113" s="2" t="s">
        <v>3212</v>
      </c>
      <c r="D1113" s="2">
        <f t="shared" ca="1" si="68"/>
        <v>20</v>
      </c>
      <c r="E1113" t="s">
        <v>23</v>
      </c>
      <c r="F1113" t="s">
        <v>564</v>
      </c>
      <c r="G1113" t="s">
        <v>565</v>
      </c>
      <c r="H1113" t="str">
        <f t="shared" si="69"/>
        <v>Rio Branco - AC</v>
      </c>
      <c r="I1113" s="1" t="s">
        <v>286</v>
      </c>
      <c r="J1113" s="3">
        <v>65</v>
      </c>
      <c r="K1113" s="4">
        <f t="shared" si="70"/>
        <v>23.875114784205696</v>
      </c>
      <c r="L1113" s="1" t="str">
        <f t="shared" si="71"/>
        <v>Peso ideal - parabéns</v>
      </c>
      <c r="M1113" t="s">
        <v>14</v>
      </c>
    </row>
    <row r="1114" spans="1:13" x14ac:dyDescent="0.25">
      <c r="A1114">
        <v>1113</v>
      </c>
      <c r="B1114" t="s">
        <v>2516</v>
      </c>
      <c r="C1114" s="2" t="s">
        <v>2517</v>
      </c>
      <c r="D1114" s="2">
        <f t="shared" ca="1" si="68"/>
        <v>65</v>
      </c>
      <c r="E1114" t="s">
        <v>23</v>
      </c>
      <c r="F1114" t="s">
        <v>1055</v>
      </c>
      <c r="G1114" t="s">
        <v>30</v>
      </c>
      <c r="H1114" t="str">
        <f t="shared" si="69"/>
        <v>Ariquemes - RO</v>
      </c>
      <c r="I1114" s="1" t="s">
        <v>166</v>
      </c>
      <c r="J1114" s="3">
        <v>48</v>
      </c>
      <c r="K1114" s="4">
        <f t="shared" si="70"/>
        <v>17.006802721088437</v>
      </c>
      <c r="L1114" s="1" t="str">
        <f t="shared" si="71"/>
        <v>Abaixo do peso</v>
      </c>
      <c r="M1114" t="s">
        <v>83</v>
      </c>
    </row>
    <row r="1115" spans="1:13" x14ac:dyDescent="0.25">
      <c r="A1115">
        <v>1114</v>
      </c>
      <c r="B1115" t="s">
        <v>2322</v>
      </c>
      <c r="C1115" s="2" t="s">
        <v>2323</v>
      </c>
      <c r="D1115" s="2">
        <f t="shared" ca="1" si="68"/>
        <v>34</v>
      </c>
      <c r="E1115" t="s">
        <v>23</v>
      </c>
      <c r="F1115" t="s">
        <v>1707</v>
      </c>
      <c r="G1115" t="s">
        <v>186</v>
      </c>
      <c r="H1115" t="str">
        <f t="shared" si="69"/>
        <v>Uberlândia - MG</v>
      </c>
      <c r="I1115" s="1" t="s">
        <v>416</v>
      </c>
      <c r="J1115" s="3">
        <v>62</v>
      </c>
      <c r="K1115" s="4">
        <f t="shared" si="70"/>
        <v>23.9188302920412</v>
      </c>
      <c r="L1115" s="1" t="str">
        <f t="shared" si="71"/>
        <v>Peso ideal - parabéns</v>
      </c>
      <c r="M1115" t="s">
        <v>47</v>
      </c>
    </row>
    <row r="1116" spans="1:13" x14ac:dyDescent="0.25">
      <c r="A1116">
        <v>1115</v>
      </c>
      <c r="B1116" t="s">
        <v>1439</v>
      </c>
      <c r="C1116" s="2" t="s">
        <v>1440</v>
      </c>
      <c r="D1116" s="2">
        <f t="shared" ca="1" si="68"/>
        <v>65</v>
      </c>
      <c r="E1116" t="s">
        <v>23</v>
      </c>
      <c r="F1116" t="s">
        <v>158</v>
      </c>
      <c r="G1116" t="s">
        <v>159</v>
      </c>
      <c r="H1116" t="str">
        <f t="shared" si="69"/>
        <v>Brasília - DF</v>
      </c>
      <c r="I1116" s="1" t="s">
        <v>86</v>
      </c>
      <c r="J1116" s="3">
        <v>48</v>
      </c>
      <c r="K1116" s="4">
        <f t="shared" si="70"/>
        <v>14.651567412472147</v>
      </c>
      <c r="L1116" s="1" t="str">
        <f t="shared" si="71"/>
        <v>Muito abaixo do peso</v>
      </c>
      <c r="M1116" t="s">
        <v>32</v>
      </c>
    </row>
    <row r="1117" spans="1:13" x14ac:dyDescent="0.25">
      <c r="A1117">
        <v>1116</v>
      </c>
      <c r="B1117" t="s">
        <v>2826</v>
      </c>
      <c r="C1117" s="2" t="s">
        <v>2827</v>
      </c>
      <c r="D1117" s="2">
        <f t="shared" ca="1" si="68"/>
        <v>37</v>
      </c>
      <c r="E1117" t="s">
        <v>23</v>
      </c>
      <c r="F1117" t="s">
        <v>126</v>
      </c>
      <c r="G1117" t="s">
        <v>127</v>
      </c>
      <c r="H1117" t="str">
        <f t="shared" si="69"/>
        <v>Boa Vista - RR</v>
      </c>
      <c r="I1117" s="1" t="s">
        <v>484</v>
      </c>
      <c r="J1117" s="3">
        <v>70</v>
      </c>
      <c r="K1117" s="4">
        <f t="shared" si="70"/>
        <v>29.136316337148799</v>
      </c>
      <c r="L1117" s="1" t="str">
        <f t="shared" si="71"/>
        <v>Levemente acima do peso</v>
      </c>
      <c r="M1117" t="s">
        <v>83</v>
      </c>
    </row>
    <row r="1118" spans="1:13" x14ac:dyDescent="0.25">
      <c r="A1118">
        <v>1117</v>
      </c>
      <c r="B1118" t="s">
        <v>2531</v>
      </c>
      <c r="C1118" s="2" t="s">
        <v>2532</v>
      </c>
      <c r="D1118" s="2">
        <f t="shared" ca="1" si="68"/>
        <v>65</v>
      </c>
      <c r="E1118" t="s">
        <v>23</v>
      </c>
      <c r="F1118" t="s">
        <v>446</v>
      </c>
      <c r="G1118" t="s">
        <v>170</v>
      </c>
      <c r="H1118" t="str">
        <f t="shared" si="69"/>
        <v>Arapiraca - AL</v>
      </c>
      <c r="I1118" s="1" t="s">
        <v>484</v>
      </c>
      <c r="J1118" s="3">
        <v>85</v>
      </c>
      <c r="K1118" s="4">
        <f t="shared" si="70"/>
        <v>35.379812695109258</v>
      </c>
      <c r="L1118" s="1" t="str">
        <f t="shared" si="71"/>
        <v>Obesidade grau II - severa</v>
      </c>
      <c r="M1118" t="s">
        <v>26</v>
      </c>
    </row>
    <row r="1119" spans="1:13" x14ac:dyDescent="0.25">
      <c r="A1119">
        <v>1118</v>
      </c>
      <c r="B1119" t="s">
        <v>2575</v>
      </c>
      <c r="C1119" s="2" t="s">
        <v>2576</v>
      </c>
      <c r="D1119" s="2">
        <f t="shared" ca="1" si="68"/>
        <v>38</v>
      </c>
      <c r="E1119" t="s">
        <v>23</v>
      </c>
      <c r="F1119" t="s">
        <v>158</v>
      </c>
      <c r="G1119" t="s">
        <v>159</v>
      </c>
      <c r="H1119" t="str">
        <f t="shared" si="69"/>
        <v>Brasília - DF</v>
      </c>
      <c r="I1119" s="1" t="s">
        <v>86</v>
      </c>
      <c r="J1119" s="3">
        <v>57</v>
      </c>
      <c r="K1119" s="4">
        <f t="shared" si="70"/>
        <v>17.398736302310674</v>
      </c>
      <c r="L1119" s="1" t="str">
        <f t="shared" si="71"/>
        <v>Abaixo do peso</v>
      </c>
      <c r="M1119" t="s">
        <v>26</v>
      </c>
    </row>
    <row r="1120" spans="1:13" x14ac:dyDescent="0.25">
      <c r="A1120">
        <v>1119</v>
      </c>
      <c r="B1120" t="s">
        <v>4058</v>
      </c>
      <c r="C1120" s="2" t="s">
        <v>3214</v>
      </c>
      <c r="D1120" s="2">
        <f t="shared" ca="1" si="68"/>
        <v>69</v>
      </c>
      <c r="E1120" t="s">
        <v>23</v>
      </c>
      <c r="F1120" t="s">
        <v>185</v>
      </c>
      <c r="G1120" t="s">
        <v>186</v>
      </c>
      <c r="H1120" t="str">
        <f t="shared" si="69"/>
        <v>Montes Claros - MG</v>
      </c>
      <c r="I1120" s="1" t="s">
        <v>56</v>
      </c>
      <c r="J1120" s="3">
        <v>56</v>
      </c>
      <c r="K1120" s="4">
        <f t="shared" si="70"/>
        <v>19.607156612163443</v>
      </c>
      <c r="L1120" s="1" t="str">
        <f t="shared" si="71"/>
        <v>Peso ideal - parabéns</v>
      </c>
      <c r="M1120" t="s">
        <v>32</v>
      </c>
    </row>
    <row r="1121" spans="1:13" x14ac:dyDescent="0.25">
      <c r="A1121">
        <v>1120</v>
      </c>
      <c r="B1121" t="s">
        <v>928</v>
      </c>
      <c r="C1121" s="2" t="s">
        <v>929</v>
      </c>
      <c r="D1121" s="2">
        <f t="shared" ca="1" si="68"/>
        <v>47</v>
      </c>
      <c r="E1121" t="s">
        <v>23</v>
      </c>
      <c r="F1121" t="s">
        <v>89</v>
      </c>
      <c r="G1121" t="s">
        <v>12</v>
      </c>
      <c r="H1121" t="str">
        <f t="shared" si="69"/>
        <v>Fortaleza - CE</v>
      </c>
      <c r="I1121" s="1" t="s">
        <v>104</v>
      </c>
      <c r="J1121" s="3">
        <v>74</v>
      </c>
      <c r="K1121" s="4">
        <f t="shared" si="70"/>
        <v>25.605536332179934</v>
      </c>
      <c r="L1121" s="1" t="str">
        <f t="shared" si="71"/>
        <v>Levemente acima do peso</v>
      </c>
      <c r="M1121" t="s">
        <v>76</v>
      </c>
    </row>
    <row r="1122" spans="1:13" x14ac:dyDescent="0.25">
      <c r="A1122">
        <v>1121</v>
      </c>
      <c r="B1122" t="s">
        <v>3807</v>
      </c>
      <c r="C1122" s="2" t="s">
        <v>2961</v>
      </c>
      <c r="D1122" s="2">
        <f t="shared" ca="1" si="68"/>
        <v>24</v>
      </c>
      <c r="E1122" t="s">
        <v>23</v>
      </c>
      <c r="F1122" t="s">
        <v>64</v>
      </c>
      <c r="G1122" t="s">
        <v>65</v>
      </c>
      <c r="H1122" t="str">
        <f t="shared" si="69"/>
        <v>Salvador - BA</v>
      </c>
      <c r="I1122" s="1" t="s">
        <v>94</v>
      </c>
      <c r="J1122" s="3">
        <v>67</v>
      </c>
      <c r="K1122" s="4">
        <f t="shared" si="70"/>
        <v>22.386314277122523</v>
      </c>
      <c r="L1122" s="1" t="str">
        <f t="shared" si="71"/>
        <v>Peso ideal - parabéns</v>
      </c>
      <c r="M1122" t="s">
        <v>95</v>
      </c>
    </row>
    <row r="1123" spans="1:13" x14ac:dyDescent="0.25">
      <c r="A1123">
        <v>1122</v>
      </c>
      <c r="B1123" t="s">
        <v>1038</v>
      </c>
      <c r="C1123" s="2" t="s">
        <v>1039</v>
      </c>
      <c r="D1123" s="2">
        <f t="shared" ca="1" si="68"/>
        <v>43</v>
      </c>
      <c r="E1123" t="s">
        <v>23</v>
      </c>
      <c r="F1123" t="s">
        <v>1040</v>
      </c>
      <c r="G1123" t="s">
        <v>55</v>
      </c>
      <c r="H1123" t="str">
        <f t="shared" si="69"/>
        <v>Foz do Iguaçu - PR</v>
      </c>
      <c r="I1123" s="1" t="s">
        <v>171</v>
      </c>
      <c r="J1123" s="3">
        <v>48</v>
      </c>
      <c r="K1123" s="4">
        <f t="shared" si="70"/>
        <v>17.21108680841909</v>
      </c>
      <c r="L1123" s="1" t="str">
        <f t="shared" si="71"/>
        <v>Abaixo do peso</v>
      </c>
      <c r="M1123" t="s">
        <v>47</v>
      </c>
    </row>
    <row r="1124" spans="1:13" x14ac:dyDescent="0.25">
      <c r="A1124">
        <v>1123</v>
      </c>
      <c r="B1124" t="s">
        <v>1519</v>
      </c>
      <c r="C1124" s="2" t="s">
        <v>1520</v>
      </c>
      <c r="D1124" s="2">
        <f t="shared" ca="1" si="68"/>
        <v>25</v>
      </c>
      <c r="E1124" t="s">
        <v>23</v>
      </c>
      <c r="F1124" t="s">
        <v>40</v>
      </c>
      <c r="G1124" t="s">
        <v>41</v>
      </c>
      <c r="H1124" t="str">
        <f t="shared" si="69"/>
        <v>Campina Grande - PB</v>
      </c>
      <c r="I1124" s="1" t="s">
        <v>166</v>
      </c>
      <c r="J1124" s="3">
        <v>47</v>
      </c>
      <c r="K1124" s="4">
        <f t="shared" si="70"/>
        <v>16.65249433106576</v>
      </c>
      <c r="L1124" s="1" t="str">
        <f t="shared" si="71"/>
        <v>Muito abaixo do peso</v>
      </c>
      <c r="M1124" t="s">
        <v>47</v>
      </c>
    </row>
    <row r="1125" spans="1:13" x14ac:dyDescent="0.25">
      <c r="A1125">
        <v>1124</v>
      </c>
      <c r="B1125" t="s">
        <v>417</v>
      </c>
      <c r="C1125" s="2" t="s">
        <v>418</v>
      </c>
      <c r="D1125" s="2">
        <f t="shared" ca="1" si="68"/>
        <v>78</v>
      </c>
      <c r="E1125" t="s">
        <v>23</v>
      </c>
      <c r="F1125" t="s">
        <v>419</v>
      </c>
      <c r="G1125" t="s">
        <v>25</v>
      </c>
      <c r="H1125" t="str">
        <f t="shared" si="69"/>
        <v>Mossoró - RN</v>
      </c>
      <c r="I1125" s="1" t="s">
        <v>19</v>
      </c>
      <c r="J1125" s="3">
        <v>73</v>
      </c>
      <c r="K1125" s="4">
        <f t="shared" si="70"/>
        <v>23.301094832264035</v>
      </c>
      <c r="L1125" s="1" t="str">
        <f t="shared" si="71"/>
        <v>Peso ideal - parabéns</v>
      </c>
      <c r="M1125" t="s">
        <v>83</v>
      </c>
    </row>
    <row r="1126" spans="1:13" x14ac:dyDescent="0.25">
      <c r="A1126">
        <v>1125</v>
      </c>
      <c r="B1126" t="s">
        <v>2936</v>
      </c>
      <c r="C1126" s="2" t="s">
        <v>1868</v>
      </c>
      <c r="D1126" s="2">
        <f t="shared" ca="1" si="68"/>
        <v>28</v>
      </c>
      <c r="E1126" t="s">
        <v>23</v>
      </c>
      <c r="F1126" t="s">
        <v>410</v>
      </c>
      <c r="G1126" t="s">
        <v>310</v>
      </c>
      <c r="H1126" t="str">
        <f t="shared" si="69"/>
        <v>Canoas - RS</v>
      </c>
      <c r="I1126" s="1" t="s">
        <v>56</v>
      </c>
      <c r="J1126" s="3">
        <v>86</v>
      </c>
      <c r="K1126" s="4">
        <f t="shared" si="70"/>
        <v>30.110990511536716</v>
      </c>
      <c r="L1126" s="1" t="str">
        <f t="shared" si="71"/>
        <v>Obesidade grau I</v>
      </c>
      <c r="M1126" t="s">
        <v>14</v>
      </c>
    </row>
    <row r="1127" spans="1:13" x14ac:dyDescent="0.25">
      <c r="A1127">
        <v>1126</v>
      </c>
      <c r="B1127" t="s">
        <v>2391</v>
      </c>
      <c r="C1127" s="2" t="s">
        <v>2392</v>
      </c>
      <c r="D1127" s="2">
        <f t="shared" ca="1" si="68"/>
        <v>68</v>
      </c>
      <c r="E1127" t="s">
        <v>23</v>
      </c>
      <c r="F1127" t="s">
        <v>236</v>
      </c>
      <c r="G1127" t="s">
        <v>237</v>
      </c>
      <c r="H1127" t="str">
        <f t="shared" si="69"/>
        <v>Teresina - PI</v>
      </c>
      <c r="I1127" s="1" t="s">
        <v>160</v>
      </c>
      <c r="J1127" s="3">
        <v>70</v>
      </c>
      <c r="K1127" s="4">
        <f t="shared" si="70"/>
        <v>20.675803402646501</v>
      </c>
      <c r="L1127" s="1" t="str">
        <f t="shared" si="71"/>
        <v>Peso ideal - parabéns</v>
      </c>
      <c r="M1127" t="s">
        <v>26</v>
      </c>
    </row>
    <row r="1128" spans="1:13" x14ac:dyDescent="0.25">
      <c r="A1128">
        <v>1127</v>
      </c>
      <c r="B1128" t="s">
        <v>1630</v>
      </c>
      <c r="C1128" s="2" t="s">
        <v>1631</v>
      </c>
      <c r="D1128" s="2">
        <f t="shared" ca="1" si="68"/>
        <v>54</v>
      </c>
      <c r="E1128" t="s">
        <v>23</v>
      </c>
      <c r="F1128" t="s">
        <v>711</v>
      </c>
      <c r="G1128" t="s">
        <v>175</v>
      </c>
      <c r="H1128" t="str">
        <f t="shared" si="69"/>
        <v>Camaragibe - PE</v>
      </c>
      <c r="I1128" s="1" t="s">
        <v>123</v>
      </c>
      <c r="J1128" s="3">
        <v>74</v>
      </c>
      <c r="K1128" s="4">
        <f t="shared" si="70"/>
        <v>23.889462809917354</v>
      </c>
      <c r="L1128" s="1" t="str">
        <f t="shared" si="71"/>
        <v>Peso ideal - parabéns</v>
      </c>
      <c r="M1128" t="s">
        <v>95</v>
      </c>
    </row>
    <row r="1129" spans="1:13" x14ac:dyDescent="0.25">
      <c r="A1129">
        <v>1128</v>
      </c>
      <c r="B1129" t="s">
        <v>118</v>
      </c>
      <c r="C1129" s="2" t="s">
        <v>119</v>
      </c>
      <c r="D1129" s="2">
        <f t="shared" ca="1" si="68"/>
        <v>29</v>
      </c>
      <c r="E1129" t="s">
        <v>23</v>
      </c>
      <c r="F1129" t="s">
        <v>64</v>
      </c>
      <c r="G1129" t="s">
        <v>65</v>
      </c>
      <c r="H1129" t="str">
        <f t="shared" si="69"/>
        <v>Salvador - BA</v>
      </c>
      <c r="I1129" s="1" t="s">
        <v>13</v>
      </c>
      <c r="J1129" s="3">
        <v>63</v>
      </c>
      <c r="K1129" s="4">
        <f t="shared" si="70"/>
        <v>21.545090797168363</v>
      </c>
      <c r="L1129" s="1" t="str">
        <f t="shared" si="71"/>
        <v>Peso ideal - parabéns</v>
      </c>
      <c r="M1129" t="s">
        <v>95</v>
      </c>
    </row>
    <row r="1130" spans="1:13" x14ac:dyDescent="0.25">
      <c r="A1130">
        <v>1129</v>
      </c>
      <c r="B1130" t="s">
        <v>2884</v>
      </c>
      <c r="C1130" s="2" t="s">
        <v>2885</v>
      </c>
      <c r="D1130" s="2">
        <f t="shared" ca="1" si="68"/>
        <v>23</v>
      </c>
      <c r="E1130" t="s">
        <v>23</v>
      </c>
      <c r="F1130" t="s">
        <v>736</v>
      </c>
      <c r="G1130" t="s">
        <v>190</v>
      </c>
      <c r="H1130" t="str">
        <f t="shared" si="69"/>
        <v>Sinop - MT</v>
      </c>
      <c r="I1130" s="1" t="s">
        <v>247</v>
      </c>
      <c r="J1130" s="3">
        <v>59</v>
      </c>
      <c r="K1130" s="4">
        <f t="shared" si="70"/>
        <v>26.222222222222221</v>
      </c>
      <c r="L1130" s="1" t="str">
        <f t="shared" si="71"/>
        <v>Levemente acima do peso</v>
      </c>
      <c r="M1130" t="s">
        <v>47</v>
      </c>
    </row>
    <row r="1131" spans="1:13" x14ac:dyDescent="0.25">
      <c r="A1131">
        <v>1130</v>
      </c>
      <c r="B1131" t="s">
        <v>612</v>
      </c>
      <c r="C1131" s="2" t="s">
        <v>613</v>
      </c>
      <c r="D1131" s="2">
        <f t="shared" ca="1" si="68"/>
        <v>43</v>
      </c>
      <c r="E1131" t="s">
        <v>23</v>
      </c>
      <c r="F1131" t="s">
        <v>564</v>
      </c>
      <c r="G1131" t="s">
        <v>565</v>
      </c>
      <c r="H1131" t="str">
        <f t="shared" si="69"/>
        <v>Rio Branco - AC</v>
      </c>
      <c r="I1131" s="1" t="s">
        <v>13</v>
      </c>
      <c r="J1131" s="3">
        <v>87</v>
      </c>
      <c r="K1131" s="4">
        <f t="shared" si="70"/>
        <v>29.75274443418488</v>
      </c>
      <c r="L1131" s="1" t="str">
        <f t="shared" si="71"/>
        <v>Levemente acima do peso</v>
      </c>
      <c r="M1131" t="s">
        <v>83</v>
      </c>
    </row>
    <row r="1132" spans="1:13" x14ac:dyDescent="0.25">
      <c r="A1132">
        <v>1131</v>
      </c>
      <c r="B1132" t="s">
        <v>4025</v>
      </c>
      <c r="C1132" s="2" t="s">
        <v>4026</v>
      </c>
      <c r="D1132" s="2">
        <f t="shared" ca="1" si="68"/>
        <v>47</v>
      </c>
      <c r="E1132" t="s">
        <v>23</v>
      </c>
      <c r="F1132" t="s">
        <v>1525</v>
      </c>
      <c r="G1132" t="s">
        <v>12</v>
      </c>
      <c r="H1132" t="str">
        <f t="shared" si="69"/>
        <v>Crato - CE</v>
      </c>
      <c r="I1132" s="1" t="s">
        <v>113</v>
      </c>
      <c r="J1132" s="3">
        <v>53</v>
      </c>
      <c r="K1132" s="4">
        <f t="shared" si="70"/>
        <v>19.948059768903612</v>
      </c>
      <c r="L1132" s="1" t="str">
        <f t="shared" si="71"/>
        <v>Peso ideal - parabéns</v>
      </c>
      <c r="M1132" t="s">
        <v>20</v>
      </c>
    </row>
    <row r="1133" spans="1:13" x14ac:dyDescent="0.25">
      <c r="A1133">
        <v>1132</v>
      </c>
      <c r="B1133" t="s">
        <v>3554</v>
      </c>
      <c r="C1133" s="2" t="s">
        <v>3555</v>
      </c>
      <c r="D1133" s="2">
        <f t="shared" ca="1" si="68"/>
        <v>57</v>
      </c>
      <c r="E1133" t="s">
        <v>10</v>
      </c>
      <c r="F1133" t="s">
        <v>979</v>
      </c>
      <c r="G1133" t="s">
        <v>51</v>
      </c>
      <c r="H1133" t="str">
        <f t="shared" si="69"/>
        <v>São Gonçalo - RJ</v>
      </c>
      <c r="I1133" s="1" t="s">
        <v>19</v>
      </c>
      <c r="J1133" s="3">
        <v>107</v>
      </c>
      <c r="K1133" s="4">
        <f t="shared" si="70"/>
        <v>34.153659548660983</v>
      </c>
      <c r="L1133" s="1" t="str">
        <f t="shared" si="71"/>
        <v>Obesidade grau I</v>
      </c>
      <c r="M1133" t="s">
        <v>20</v>
      </c>
    </row>
    <row r="1134" spans="1:13" x14ac:dyDescent="0.25">
      <c r="A1134">
        <v>1133</v>
      </c>
      <c r="B1134" t="s">
        <v>1681</v>
      </c>
      <c r="C1134" s="2" t="s">
        <v>1682</v>
      </c>
      <c r="D1134" s="2">
        <f t="shared" ca="1" si="68"/>
        <v>42</v>
      </c>
      <c r="E1134" t="s">
        <v>10</v>
      </c>
      <c r="F1134" t="s">
        <v>1683</v>
      </c>
      <c r="G1134" t="s">
        <v>103</v>
      </c>
      <c r="H1134" t="str">
        <f t="shared" si="69"/>
        <v>Poá - SP</v>
      </c>
      <c r="I1134" s="1" t="s">
        <v>191</v>
      </c>
      <c r="J1134" s="3">
        <v>56</v>
      </c>
      <c r="K1134" s="4">
        <f t="shared" si="70"/>
        <v>21.874999999999996</v>
      </c>
      <c r="L1134" s="1" t="str">
        <f t="shared" si="71"/>
        <v>Peso ideal - parabéns</v>
      </c>
      <c r="M1134" t="s">
        <v>95</v>
      </c>
    </row>
    <row r="1135" spans="1:13" x14ac:dyDescent="0.25">
      <c r="A1135">
        <v>1134</v>
      </c>
      <c r="B1135" t="s">
        <v>2928</v>
      </c>
      <c r="C1135" s="2" t="s">
        <v>766</v>
      </c>
      <c r="D1135" s="2">
        <f t="shared" ca="1" si="68"/>
        <v>70</v>
      </c>
      <c r="E1135" t="s">
        <v>10</v>
      </c>
      <c r="F1135" t="s">
        <v>169</v>
      </c>
      <c r="G1135" t="s">
        <v>170</v>
      </c>
      <c r="H1135" t="str">
        <f t="shared" si="69"/>
        <v>Maceió - AL</v>
      </c>
      <c r="I1135" s="1" t="s">
        <v>42</v>
      </c>
      <c r="J1135" s="3">
        <v>69</v>
      </c>
      <c r="K1135" s="4">
        <f t="shared" si="70"/>
        <v>21.534908398614277</v>
      </c>
      <c r="L1135" s="1" t="str">
        <f t="shared" si="71"/>
        <v>Peso ideal - parabéns</v>
      </c>
      <c r="M1135" t="s">
        <v>32</v>
      </c>
    </row>
    <row r="1136" spans="1:13" x14ac:dyDescent="0.25">
      <c r="A1136">
        <v>1135</v>
      </c>
      <c r="B1136" t="s">
        <v>3079</v>
      </c>
      <c r="C1136" s="2" t="s">
        <v>3080</v>
      </c>
      <c r="D1136" s="2">
        <f t="shared" ca="1" si="68"/>
        <v>31</v>
      </c>
      <c r="E1136" t="s">
        <v>10</v>
      </c>
      <c r="F1136" t="s">
        <v>204</v>
      </c>
      <c r="G1136" t="s">
        <v>112</v>
      </c>
      <c r="H1136" t="str">
        <f t="shared" si="69"/>
        <v>Belém - PA</v>
      </c>
      <c r="I1136" s="1" t="s">
        <v>255</v>
      </c>
      <c r="J1136" s="3">
        <v>103</v>
      </c>
      <c r="K1136" s="4">
        <f t="shared" si="70"/>
        <v>26.009444205954395</v>
      </c>
      <c r="L1136" s="1" t="str">
        <f t="shared" si="71"/>
        <v>Levemente acima do peso</v>
      </c>
      <c r="M1136" t="s">
        <v>76</v>
      </c>
    </row>
    <row r="1137" spans="1:13" x14ac:dyDescent="0.25">
      <c r="A1137">
        <v>1136</v>
      </c>
      <c r="B1137" t="s">
        <v>3364</v>
      </c>
      <c r="C1137" s="2" t="s">
        <v>3365</v>
      </c>
      <c r="D1137" s="2">
        <f t="shared" ca="1" si="68"/>
        <v>62</v>
      </c>
      <c r="E1137" t="s">
        <v>10</v>
      </c>
      <c r="F1137" t="s">
        <v>59</v>
      </c>
      <c r="G1137" t="s">
        <v>60</v>
      </c>
      <c r="H1137" t="str">
        <f t="shared" si="69"/>
        <v>Palmas - TO</v>
      </c>
      <c r="I1137" s="1" t="s">
        <v>281</v>
      </c>
      <c r="J1137" s="3">
        <v>99</v>
      </c>
      <c r="K1137" s="4">
        <f t="shared" si="70"/>
        <v>37.722908093278456</v>
      </c>
      <c r="L1137" s="1" t="str">
        <f t="shared" si="71"/>
        <v>Obesidade grau II - severa</v>
      </c>
      <c r="M1137" t="s">
        <v>95</v>
      </c>
    </row>
    <row r="1138" spans="1:13" x14ac:dyDescent="0.25">
      <c r="A1138">
        <v>1137</v>
      </c>
      <c r="B1138" t="s">
        <v>216</v>
      </c>
      <c r="C1138" s="2" t="s">
        <v>217</v>
      </c>
      <c r="D1138" s="2">
        <f t="shared" ca="1" si="68"/>
        <v>77</v>
      </c>
      <c r="E1138" t="s">
        <v>10</v>
      </c>
      <c r="F1138" t="s">
        <v>107</v>
      </c>
      <c r="G1138" t="s">
        <v>36</v>
      </c>
      <c r="H1138" t="str">
        <f t="shared" si="69"/>
        <v>São Luís - MA</v>
      </c>
      <c r="I1138" s="1" t="s">
        <v>218</v>
      </c>
      <c r="J1138" s="3">
        <v>86</v>
      </c>
      <c r="K1138" s="4">
        <f t="shared" si="70"/>
        <v>23.087868130688072</v>
      </c>
      <c r="L1138" s="1" t="str">
        <f t="shared" si="71"/>
        <v>Peso ideal - parabéns</v>
      </c>
      <c r="M1138" t="s">
        <v>32</v>
      </c>
    </row>
    <row r="1139" spans="1:13" x14ac:dyDescent="0.25">
      <c r="A1139">
        <v>1138</v>
      </c>
      <c r="B1139" t="s">
        <v>898</v>
      </c>
      <c r="C1139" s="2" t="s">
        <v>899</v>
      </c>
      <c r="D1139" s="2">
        <f t="shared" ca="1" si="68"/>
        <v>37</v>
      </c>
      <c r="E1139" t="s">
        <v>10</v>
      </c>
      <c r="F1139" t="s">
        <v>900</v>
      </c>
      <c r="G1139" t="s">
        <v>103</v>
      </c>
      <c r="H1139" t="str">
        <f t="shared" si="69"/>
        <v>Cotia - SP</v>
      </c>
      <c r="I1139" s="1" t="s">
        <v>108</v>
      </c>
      <c r="J1139" s="3">
        <v>60</v>
      </c>
      <c r="K1139" s="4">
        <f t="shared" si="70"/>
        <v>16.446917573531429</v>
      </c>
      <c r="L1139" s="1" t="str">
        <f t="shared" si="71"/>
        <v>Muito abaixo do peso</v>
      </c>
      <c r="M1139" t="s">
        <v>26</v>
      </c>
    </row>
    <row r="1140" spans="1:13" x14ac:dyDescent="0.25">
      <c r="A1140">
        <v>1139</v>
      </c>
      <c r="B1140" t="s">
        <v>3248</v>
      </c>
      <c r="C1140" s="2" t="s">
        <v>3249</v>
      </c>
      <c r="D1140" s="2">
        <f t="shared" ca="1" si="68"/>
        <v>27</v>
      </c>
      <c r="E1140" t="s">
        <v>10</v>
      </c>
      <c r="F1140" t="s">
        <v>454</v>
      </c>
      <c r="G1140" t="s">
        <v>60</v>
      </c>
      <c r="H1140" t="str">
        <f t="shared" si="69"/>
        <v>Gurupi - TO</v>
      </c>
      <c r="I1140" s="1" t="s">
        <v>108</v>
      </c>
      <c r="J1140" s="3">
        <v>54</v>
      </c>
      <c r="K1140" s="4">
        <f t="shared" si="70"/>
        <v>14.802225816178286</v>
      </c>
      <c r="L1140" s="1" t="str">
        <f t="shared" si="71"/>
        <v>Muito abaixo do peso</v>
      </c>
      <c r="M1140" t="s">
        <v>76</v>
      </c>
    </row>
    <row r="1141" spans="1:13" x14ac:dyDescent="0.25">
      <c r="A1141">
        <v>1140</v>
      </c>
      <c r="B1141" t="s">
        <v>883</v>
      </c>
      <c r="C1141" s="2" t="s">
        <v>884</v>
      </c>
      <c r="D1141" s="2">
        <f t="shared" ca="1" si="68"/>
        <v>64</v>
      </c>
      <c r="E1141" t="s">
        <v>10</v>
      </c>
      <c r="F1141" t="s">
        <v>267</v>
      </c>
      <c r="G1141" t="s">
        <v>103</v>
      </c>
      <c r="H1141" t="str">
        <f t="shared" si="69"/>
        <v>São Paulo - SP</v>
      </c>
      <c r="I1141" s="1" t="s">
        <v>255</v>
      </c>
      <c r="J1141" s="3">
        <v>82</v>
      </c>
      <c r="K1141" s="4">
        <f t="shared" si="70"/>
        <v>20.706547814449131</v>
      </c>
      <c r="L1141" s="1" t="str">
        <f t="shared" si="71"/>
        <v>Peso ideal - parabéns</v>
      </c>
      <c r="M1141" t="s">
        <v>47</v>
      </c>
    </row>
    <row r="1142" spans="1:13" x14ac:dyDescent="0.25">
      <c r="A1142">
        <v>1141</v>
      </c>
      <c r="B1142" t="s">
        <v>1456</v>
      </c>
      <c r="C1142" s="2" t="s">
        <v>1457</v>
      </c>
      <c r="D1142" s="2">
        <f t="shared" ca="1" si="68"/>
        <v>52</v>
      </c>
      <c r="E1142" t="s">
        <v>10</v>
      </c>
      <c r="F1142" t="s">
        <v>158</v>
      </c>
      <c r="G1142" t="s">
        <v>159</v>
      </c>
      <c r="H1142" t="str">
        <f t="shared" si="69"/>
        <v>Brasília - DF</v>
      </c>
      <c r="I1142" s="1" t="s">
        <v>155</v>
      </c>
      <c r="J1142" s="3">
        <v>80</v>
      </c>
      <c r="K1142" s="4">
        <f t="shared" si="70"/>
        <v>24.151672503320853</v>
      </c>
      <c r="L1142" s="1" t="str">
        <f t="shared" si="71"/>
        <v>Peso ideal - parabéns</v>
      </c>
      <c r="M1142" t="s">
        <v>14</v>
      </c>
    </row>
    <row r="1143" spans="1:13" x14ac:dyDescent="0.25">
      <c r="A1143">
        <v>1142</v>
      </c>
      <c r="B1143" t="s">
        <v>3548</v>
      </c>
      <c r="C1143" s="2" t="s">
        <v>3549</v>
      </c>
      <c r="D1143" s="2">
        <f t="shared" ca="1" si="68"/>
        <v>53</v>
      </c>
      <c r="E1143" t="s">
        <v>10</v>
      </c>
      <c r="F1143" t="s">
        <v>1126</v>
      </c>
      <c r="G1143" t="s">
        <v>186</v>
      </c>
      <c r="H1143" t="str">
        <f t="shared" si="69"/>
        <v>Pará de Minas - MG</v>
      </c>
      <c r="I1143" s="1" t="s">
        <v>386</v>
      </c>
      <c r="J1143" s="3">
        <v>58</v>
      </c>
      <c r="K1143" s="4">
        <f t="shared" si="70"/>
        <v>21.048047612135289</v>
      </c>
      <c r="L1143" s="1" t="str">
        <f t="shared" si="71"/>
        <v>Peso ideal - parabéns</v>
      </c>
      <c r="M1143" t="s">
        <v>32</v>
      </c>
    </row>
    <row r="1144" spans="1:13" x14ac:dyDescent="0.25">
      <c r="A1144">
        <v>1143</v>
      </c>
      <c r="B1144" t="s">
        <v>969</v>
      </c>
      <c r="C1144" s="2" t="s">
        <v>970</v>
      </c>
      <c r="D1144" s="2">
        <f t="shared" ca="1" si="68"/>
        <v>21</v>
      </c>
      <c r="E1144" t="s">
        <v>23</v>
      </c>
      <c r="F1144" t="s">
        <v>354</v>
      </c>
      <c r="G1144" t="s">
        <v>30</v>
      </c>
      <c r="H1144" t="str">
        <f t="shared" si="69"/>
        <v>Porto Velho - RO</v>
      </c>
      <c r="I1144" s="1" t="s">
        <v>286</v>
      </c>
      <c r="J1144" s="3">
        <v>71</v>
      </c>
      <c r="K1144" s="4">
        <f t="shared" si="70"/>
        <v>26.078971533516992</v>
      </c>
      <c r="L1144" s="1" t="str">
        <f t="shared" si="71"/>
        <v>Levemente acima do peso</v>
      </c>
      <c r="M1144" t="s">
        <v>83</v>
      </c>
    </row>
    <row r="1145" spans="1:13" x14ac:dyDescent="0.25">
      <c r="A1145">
        <v>1144</v>
      </c>
      <c r="B1145" t="s">
        <v>1886</v>
      </c>
      <c r="C1145" s="2" t="s">
        <v>1887</v>
      </c>
      <c r="D1145" s="2">
        <f t="shared" ca="1" si="68"/>
        <v>80</v>
      </c>
      <c r="E1145" t="s">
        <v>23</v>
      </c>
      <c r="F1145" t="s">
        <v>775</v>
      </c>
      <c r="G1145" t="s">
        <v>51</v>
      </c>
      <c r="H1145" t="str">
        <f t="shared" si="69"/>
        <v>Rio de Janeiro - RJ</v>
      </c>
      <c r="I1145" s="1" t="s">
        <v>447</v>
      </c>
      <c r="J1145" s="3">
        <v>62</v>
      </c>
      <c r="K1145" s="4">
        <f t="shared" si="70"/>
        <v>20.244897959183675</v>
      </c>
      <c r="L1145" s="1" t="str">
        <f t="shared" si="71"/>
        <v>Peso ideal - parabéns</v>
      </c>
      <c r="M1145" t="s">
        <v>47</v>
      </c>
    </row>
    <row r="1146" spans="1:13" x14ac:dyDescent="0.25">
      <c r="A1146">
        <v>1145</v>
      </c>
      <c r="B1146" t="s">
        <v>2945</v>
      </c>
      <c r="C1146" s="2" t="s">
        <v>2946</v>
      </c>
      <c r="D1146" s="2">
        <f t="shared" ca="1" si="68"/>
        <v>45</v>
      </c>
      <c r="E1146" t="s">
        <v>23</v>
      </c>
      <c r="F1146" t="s">
        <v>1105</v>
      </c>
      <c r="G1146" t="s">
        <v>310</v>
      </c>
      <c r="H1146" t="str">
        <f t="shared" si="69"/>
        <v>Novo Hamburgo - RS</v>
      </c>
      <c r="I1146" s="1" t="s">
        <v>104</v>
      </c>
      <c r="J1146" s="3">
        <v>90</v>
      </c>
      <c r="K1146" s="4">
        <f t="shared" si="70"/>
        <v>31.141868512110729</v>
      </c>
      <c r="L1146" s="1" t="str">
        <f t="shared" si="71"/>
        <v>Obesidade grau I</v>
      </c>
      <c r="M1146" t="s">
        <v>83</v>
      </c>
    </row>
    <row r="1147" spans="1:13" x14ac:dyDescent="0.25">
      <c r="A1147">
        <v>1146</v>
      </c>
      <c r="B1147" t="s">
        <v>2499</v>
      </c>
      <c r="C1147" s="2" t="s">
        <v>2500</v>
      </c>
      <c r="D1147" s="2">
        <f t="shared" ca="1" si="68"/>
        <v>33</v>
      </c>
      <c r="E1147" t="s">
        <v>23</v>
      </c>
      <c r="F1147" t="s">
        <v>64</v>
      </c>
      <c r="G1147" t="s">
        <v>65</v>
      </c>
      <c r="H1147" t="str">
        <f t="shared" si="69"/>
        <v>Salvador - BA</v>
      </c>
      <c r="I1147" s="1" t="s">
        <v>113</v>
      </c>
      <c r="J1147" s="3">
        <v>65</v>
      </c>
      <c r="K1147" s="4">
        <f t="shared" si="70"/>
        <v>24.464601603372351</v>
      </c>
      <c r="L1147" s="1" t="str">
        <f t="shared" si="71"/>
        <v>Peso ideal - parabéns</v>
      </c>
      <c r="M1147" t="s">
        <v>32</v>
      </c>
    </row>
    <row r="1148" spans="1:13" x14ac:dyDescent="0.25">
      <c r="A1148">
        <v>1147</v>
      </c>
      <c r="B1148" t="s">
        <v>1150</v>
      </c>
      <c r="C1148" s="2" t="s">
        <v>1151</v>
      </c>
      <c r="D1148" s="2">
        <f t="shared" ca="1" si="68"/>
        <v>77</v>
      </c>
      <c r="E1148" t="s">
        <v>23</v>
      </c>
      <c r="F1148" t="s">
        <v>564</v>
      </c>
      <c r="G1148" t="s">
        <v>565</v>
      </c>
      <c r="H1148" t="str">
        <f t="shared" si="69"/>
        <v>Rio Branco - AC</v>
      </c>
      <c r="I1148" s="1" t="s">
        <v>123</v>
      </c>
      <c r="J1148" s="3">
        <v>76</v>
      </c>
      <c r="K1148" s="4">
        <f t="shared" si="70"/>
        <v>24.535123966942148</v>
      </c>
      <c r="L1148" s="1" t="str">
        <f t="shared" si="71"/>
        <v>Peso ideal - parabéns</v>
      </c>
      <c r="M1148" t="s">
        <v>76</v>
      </c>
    </row>
    <row r="1149" spans="1:13" x14ac:dyDescent="0.25">
      <c r="A1149">
        <v>1148</v>
      </c>
      <c r="B1149" t="s">
        <v>560</v>
      </c>
      <c r="C1149" s="2" t="s">
        <v>561</v>
      </c>
      <c r="D1149" s="2">
        <f t="shared" ca="1" si="68"/>
        <v>29</v>
      </c>
      <c r="E1149" t="s">
        <v>10</v>
      </c>
      <c r="F1149" t="s">
        <v>64</v>
      </c>
      <c r="G1149" t="s">
        <v>65</v>
      </c>
      <c r="H1149" t="str">
        <f t="shared" si="69"/>
        <v>Salvador - BA</v>
      </c>
      <c r="I1149" s="1" t="s">
        <v>400</v>
      </c>
      <c r="J1149" s="3">
        <v>70</v>
      </c>
      <c r="K1149" s="4">
        <f t="shared" si="70"/>
        <v>21.604938271604937</v>
      </c>
      <c r="L1149" s="1" t="str">
        <f t="shared" si="71"/>
        <v>Peso ideal - parabéns</v>
      </c>
      <c r="M1149" t="s">
        <v>76</v>
      </c>
    </row>
    <row r="1150" spans="1:13" x14ac:dyDescent="0.25">
      <c r="A1150">
        <v>1149</v>
      </c>
      <c r="B1150" t="s">
        <v>1114</v>
      </c>
      <c r="C1150" s="2" t="s">
        <v>1115</v>
      </c>
      <c r="D1150" s="2">
        <f t="shared" ca="1" si="68"/>
        <v>78</v>
      </c>
      <c r="E1150" t="s">
        <v>10</v>
      </c>
      <c r="F1150" t="s">
        <v>74</v>
      </c>
      <c r="G1150" t="s">
        <v>75</v>
      </c>
      <c r="H1150" t="str">
        <f t="shared" si="69"/>
        <v>Macapá - AP</v>
      </c>
      <c r="I1150" s="1" t="s">
        <v>61</v>
      </c>
      <c r="J1150" s="3">
        <v>102</v>
      </c>
      <c r="K1150" s="4">
        <f t="shared" si="70"/>
        <v>28.554631729234906</v>
      </c>
      <c r="L1150" s="1" t="str">
        <f t="shared" si="71"/>
        <v>Levemente acima do peso</v>
      </c>
      <c r="M1150" t="s">
        <v>32</v>
      </c>
    </row>
    <row r="1151" spans="1:13" x14ac:dyDescent="0.25">
      <c r="A1151">
        <v>1150</v>
      </c>
      <c r="B1151" t="s">
        <v>590</v>
      </c>
      <c r="C1151" s="2" t="s">
        <v>591</v>
      </c>
      <c r="D1151" s="2">
        <f t="shared" ca="1" si="68"/>
        <v>52</v>
      </c>
      <c r="E1151" t="s">
        <v>10</v>
      </c>
      <c r="F1151" t="s">
        <v>498</v>
      </c>
      <c r="G1151" t="s">
        <v>131</v>
      </c>
      <c r="H1151" t="str">
        <f t="shared" si="69"/>
        <v>Florianópolis - SC</v>
      </c>
      <c r="I1151" s="1" t="s">
        <v>179</v>
      </c>
      <c r="J1151" s="3">
        <v>62</v>
      </c>
      <c r="K1151" s="4">
        <f t="shared" si="70"/>
        <v>20.478266613819528</v>
      </c>
      <c r="L1151" s="1" t="str">
        <f t="shared" si="71"/>
        <v>Peso ideal - parabéns</v>
      </c>
      <c r="M1151" t="s">
        <v>14</v>
      </c>
    </row>
    <row r="1152" spans="1:13" x14ac:dyDescent="0.25">
      <c r="A1152">
        <v>1151</v>
      </c>
      <c r="B1152" t="s">
        <v>2579</v>
      </c>
      <c r="C1152" s="2" t="s">
        <v>2580</v>
      </c>
      <c r="D1152" s="2">
        <f t="shared" ca="1" si="68"/>
        <v>21</v>
      </c>
      <c r="E1152" t="s">
        <v>10</v>
      </c>
      <c r="F1152" t="s">
        <v>69</v>
      </c>
      <c r="G1152" t="s">
        <v>70</v>
      </c>
      <c r="H1152" t="str">
        <f t="shared" si="69"/>
        <v>Aracaju - SE</v>
      </c>
      <c r="I1152" s="1" t="s">
        <v>160</v>
      </c>
      <c r="J1152" s="3">
        <v>51</v>
      </c>
      <c r="K1152" s="4">
        <f t="shared" si="70"/>
        <v>15.063799621928165</v>
      </c>
      <c r="L1152" s="1" t="str">
        <f t="shared" si="71"/>
        <v>Muito abaixo do peso</v>
      </c>
      <c r="M1152" t="s">
        <v>14</v>
      </c>
    </row>
    <row r="1153" spans="1:13" x14ac:dyDescent="0.25">
      <c r="A1153">
        <v>1152</v>
      </c>
      <c r="B1153" t="s">
        <v>1332</v>
      </c>
      <c r="C1153" s="2" t="s">
        <v>1333</v>
      </c>
      <c r="D1153" s="2">
        <f t="shared" ca="1" si="68"/>
        <v>63</v>
      </c>
      <c r="E1153" t="s">
        <v>10</v>
      </c>
      <c r="F1153" t="s">
        <v>481</v>
      </c>
      <c r="G1153" t="s">
        <v>310</v>
      </c>
      <c r="H1153" t="str">
        <f t="shared" si="69"/>
        <v>Cachoeirinha - RS</v>
      </c>
      <c r="I1153" s="1" t="s">
        <v>37</v>
      </c>
      <c r="J1153" s="3">
        <v>65</v>
      </c>
      <c r="K1153" s="4">
        <f t="shared" si="70"/>
        <v>16.748692313638589</v>
      </c>
      <c r="L1153" s="1" t="str">
        <f t="shared" si="71"/>
        <v>Muito abaixo do peso</v>
      </c>
      <c r="M1153" t="s">
        <v>95</v>
      </c>
    </row>
    <row r="1154" spans="1:13" x14ac:dyDescent="0.25">
      <c r="A1154">
        <v>1153</v>
      </c>
      <c r="B1154" t="s">
        <v>3393</v>
      </c>
      <c r="C1154" s="2" t="s">
        <v>3152</v>
      </c>
      <c r="D1154" s="2">
        <f t="shared" ca="1" si="68"/>
        <v>19</v>
      </c>
      <c r="E1154" t="s">
        <v>10</v>
      </c>
      <c r="F1154" t="s">
        <v>169</v>
      </c>
      <c r="G1154" t="s">
        <v>170</v>
      </c>
      <c r="H1154" t="str">
        <f t="shared" si="69"/>
        <v>Maceió - AL</v>
      </c>
      <c r="I1154" s="1" t="s">
        <v>117</v>
      </c>
      <c r="J1154" s="3">
        <v>77</v>
      </c>
      <c r="K1154" s="4">
        <f t="shared" si="70"/>
        <v>24.302487059714682</v>
      </c>
      <c r="L1154" s="1" t="str">
        <f t="shared" si="71"/>
        <v>Peso ideal - parabéns</v>
      </c>
      <c r="M1154" t="s">
        <v>47</v>
      </c>
    </row>
    <row r="1155" spans="1:13" x14ac:dyDescent="0.25">
      <c r="A1155">
        <v>1154</v>
      </c>
      <c r="B1155" t="s">
        <v>2509</v>
      </c>
      <c r="C1155" s="2" t="s">
        <v>2510</v>
      </c>
      <c r="D1155" s="2">
        <f t="shared" ref="D1155:D1218" ca="1" si="72">YEAR(TODAY())-YEAR(C1155)</f>
        <v>76</v>
      </c>
      <c r="E1155" t="s">
        <v>23</v>
      </c>
      <c r="F1155" t="s">
        <v>204</v>
      </c>
      <c r="G1155" t="s">
        <v>112</v>
      </c>
      <c r="H1155" t="str">
        <f t="shared" ref="H1155:H1218" si="73">CONCATENATE(F1155," - ",G1155)</f>
        <v>Belém - PA</v>
      </c>
      <c r="I1155" s="1" t="s">
        <v>56</v>
      </c>
      <c r="J1155" s="3">
        <v>61</v>
      </c>
      <c r="K1155" s="4">
        <f t="shared" ref="K1155:K1218" si="74">J1155/(I1155*I1155)</f>
        <v>21.357795595392322</v>
      </c>
      <c r="L1155" s="1" t="str">
        <f t="shared" ref="L1155:L1218" si="75">IF(K1155&gt;=40,"Obesidade grau III - mórbida",
IF(K1155&gt;=35,"Obesidade grau II - severa",
IF(K1155&gt;=30,"Obesidade grau I",
IF(K1155&gt;=25,"Levemente acima do peso",
IF(K1155&gt;=18.6,"Peso ideal - parabéns",
IF(K1155&gt;=17,"Abaixo do peso",
"Muito abaixo do peso"))))))</f>
        <v>Peso ideal - parabéns</v>
      </c>
      <c r="M1155" t="s">
        <v>76</v>
      </c>
    </row>
    <row r="1156" spans="1:13" x14ac:dyDescent="0.25">
      <c r="A1156">
        <v>1155</v>
      </c>
      <c r="B1156" t="s">
        <v>2030</v>
      </c>
      <c r="C1156" s="2" t="s">
        <v>2031</v>
      </c>
      <c r="D1156" s="2">
        <f t="shared" ca="1" si="72"/>
        <v>21</v>
      </c>
      <c r="E1156" t="s">
        <v>23</v>
      </c>
      <c r="F1156" t="s">
        <v>736</v>
      </c>
      <c r="G1156" t="s">
        <v>190</v>
      </c>
      <c r="H1156" t="str">
        <f t="shared" si="73"/>
        <v>Sinop - MT</v>
      </c>
      <c r="I1156" s="1" t="s">
        <v>166</v>
      </c>
      <c r="J1156" s="3">
        <v>66</v>
      </c>
      <c r="K1156" s="4">
        <f t="shared" si="74"/>
        <v>23.384353741496604</v>
      </c>
      <c r="L1156" s="1" t="str">
        <f t="shared" si="75"/>
        <v>Peso ideal - parabéns</v>
      </c>
      <c r="M1156" t="s">
        <v>20</v>
      </c>
    </row>
    <row r="1157" spans="1:13" x14ac:dyDescent="0.25">
      <c r="A1157">
        <v>1156</v>
      </c>
      <c r="B1157" t="s">
        <v>2002</v>
      </c>
      <c r="C1157" s="2" t="s">
        <v>2003</v>
      </c>
      <c r="D1157" s="2">
        <f t="shared" ca="1" si="72"/>
        <v>65</v>
      </c>
      <c r="E1157" t="s">
        <v>23</v>
      </c>
      <c r="F1157" t="s">
        <v>941</v>
      </c>
      <c r="G1157" t="s">
        <v>131</v>
      </c>
      <c r="H1157" t="str">
        <f t="shared" si="73"/>
        <v>Itajaí - SC</v>
      </c>
      <c r="I1157" s="1" t="s">
        <v>160</v>
      </c>
      <c r="J1157" s="3">
        <v>74</v>
      </c>
      <c r="K1157" s="4">
        <f t="shared" si="74"/>
        <v>21.857277882797732</v>
      </c>
      <c r="L1157" s="1" t="str">
        <f t="shared" si="75"/>
        <v>Peso ideal - parabéns</v>
      </c>
      <c r="M1157" t="s">
        <v>83</v>
      </c>
    </row>
    <row r="1158" spans="1:13" x14ac:dyDescent="0.25">
      <c r="A1158">
        <v>1157</v>
      </c>
      <c r="B1158" t="s">
        <v>2113</v>
      </c>
      <c r="C1158" s="2" t="s">
        <v>2114</v>
      </c>
      <c r="D1158" s="2">
        <f t="shared" ca="1" si="72"/>
        <v>40</v>
      </c>
      <c r="E1158" t="s">
        <v>23</v>
      </c>
      <c r="F1158" t="s">
        <v>267</v>
      </c>
      <c r="G1158" t="s">
        <v>103</v>
      </c>
      <c r="H1158" t="str">
        <f t="shared" si="73"/>
        <v>São Paulo - SP</v>
      </c>
      <c r="I1158" s="1" t="s">
        <v>247</v>
      </c>
      <c r="J1158" s="3">
        <v>54</v>
      </c>
      <c r="K1158" s="4">
        <f t="shared" si="74"/>
        <v>24</v>
      </c>
      <c r="L1158" s="1" t="str">
        <f t="shared" si="75"/>
        <v>Peso ideal - parabéns</v>
      </c>
      <c r="M1158" t="s">
        <v>14</v>
      </c>
    </row>
    <row r="1159" spans="1:13" x14ac:dyDescent="0.25">
      <c r="A1159">
        <v>1158</v>
      </c>
      <c r="B1159" t="s">
        <v>617</v>
      </c>
      <c r="C1159" s="2" t="s">
        <v>618</v>
      </c>
      <c r="D1159" s="2">
        <f t="shared" ca="1" si="72"/>
        <v>26</v>
      </c>
      <c r="E1159" t="s">
        <v>23</v>
      </c>
      <c r="F1159" t="s">
        <v>564</v>
      </c>
      <c r="G1159" t="s">
        <v>565</v>
      </c>
      <c r="H1159" t="str">
        <f t="shared" si="73"/>
        <v>Rio Branco - AC</v>
      </c>
      <c r="I1159" s="1" t="s">
        <v>31</v>
      </c>
      <c r="J1159" s="3">
        <v>55</v>
      </c>
      <c r="K1159" s="4">
        <f t="shared" si="74"/>
        <v>20.449137418203453</v>
      </c>
      <c r="L1159" s="1" t="str">
        <f t="shared" si="75"/>
        <v>Peso ideal - parabéns</v>
      </c>
      <c r="M1159" t="s">
        <v>83</v>
      </c>
    </row>
    <row r="1160" spans="1:13" x14ac:dyDescent="0.25">
      <c r="A1160">
        <v>1159</v>
      </c>
      <c r="B1160" t="s">
        <v>1082</v>
      </c>
      <c r="C1160" s="2" t="s">
        <v>399</v>
      </c>
      <c r="D1160" s="2">
        <f t="shared" ca="1" si="72"/>
        <v>72</v>
      </c>
      <c r="E1160" t="s">
        <v>23</v>
      </c>
      <c r="F1160" t="s">
        <v>1083</v>
      </c>
      <c r="G1160" t="s">
        <v>65</v>
      </c>
      <c r="H1160" t="str">
        <f t="shared" si="73"/>
        <v>Itabuna - BA</v>
      </c>
      <c r="I1160" s="1" t="s">
        <v>447</v>
      </c>
      <c r="J1160" s="3">
        <v>52</v>
      </c>
      <c r="K1160" s="4">
        <f t="shared" si="74"/>
        <v>16.979591836734695</v>
      </c>
      <c r="L1160" s="1" t="str">
        <f t="shared" si="75"/>
        <v>Muito abaixo do peso</v>
      </c>
      <c r="M1160" t="s">
        <v>95</v>
      </c>
    </row>
    <row r="1161" spans="1:13" x14ac:dyDescent="0.25">
      <c r="A1161">
        <v>1160</v>
      </c>
      <c r="B1161" t="s">
        <v>1863</v>
      </c>
      <c r="C1161" s="2" t="s">
        <v>1864</v>
      </c>
      <c r="D1161" s="2">
        <f t="shared" ca="1" si="72"/>
        <v>23</v>
      </c>
      <c r="E1161" t="s">
        <v>23</v>
      </c>
      <c r="F1161" t="s">
        <v>395</v>
      </c>
      <c r="G1161" t="s">
        <v>36</v>
      </c>
      <c r="H1161" t="str">
        <f t="shared" si="73"/>
        <v>Imperatriz - MA</v>
      </c>
      <c r="I1161" s="1" t="s">
        <v>447</v>
      </c>
      <c r="J1161" s="3">
        <v>85</v>
      </c>
      <c r="K1161" s="4">
        <f t="shared" si="74"/>
        <v>27.755102040816325</v>
      </c>
      <c r="L1161" s="1" t="str">
        <f t="shared" si="75"/>
        <v>Levemente acima do peso</v>
      </c>
      <c r="M1161" t="s">
        <v>47</v>
      </c>
    </row>
    <row r="1162" spans="1:13" x14ac:dyDescent="0.25">
      <c r="A1162">
        <v>1161</v>
      </c>
      <c r="B1162" t="s">
        <v>3511</v>
      </c>
      <c r="C1162" s="2" t="s">
        <v>3512</v>
      </c>
      <c r="D1162" s="2">
        <f t="shared" ca="1" si="72"/>
        <v>75</v>
      </c>
      <c r="E1162" t="s">
        <v>10</v>
      </c>
      <c r="F1162" t="s">
        <v>158</v>
      </c>
      <c r="G1162" t="s">
        <v>159</v>
      </c>
      <c r="H1162" t="str">
        <f t="shared" si="73"/>
        <v>Brasília - DF</v>
      </c>
      <c r="I1162" s="1" t="s">
        <v>194</v>
      </c>
      <c r="J1162" s="3">
        <v>87</v>
      </c>
      <c r="K1162" s="4">
        <f t="shared" si="74"/>
        <v>25.420014609203797</v>
      </c>
      <c r="L1162" s="1" t="str">
        <f t="shared" si="75"/>
        <v>Levemente acima do peso</v>
      </c>
      <c r="M1162" t="s">
        <v>95</v>
      </c>
    </row>
    <row r="1163" spans="1:13" x14ac:dyDescent="0.25">
      <c r="A1163">
        <v>1162</v>
      </c>
      <c r="B1163" t="s">
        <v>1934</v>
      </c>
      <c r="C1163" s="2" t="s">
        <v>1935</v>
      </c>
      <c r="D1163" s="2">
        <f t="shared" ca="1" si="72"/>
        <v>45</v>
      </c>
      <c r="E1163" t="s">
        <v>10</v>
      </c>
      <c r="F1163" t="s">
        <v>775</v>
      </c>
      <c r="G1163" t="s">
        <v>51</v>
      </c>
      <c r="H1163" t="str">
        <f t="shared" si="73"/>
        <v>Rio de Janeiro - RJ</v>
      </c>
      <c r="I1163" s="1" t="s">
        <v>71</v>
      </c>
      <c r="J1163" s="3">
        <v>91</v>
      </c>
      <c r="K1163" s="4">
        <f t="shared" si="74"/>
        <v>27.173101615455817</v>
      </c>
      <c r="L1163" s="1" t="str">
        <f t="shared" si="75"/>
        <v>Levemente acima do peso</v>
      </c>
      <c r="M1163" t="s">
        <v>83</v>
      </c>
    </row>
    <row r="1164" spans="1:13" x14ac:dyDescent="0.25">
      <c r="A1164">
        <v>1163</v>
      </c>
      <c r="B1164" t="s">
        <v>232</v>
      </c>
      <c r="C1164" s="2" t="s">
        <v>233</v>
      </c>
      <c r="D1164" s="2">
        <f t="shared" ca="1" si="72"/>
        <v>30</v>
      </c>
      <c r="E1164" t="s">
        <v>10</v>
      </c>
      <c r="F1164" t="s">
        <v>153</v>
      </c>
      <c r="G1164" t="s">
        <v>154</v>
      </c>
      <c r="H1164" t="str">
        <f t="shared" si="73"/>
        <v>Manaus - AM</v>
      </c>
      <c r="I1164" s="1" t="s">
        <v>113</v>
      </c>
      <c r="J1164" s="3">
        <v>92</v>
      </c>
      <c r="K1164" s="4">
        <f t="shared" si="74"/>
        <v>34.626820730927022</v>
      </c>
      <c r="L1164" s="1" t="str">
        <f t="shared" si="75"/>
        <v>Obesidade grau I</v>
      </c>
      <c r="M1164" t="s">
        <v>20</v>
      </c>
    </row>
    <row r="1165" spans="1:13" x14ac:dyDescent="0.25">
      <c r="A1165">
        <v>1164</v>
      </c>
      <c r="B1165" t="s">
        <v>1583</v>
      </c>
      <c r="C1165" s="2" t="s">
        <v>1584</v>
      </c>
      <c r="D1165" s="2">
        <f t="shared" ca="1" si="72"/>
        <v>48</v>
      </c>
      <c r="E1165" t="s">
        <v>10</v>
      </c>
      <c r="F1165" t="s">
        <v>236</v>
      </c>
      <c r="G1165" t="s">
        <v>237</v>
      </c>
      <c r="H1165" t="str">
        <f t="shared" si="73"/>
        <v>Teresina - PI</v>
      </c>
      <c r="I1165" s="1" t="s">
        <v>37</v>
      </c>
      <c r="J1165" s="3">
        <v>90</v>
      </c>
      <c r="K1165" s="4">
        <f t="shared" si="74"/>
        <v>23.19049704965343</v>
      </c>
      <c r="L1165" s="1" t="str">
        <f t="shared" si="75"/>
        <v>Peso ideal - parabéns</v>
      </c>
      <c r="M1165" t="s">
        <v>83</v>
      </c>
    </row>
    <row r="1166" spans="1:13" x14ac:dyDescent="0.25">
      <c r="A1166">
        <v>1165</v>
      </c>
      <c r="B1166" t="s">
        <v>327</v>
      </c>
      <c r="C1166" s="2" t="s">
        <v>328</v>
      </c>
      <c r="D1166" s="2">
        <f t="shared" ca="1" si="72"/>
        <v>78</v>
      </c>
      <c r="E1166" t="s">
        <v>10</v>
      </c>
      <c r="F1166" t="s">
        <v>329</v>
      </c>
      <c r="G1166" t="s">
        <v>103</v>
      </c>
      <c r="H1166" t="str">
        <f t="shared" si="73"/>
        <v>Guarulhos - SP</v>
      </c>
      <c r="I1166" s="1" t="s">
        <v>166</v>
      </c>
      <c r="J1166" s="3">
        <v>109</v>
      </c>
      <c r="K1166" s="4">
        <f t="shared" si="74"/>
        <v>38.619614512471664</v>
      </c>
      <c r="L1166" s="1" t="str">
        <f t="shared" si="75"/>
        <v>Obesidade grau II - severa</v>
      </c>
      <c r="M1166" t="s">
        <v>83</v>
      </c>
    </row>
    <row r="1167" spans="1:13" x14ac:dyDescent="0.25">
      <c r="A1167">
        <v>1166</v>
      </c>
      <c r="B1167" t="s">
        <v>473</v>
      </c>
      <c r="C1167" s="2" t="s">
        <v>474</v>
      </c>
      <c r="D1167" s="2">
        <f t="shared" ca="1" si="72"/>
        <v>21</v>
      </c>
      <c r="E1167" t="s">
        <v>10</v>
      </c>
      <c r="F1167" t="s">
        <v>383</v>
      </c>
      <c r="G1167" t="s">
        <v>237</v>
      </c>
      <c r="H1167" t="str">
        <f t="shared" si="73"/>
        <v>Parnaíba - PI</v>
      </c>
      <c r="I1167" s="1" t="s">
        <v>201</v>
      </c>
      <c r="J1167" s="3">
        <v>106</v>
      </c>
      <c r="K1167" s="4">
        <f t="shared" si="74"/>
        <v>27.592669720949608</v>
      </c>
      <c r="L1167" s="1" t="str">
        <f t="shared" si="75"/>
        <v>Levemente acima do peso</v>
      </c>
      <c r="M1167" t="s">
        <v>32</v>
      </c>
    </row>
    <row r="1168" spans="1:13" x14ac:dyDescent="0.25">
      <c r="A1168">
        <v>1167</v>
      </c>
      <c r="B1168" t="s">
        <v>1918</v>
      </c>
      <c r="C1168" s="2" t="s">
        <v>1919</v>
      </c>
      <c r="D1168" s="2">
        <f t="shared" ca="1" si="72"/>
        <v>37</v>
      </c>
      <c r="E1168" t="s">
        <v>10</v>
      </c>
      <c r="F1168" t="s">
        <v>528</v>
      </c>
      <c r="G1168" t="s">
        <v>51</v>
      </c>
      <c r="H1168" t="str">
        <f t="shared" si="73"/>
        <v>Nova Iguaçu - RJ</v>
      </c>
      <c r="I1168" s="1" t="s">
        <v>318</v>
      </c>
      <c r="J1168" s="3">
        <v>94</v>
      </c>
      <c r="K1168" s="4">
        <f t="shared" si="74"/>
        <v>25.499131944444446</v>
      </c>
      <c r="L1168" s="1" t="str">
        <f t="shared" si="75"/>
        <v>Levemente acima do peso</v>
      </c>
      <c r="M1168" t="s">
        <v>83</v>
      </c>
    </row>
    <row r="1169" spans="1:13" x14ac:dyDescent="0.25">
      <c r="A1169">
        <v>1168</v>
      </c>
      <c r="B1169" t="s">
        <v>3970</v>
      </c>
      <c r="C1169" s="2" t="s">
        <v>3971</v>
      </c>
      <c r="D1169" s="2">
        <f t="shared" ca="1" si="72"/>
        <v>53</v>
      </c>
      <c r="E1169" t="s">
        <v>10</v>
      </c>
      <c r="F1169" t="s">
        <v>272</v>
      </c>
      <c r="G1169" t="s">
        <v>273</v>
      </c>
      <c r="H1169" t="str">
        <f t="shared" si="73"/>
        <v>Vitória - ES</v>
      </c>
      <c r="I1169" s="1" t="s">
        <v>94</v>
      </c>
      <c r="J1169" s="3">
        <v>98</v>
      </c>
      <c r="K1169" s="4">
        <f t="shared" si="74"/>
        <v>32.744161181462793</v>
      </c>
      <c r="L1169" s="1" t="str">
        <f t="shared" si="75"/>
        <v>Obesidade grau I</v>
      </c>
      <c r="M1169" t="s">
        <v>26</v>
      </c>
    </row>
    <row r="1170" spans="1:13" x14ac:dyDescent="0.25">
      <c r="A1170">
        <v>1169</v>
      </c>
      <c r="B1170" t="s">
        <v>3568</v>
      </c>
      <c r="C1170" s="2" t="s">
        <v>1586</v>
      </c>
      <c r="D1170" s="2">
        <f t="shared" ca="1" si="72"/>
        <v>67</v>
      </c>
      <c r="E1170" t="s">
        <v>10</v>
      </c>
      <c r="F1170" t="s">
        <v>59</v>
      </c>
      <c r="G1170" t="s">
        <v>60</v>
      </c>
      <c r="H1170" t="str">
        <f t="shared" si="73"/>
        <v>Palmas - TO</v>
      </c>
      <c r="I1170" s="1" t="s">
        <v>42</v>
      </c>
      <c r="J1170" s="3">
        <v>90</v>
      </c>
      <c r="K1170" s="4">
        <f t="shared" si="74"/>
        <v>28.089010954714272</v>
      </c>
      <c r="L1170" s="1" t="str">
        <f t="shared" si="75"/>
        <v>Levemente acima do peso</v>
      </c>
      <c r="M1170" t="s">
        <v>14</v>
      </c>
    </row>
    <row r="1171" spans="1:13" x14ac:dyDescent="0.25">
      <c r="A1171">
        <v>1170</v>
      </c>
      <c r="B1171" t="s">
        <v>3755</v>
      </c>
      <c r="C1171" s="2" t="s">
        <v>3756</v>
      </c>
      <c r="D1171" s="2">
        <f t="shared" ca="1" si="72"/>
        <v>42</v>
      </c>
      <c r="E1171" t="s">
        <v>10</v>
      </c>
      <c r="F1171" t="s">
        <v>189</v>
      </c>
      <c r="G1171" t="s">
        <v>190</v>
      </c>
      <c r="H1171" t="str">
        <f t="shared" si="73"/>
        <v>Cuiabá - MT</v>
      </c>
      <c r="I1171" s="1" t="s">
        <v>104</v>
      </c>
      <c r="J1171" s="3">
        <v>107</v>
      </c>
      <c r="K1171" s="4">
        <f t="shared" si="74"/>
        <v>37.024221453287204</v>
      </c>
      <c r="L1171" s="1" t="str">
        <f t="shared" si="75"/>
        <v>Obesidade grau II - severa</v>
      </c>
      <c r="M1171" t="s">
        <v>14</v>
      </c>
    </row>
    <row r="1172" spans="1:13" x14ac:dyDescent="0.25">
      <c r="A1172">
        <v>1171</v>
      </c>
      <c r="B1172" t="s">
        <v>3845</v>
      </c>
      <c r="C1172" s="2" t="s">
        <v>2875</v>
      </c>
      <c r="D1172" s="2">
        <f t="shared" ca="1" si="72"/>
        <v>22</v>
      </c>
      <c r="E1172" t="s">
        <v>23</v>
      </c>
      <c r="F1172" t="s">
        <v>153</v>
      </c>
      <c r="G1172" t="s">
        <v>154</v>
      </c>
      <c r="H1172" t="str">
        <f t="shared" si="73"/>
        <v>Manaus - AM</v>
      </c>
      <c r="I1172" s="1" t="s">
        <v>198</v>
      </c>
      <c r="J1172" s="3">
        <v>81</v>
      </c>
      <c r="K1172" s="4">
        <f t="shared" si="74"/>
        <v>32.86137368655929</v>
      </c>
      <c r="L1172" s="1" t="str">
        <f t="shared" si="75"/>
        <v>Obesidade grau I</v>
      </c>
      <c r="M1172" t="s">
        <v>14</v>
      </c>
    </row>
    <row r="1173" spans="1:13" x14ac:dyDescent="0.25">
      <c r="A1173">
        <v>1172</v>
      </c>
      <c r="B1173" t="s">
        <v>1027</v>
      </c>
      <c r="C1173" s="2" t="s">
        <v>1028</v>
      </c>
      <c r="D1173" s="2">
        <f t="shared" ca="1" si="72"/>
        <v>39</v>
      </c>
      <c r="E1173" t="s">
        <v>23</v>
      </c>
      <c r="F1173" t="s">
        <v>564</v>
      </c>
      <c r="G1173" t="s">
        <v>565</v>
      </c>
      <c r="H1173" t="str">
        <f t="shared" si="73"/>
        <v>Rio Branco - AC</v>
      </c>
      <c r="I1173" s="1" t="s">
        <v>42</v>
      </c>
      <c r="J1173" s="3">
        <v>68</v>
      </c>
      <c r="K1173" s="4">
        <f t="shared" si="74"/>
        <v>21.222808276895229</v>
      </c>
      <c r="L1173" s="1" t="str">
        <f t="shared" si="75"/>
        <v>Peso ideal - parabéns</v>
      </c>
      <c r="M1173" t="s">
        <v>20</v>
      </c>
    </row>
    <row r="1174" spans="1:13" x14ac:dyDescent="0.25">
      <c r="A1174">
        <v>1173</v>
      </c>
      <c r="B1174" t="s">
        <v>3800</v>
      </c>
      <c r="C1174" s="2" t="s">
        <v>2905</v>
      </c>
      <c r="D1174" s="2">
        <f t="shared" ca="1" si="72"/>
        <v>44</v>
      </c>
      <c r="E1174" t="s">
        <v>23</v>
      </c>
      <c r="F1174" t="s">
        <v>354</v>
      </c>
      <c r="G1174" t="s">
        <v>30</v>
      </c>
      <c r="H1174" t="str">
        <f t="shared" si="73"/>
        <v>Porto Velho - RO</v>
      </c>
      <c r="I1174" s="1" t="s">
        <v>194</v>
      </c>
      <c r="J1174" s="3">
        <v>60</v>
      </c>
      <c r="K1174" s="4">
        <f t="shared" si="74"/>
        <v>17.531044558071585</v>
      </c>
      <c r="L1174" s="1" t="str">
        <f t="shared" si="75"/>
        <v>Abaixo do peso</v>
      </c>
      <c r="M1174" t="s">
        <v>83</v>
      </c>
    </row>
    <row r="1175" spans="1:13" x14ac:dyDescent="0.25">
      <c r="A1175">
        <v>1174</v>
      </c>
      <c r="B1175" t="s">
        <v>3800</v>
      </c>
      <c r="C1175" s="2" t="s">
        <v>2905</v>
      </c>
      <c r="D1175" s="2">
        <f t="shared" ca="1" si="72"/>
        <v>44</v>
      </c>
      <c r="E1175" t="s">
        <v>23</v>
      </c>
      <c r="F1175" t="s">
        <v>354</v>
      </c>
      <c r="G1175" t="s">
        <v>30</v>
      </c>
      <c r="H1175" t="str">
        <f t="shared" si="73"/>
        <v>Porto Velho - RO</v>
      </c>
      <c r="I1175" s="1" t="s">
        <v>194</v>
      </c>
      <c r="J1175" s="3">
        <v>60</v>
      </c>
      <c r="K1175" s="4">
        <f t="shared" si="74"/>
        <v>17.531044558071585</v>
      </c>
      <c r="L1175" s="1" t="str">
        <f t="shared" si="75"/>
        <v>Abaixo do peso</v>
      </c>
      <c r="M1175" t="s">
        <v>83</v>
      </c>
    </row>
    <row r="1176" spans="1:13" x14ac:dyDescent="0.25">
      <c r="A1176">
        <v>1175</v>
      </c>
      <c r="B1176" t="s">
        <v>2310</v>
      </c>
      <c r="C1176" s="2" t="s">
        <v>2311</v>
      </c>
      <c r="D1176" s="2">
        <f t="shared" ca="1" si="72"/>
        <v>58</v>
      </c>
      <c r="E1176" t="s">
        <v>23</v>
      </c>
      <c r="F1176" t="s">
        <v>17</v>
      </c>
      <c r="G1176" t="s">
        <v>18</v>
      </c>
      <c r="H1176" t="str">
        <f t="shared" si="73"/>
        <v>Campo Grande - MS</v>
      </c>
      <c r="I1176" s="1" t="s">
        <v>117</v>
      </c>
      <c r="J1176" s="3">
        <v>61</v>
      </c>
      <c r="K1176" s="4">
        <f t="shared" si="74"/>
        <v>19.252619618735007</v>
      </c>
      <c r="L1176" s="1" t="str">
        <f t="shared" si="75"/>
        <v>Peso ideal - parabéns</v>
      </c>
      <c r="M1176" t="s">
        <v>26</v>
      </c>
    </row>
    <row r="1177" spans="1:13" x14ac:dyDescent="0.25">
      <c r="A1177">
        <v>1176</v>
      </c>
      <c r="B1177" t="s">
        <v>2639</v>
      </c>
      <c r="C1177" s="2" t="s">
        <v>2640</v>
      </c>
      <c r="D1177" s="2">
        <f t="shared" ca="1" si="72"/>
        <v>65</v>
      </c>
      <c r="E1177" t="s">
        <v>23</v>
      </c>
      <c r="F1177" t="s">
        <v>564</v>
      </c>
      <c r="G1177" t="s">
        <v>565</v>
      </c>
      <c r="H1177" t="str">
        <f t="shared" si="73"/>
        <v>Rio Branco - AC</v>
      </c>
      <c r="I1177" s="1" t="s">
        <v>166</v>
      </c>
      <c r="J1177" s="3">
        <v>47</v>
      </c>
      <c r="K1177" s="4">
        <f t="shared" si="74"/>
        <v>16.65249433106576</v>
      </c>
      <c r="L1177" s="1" t="str">
        <f t="shared" si="75"/>
        <v>Muito abaixo do peso</v>
      </c>
      <c r="M1177" t="s">
        <v>47</v>
      </c>
    </row>
    <row r="1178" spans="1:13" x14ac:dyDescent="0.25">
      <c r="A1178">
        <v>1177</v>
      </c>
      <c r="B1178" t="s">
        <v>1843</v>
      </c>
      <c r="C1178" s="2" t="s">
        <v>1844</v>
      </c>
      <c r="D1178" s="2">
        <f t="shared" ca="1" si="72"/>
        <v>58</v>
      </c>
      <c r="E1178" t="s">
        <v>23</v>
      </c>
      <c r="F1178" t="s">
        <v>757</v>
      </c>
      <c r="G1178" t="s">
        <v>46</v>
      </c>
      <c r="H1178" t="str">
        <f t="shared" si="73"/>
        <v>Catalão - GO</v>
      </c>
      <c r="I1178" s="1" t="s">
        <v>286</v>
      </c>
      <c r="J1178" s="3">
        <v>47</v>
      </c>
      <c r="K1178" s="4">
        <f t="shared" si="74"/>
        <v>17.263544536271812</v>
      </c>
      <c r="L1178" s="1" t="str">
        <f t="shared" si="75"/>
        <v>Abaixo do peso</v>
      </c>
      <c r="M1178" t="s">
        <v>95</v>
      </c>
    </row>
    <row r="1179" spans="1:13" x14ac:dyDescent="0.25">
      <c r="A1179">
        <v>1178</v>
      </c>
      <c r="B1179" t="s">
        <v>3096</v>
      </c>
      <c r="C1179" s="2" t="s">
        <v>3097</v>
      </c>
      <c r="D1179" s="2">
        <f t="shared" ca="1" si="72"/>
        <v>36</v>
      </c>
      <c r="E1179" t="s">
        <v>23</v>
      </c>
      <c r="F1179" t="s">
        <v>189</v>
      </c>
      <c r="G1179" t="s">
        <v>190</v>
      </c>
      <c r="H1179" t="str">
        <f t="shared" si="73"/>
        <v>Cuiabá - MT</v>
      </c>
      <c r="I1179" s="1" t="s">
        <v>117</v>
      </c>
      <c r="J1179" s="3">
        <v>80</v>
      </c>
      <c r="K1179" s="4">
        <f t="shared" si="74"/>
        <v>25.249337204898371</v>
      </c>
      <c r="L1179" s="1" t="str">
        <f t="shared" si="75"/>
        <v>Levemente acima do peso</v>
      </c>
      <c r="M1179" t="s">
        <v>83</v>
      </c>
    </row>
    <row r="1180" spans="1:13" x14ac:dyDescent="0.25">
      <c r="A1180">
        <v>1179</v>
      </c>
      <c r="B1180" t="s">
        <v>731</v>
      </c>
      <c r="C1180" s="2" t="s">
        <v>732</v>
      </c>
      <c r="D1180" s="2">
        <f t="shared" ca="1" si="72"/>
        <v>71</v>
      </c>
      <c r="E1180" t="s">
        <v>23</v>
      </c>
      <c r="F1180" t="s">
        <v>733</v>
      </c>
      <c r="G1180" t="s">
        <v>310</v>
      </c>
      <c r="H1180" t="str">
        <f t="shared" si="73"/>
        <v>Porto Alegre - RS</v>
      </c>
      <c r="I1180" s="1" t="s">
        <v>160</v>
      </c>
      <c r="J1180" s="3">
        <v>55</v>
      </c>
      <c r="K1180" s="4">
        <f t="shared" si="74"/>
        <v>16.245274102079396</v>
      </c>
      <c r="L1180" s="1" t="str">
        <f t="shared" si="75"/>
        <v>Muito abaixo do peso</v>
      </c>
      <c r="M1180" t="s">
        <v>76</v>
      </c>
    </row>
    <row r="1181" spans="1:13" x14ac:dyDescent="0.25">
      <c r="A1181">
        <v>1180</v>
      </c>
      <c r="B1181" t="s">
        <v>1992</v>
      </c>
      <c r="C1181" s="2" t="s">
        <v>1993</v>
      </c>
      <c r="D1181" s="2">
        <f t="shared" ca="1" si="72"/>
        <v>35</v>
      </c>
      <c r="E1181" t="s">
        <v>23</v>
      </c>
      <c r="F1181" t="s">
        <v>89</v>
      </c>
      <c r="G1181" t="s">
        <v>12</v>
      </c>
      <c r="H1181" t="str">
        <f t="shared" si="73"/>
        <v>Fortaleza - CE</v>
      </c>
      <c r="I1181" s="1" t="s">
        <v>94</v>
      </c>
      <c r="J1181" s="3">
        <v>52</v>
      </c>
      <c r="K1181" s="4">
        <f t="shared" si="74"/>
        <v>17.374452871796585</v>
      </c>
      <c r="L1181" s="1" t="str">
        <f t="shared" si="75"/>
        <v>Abaixo do peso</v>
      </c>
      <c r="M1181" t="s">
        <v>20</v>
      </c>
    </row>
    <row r="1182" spans="1:13" x14ac:dyDescent="0.25">
      <c r="A1182">
        <v>1181</v>
      </c>
      <c r="B1182" t="s">
        <v>1802</v>
      </c>
      <c r="C1182" s="2" t="s">
        <v>1803</v>
      </c>
      <c r="D1182" s="2">
        <f t="shared" ca="1" si="72"/>
        <v>75</v>
      </c>
      <c r="E1182" t="s">
        <v>23</v>
      </c>
      <c r="F1182" t="s">
        <v>11</v>
      </c>
      <c r="G1182" t="s">
        <v>12</v>
      </c>
      <c r="H1182" t="str">
        <f t="shared" si="73"/>
        <v>Caucaia - CE</v>
      </c>
      <c r="I1182" s="1" t="s">
        <v>400</v>
      </c>
      <c r="J1182" s="3">
        <v>71</v>
      </c>
      <c r="K1182" s="4">
        <f t="shared" si="74"/>
        <v>21.913580246913579</v>
      </c>
      <c r="L1182" s="1" t="str">
        <f t="shared" si="75"/>
        <v>Peso ideal - parabéns</v>
      </c>
      <c r="M1182" t="s">
        <v>83</v>
      </c>
    </row>
    <row r="1183" spans="1:13" x14ac:dyDescent="0.25">
      <c r="A1183">
        <v>1182</v>
      </c>
      <c r="B1183" t="s">
        <v>677</v>
      </c>
      <c r="C1183" s="2" t="s">
        <v>678</v>
      </c>
      <c r="D1183" s="2">
        <f t="shared" ca="1" si="72"/>
        <v>24</v>
      </c>
      <c r="E1183" t="s">
        <v>23</v>
      </c>
      <c r="F1183" t="s">
        <v>158</v>
      </c>
      <c r="G1183" t="s">
        <v>159</v>
      </c>
      <c r="H1183" t="str">
        <f t="shared" si="73"/>
        <v>Brasília - DF</v>
      </c>
      <c r="I1183" s="1" t="s">
        <v>117</v>
      </c>
      <c r="J1183" s="3">
        <v>76</v>
      </c>
      <c r="K1183" s="4">
        <f t="shared" si="74"/>
        <v>23.98687034465345</v>
      </c>
      <c r="L1183" s="1" t="str">
        <f t="shared" si="75"/>
        <v>Peso ideal - parabéns</v>
      </c>
      <c r="M1183" t="s">
        <v>14</v>
      </c>
    </row>
    <row r="1184" spans="1:13" x14ac:dyDescent="0.25">
      <c r="A1184">
        <v>1183</v>
      </c>
      <c r="B1184" t="s">
        <v>3305</v>
      </c>
      <c r="C1184" s="2" t="s">
        <v>3306</v>
      </c>
      <c r="D1184" s="2">
        <f t="shared" ca="1" si="72"/>
        <v>57</v>
      </c>
      <c r="E1184" t="s">
        <v>10</v>
      </c>
      <c r="F1184" t="s">
        <v>481</v>
      </c>
      <c r="G1184" t="s">
        <v>310</v>
      </c>
      <c r="H1184" t="str">
        <f t="shared" si="73"/>
        <v>Cachoeirinha - RS</v>
      </c>
      <c r="I1184" s="1" t="s">
        <v>148</v>
      </c>
      <c r="J1184" s="3">
        <v>86</v>
      </c>
      <c r="K1184" s="4">
        <f t="shared" si="74"/>
        <v>22.616699539776466</v>
      </c>
      <c r="L1184" s="1" t="str">
        <f t="shared" si="75"/>
        <v>Peso ideal - parabéns</v>
      </c>
      <c r="M1184" t="s">
        <v>32</v>
      </c>
    </row>
    <row r="1185" spans="1:13" x14ac:dyDescent="0.25">
      <c r="A1185">
        <v>1184</v>
      </c>
      <c r="B1185" t="s">
        <v>3916</v>
      </c>
      <c r="C1185" s="2" t="s">
        <v>3917</v>
      </c>
      <c r="D1185" s="2">
        <f t="shared" ca="1" si="72"/>
        <v>27</v>
      </c>
      <c r="E1185" t="s">
        <v>10</v>
      </c>
      <c r="F1185" t="s">
        <v>126</v>
      </c>
      <c r="G1185" t="s">
        <v>127</v>
      </c>
      <c r="H1185" t="str">
        <f t="shared" si="73"/>
        <v>Boa Vista - RR</v>
      </c>
      <c r="I1185" s="1" t="s">
        <v>71</v>
      </c>
      <c r="J1185" s="3">
        <v>108</v>
      </c>
      <c r="K1185" s="4">
        <f t="shared" si="74"/>
        <v>32.249395323837675</v>
      </c>
      <c r="L1185" s="1" t="str">
        <f t="shared" si="75"/>
        <v>Obesidade grau I</v>
      </c>
      <c r="M1185" t="s">
        <v>14</v>
      </c>
    </row>
    <row r="1186" spans="1:13" x14ac:dyDescent="0.25">
      <c r="A1186">
        <v>1185</v>
      </c>
      <c r="B1186" t="s">
        <v>3394</v>
      </c>
      <c r="C1186" s="2" t="s">
        <v>2967</v>
      </c>
      <c r="D1186" s="2">
        <f t="shared" ca="1" si="72"/>
        <v>74</v>
      </c>
      <c r="E1186" t="s">
        <v>10</v>
      </c>
      <c r="F1186" t="s">
        <v>3395</v>
      </c>
      <c r="G1186" t="s">
        <v>310</v>
      </c>
      <c r="H1186" t="str">
        <f t="shared" si="73"/>
        <v>Viamão - RS</v>
      </c>
      <c r="I1186" s="1" t="s">
        <v>123</v>
      </c>
      <c r="J1186" s="3">
        <v>96</v>
      </c>
      <c r="K1186" s="4">
        <f t="shared" si="74"/>
        <v>30.991735537190085</v>
      </c>
      <c r="L1186" s="1" t="str">
        <f t="shared" si="75"/>
        <v>Obesidade grau I</v>
      </c>
      <c r="M1186" t="s">
        <v>83</v>
      </c>
    </row>
    <row r="1187" spans="1:13" x14ac:dyDescent="0.25">
      <c r="A1187">
        <v>1186</v>
      </c>
      <c r="B1187" t="s">
        <v>1345</v>
      </c>
      <c r="C1187" s="2" t="s">
        <v>1346</v>
      </c>
      <c r="D1187" s="2">
        <f t="shared" ca="1" si="72"/>
        <v>80</v>
      </c>
      <c r="E1187" t="s">
        <v>10</v>
      </c>
      <c r="F1187" t="s">
        <v>158</v>
      </c>
      <c r="G1187" t="s">
        <v>159</v>
      </c>
      <c r="H1187" t="str">
        <f t="shared" si="73"/>
        <v>Brasília - DF</v>
      </c>
      <c r="I1187" s="1" t="s">
        <v>286</v>
      </c>
      <c r="J1187" s="3">
        <v>110</v>
      </c>
      <c r="K1187" s="4">
        <f t="shared" si="74"/>
        <v>40.404040404040408</v>
      </c>
      <c r="L1187" s="1" t="str">
        <f t="shared" si="75"/>
        <v>Obesidade grau III - mórbida</v>
      </c>
      <c r="M1187" t="s">
        <v>76</v>
      </c>
    </row>
    <row r="1188" spans="1:13" x14ac:dyDescent="0.25">
      <c r="A1188">
        <v>1187</v>
      </c>
      <c r="B1188" t="s">
        <v>1023</v>
      </c>
      <c r="C1188" s="2" t="s">
        <v>1024</v>
      </c>
      <c r="D1188" s="2">
        <f t="shared" ca="1" si="72"/>
        <v>47</v>
      </c>
      <c r="E1188" t="s">
        <v>10</v>
      </c>
      <c r="F1188" t="s">
        <v>126</v>
      </c>
      <c r="G1188" t="s">
        <v>127</v>
      </c>
      <c r="H1188" t="str">
        <f t="shared" si="73"/>
        <v>Boa Vista - RR</v>
      </c>
      <c r="I1188" s="1" t="s">
        <v>416</v>
      </c>
      <c r="J1188" s="3">
        <v>59</v>
      </c>
      <c r="K1188" s="4">
        <f t="shared" si="74"/>
        <v>22.761467535974688</v>
      </c>
      <c r="L1188" s="1" t="str">
        <f t="shared" si="75"/>
        <v>Peso ideal - parabéns</v>
      </c>
      <c r="M1188" t="s">
        <v>26</v>
      </c>
    </row>
    <row r="1189" spans="1:13" x14ac:dyDescent="0.25">
      <c r="A1189">
        <v>1188</v>
      </c>
      <c r="B1189" t="s">
        <v>2400</v>
      </c>
      <c r="C1189" s="2" t="s">
        <v>856</v>
      </c>
      <c r="D1189" s="2">
        <f t="shared" ca="1" si="72"/>
        <v>34</v>
      </c>
      <c r="E1189" t="s">
        <v>10</v>
      </c>
      <c r="F1189" t="s">
        <v>93</v>
      </c>
      <c r="G1189" t="s">
        <v>51</v>
      </c>
      <c r="H1189" t="str">
        <f t="shared" si="73"/>
        <v>Teresópolis - RJ</v>
      </c>
      <c r="I1189" s="1" t="s">
        <v>56</v>
      </c>
      <c r="J1189" s="3">
        <v>80</v>
      </c>
      <c r="K1189" s="4">
        <f t="shared" si="74"/>
        <v>28.010223731662059</v>
      </c>
      <c r="L1189" s="1" t="str">
        <f t="shared" si="75"/>
        <v>Levemente acima do peso</v>
      </c>
      <c r="M1189" t="s">
        <v>83</v>
      </c>
    </row>
    <row r="1190" spans="1:13" x14ac:dyDescent="0.25">
      <c r="A1190">
        <v>1189</v>
      </c>
      <c r="B1190" t="s">
        <v>2934</v>
      </c>
      <c r="C1190" s="2" t="s">
        <v>2935</v>
      </c>
      <c r="D1190" s="2">
        <f t="shared" ca="1" si="72"/>
        <v>27</v>
      </c>
      <c r="E1190" t="s">
        <v>10</v>
      </c>
      <c r="F1190" t="s">
        <v>280</v>
      </c>
      <c r="G1190" t="s">
        <v>175</v>
      </c>
      <c r="H1190" t="str">
        <f t="shared" si="73"/>
        <v>Recife - PE</v>
      </c>
      <c r="I1190" s="1" t="s">
        <v>286</v>
      </c>
      <c r="J1190" s="3">
        <v>58</v>
      </c>
      <c r="K1190" s="4">
        <f t="shared" si="74"/>
        <v>21.30394857667585</v>
      </c>
      <c r="L1190" s="1" t="str">
        <f t="shared" si="75"/>
        <v>Peso ideal - parabéns</v>
      </c>
      <c r="M1190" t="s">
        <v>95</v>
      </c>
    </row>
    <row r="1191" spans="1:13" x14ac:dyDescent="0.25">
      <c r="A1191">
        <v>1190</v>
      </c>
      <c r="B1191" t="s">
        <v>999</v>
      </c>
      <c r="C1191" s="2" t="s">
        <v>1000</v>
      </c>
      <c r="D1191" s="2">
        <f t="shared" ca="1" si="72"/>
        <v>69</v>
      </c>
      <c r="E1191" t="s">
        <v>10</v>
      </c>
      <c r="F1191" t="s">
        <v>54</v>
      </c>
      <c r="G1191" t="s">
        <v>55</v>
      </c>
      <c r="H1191" t="str">
        <f t="shared" si="73"/>
        <v>Ponta Grossa - PR</v>
      </c>
      <c r="I1191" s="1" t="s">
        <v>123</v>
      </c>
      <c r="J1191" s="3">
        <v>88</v>
      </c>
      <c r="K1191" s="4">
        <f t="shared" si="74"/>
        <v>28.40909090909091</v>
      </c>
      <c r="L1191" s="1" t="str">
        <f t="shared" si="75"/>
        <v>Levemente acima do peso</v>
      </c>
      <c r="M1191" t="s">
        <v>47</v>
      </c>
    </row>
    <row r="1192" spans="1:13" x14ac:dyDescent="0.25">
      <c r="A1192">
        <v>1191</v>
      </c>
      <c r="B1192" t="s">
        <v>1262</v>
      </c>
      <c r="C1192" s="2" t="s">
        <v>1263</v>
      </c>
      <c r="D1192" s="2">
        <f t="shared" ca="1" si="72"/>
        <v>33</v>
      </c>
      <c r="E1192" t="s">
        <v>10</v>
      </c>
      <c r="F1192" t="s">
        <v>89</v>
      </c>
      <c r="G1192" t="s">
        <v>12</v>
      </c>
      <c r="H1192" t="str">
        <f t="shared" si="73"/>
        <v>Fortaleza - CE</v>
      </c>
      <c r="I1192" s="1" t="s">
        <v>262</v>
      </c>
      <c r="J1192" s="3">
        <v>55</v>
      </c>
      <c r="K1192" s="4">
        <f t="shared" si="74"/>
        <v>15.235457063711912</v>
      </c>
      <c r="L1192" s="1" t="str">
        <f t="shared" si="75"/>
        <v>Muito abaixo do peso</v>
      </c>
      <c r="M1192" t="s">
        <v>14</v>
      </c>
    </row>
    <row r="1193" spans="1:13" x14ac:dyDescent="0.25">
      <c r="A1193">
        <v>1192</v>
      </c>
      <c r="B1193" t="s">
        <v>2664</v>
      </c>
      <c r="C1193" s="2" t="s">
        <v>2665</v>
      </c>
      <c r="D1193" s="2">
        <f t="shared" ca="1" si="72"/>
        <v>36</v>
      </c>
      <c r="E1193" t="s">
        <v>10</v>
      </c>
      <c r="F1193" t="s">
        <v>74</v>
      </c>
      <c r="G1193" t="s">
        <v>75</v>
      </c>
      <c r="H1193" t="str">
        <f t="shared" si="73"/>
        <v>Macapá - AP</v>
      </c>
      <c r="I1193" s="1" t="s">
        <v>171</v>
      </c>
      <c r="J1193" s="3">
        <v>71</v>
      </c>
      <c r="K1193" s="4">
        <f t="shared" si="74"/>
        <v>25.458065904119906</v>
      </c>
      <c r="L1193" s="1" t="str">
        <f t="shared" si="75"/>
        <v>Levemente acima do peso</v>
      </c>
      <c r="M1193" t="s">
        <v>47</v>
      </c>
    </row>
    <row r="1194" spans="1:13" x14ac:dyDescent="0.25">
      <c r="A1194">
        <v>1193</v>
      </c>
      <c r="B1194" t="s">
        <v>2466</v>
      </c>
      <c r="C1194" s="2" t="s">
        <v>2467</v>
      </c>
      <c r="D1194" s="2">
        <f t="shared" ca="1" si="72"/>
        <v>52</v>
      </c>
      <c r="E1194" t="s">
        <v>10</v>
      </c>
      <c r="F1194" t="s">
        <v>741</v>
      </c>
      <c r="G1194" t="s">
        <v>51</v>
      </c>
      <c r="H1194" t="str">
        <f t="shared" si="73"/>
        <v>Niterói - RJ</v>
      </c>
      <c r="I1194" s="1" t="s">
        <v>132</v>
      </c>
      <c r="J1194" s="3">
        <v>65</v>
      </c>
      <c r="K1194" s="4">
        <f t="shared" si="74"/>
        <v>18.58789213303211</v>
      </c>
      <c r="L1194" s="1" t="str">
        <f t="shared" si="75"/>
        <v>Abaixo do peso</v>
      </c>
      <c r="M1194" t="s">
        <v>14</v>
      </c>
    </row>
    <row r="1195" spans="1:13" x14ac:dyDescent="0.25">
      <c r="A1195">
        <v>1194</v>
      </c>
      <c r="B1195" t="s">
        <v>3918</v>
      </c>
      <c r="C1195" s="2" t="s">
        <v>3919</v>
      </c>
      <c r="D1195" s="2">
        <f t="shared" ca="1" si="72"/>
        <v>68</v>
      </c>
      <c r="E1195" t="s">
        <v>10</v>
      </c>
      <c r="F1195" t="s">
        <v>208</v>
      </c>
      <c r="G1195" t="s">
        <v>30</v>
      </c>
      <c r="H1195" t="str">
        <f t="shared" si="73"/>
        <v>Ji-Paraná - RO</v>
      </c>
      <c r="I1195" s="1" t="s">
        <v>191</v>
      </c>
      <c r="J1195" s="3">
        <v>63</v>
      </c>
      <c r="K1195" s="4">
        <f t="shared" si="74"/>
        <v>24.609374999999996</v>
      </c>
      <c r="L1195" s="1" t="str">
        <f t="shared" si="75"/>
        <v>Peso ideal - parabéns</v>
      </c>
      <c r="M1195" t="s">
        <v>95</v>
      </c>
    </row>
    <row r="1196" spans="1:13" x14ac:dyDescent="0.25">
      <c r="A1196">
        <v>1195</v>
      </c>
      <c r="B1196" t="s">
        <v>4163</v>
      </c>
      <c r="C1196" s="2" t="s">
        <v>4164</v>
      </c>
      <c r="D1196" s="2">
        <f t="shared" ca="1" si="72"/>
        <v>74</v>
      </c>
      <c r="E1196" t="s">
        <v>10</v>
      </c>
      <c r="F1196" t="s">
        <v>64</v>
      </c>
      <c r="G1196" t="s">
        <v>65</v>
      </c>
      <c r="H1196" t="str">
        <f t="shared" si="73"/>
        <v>Salvador - BA</v>
      </c>
      <c r="I1196" s="1" t="s">
        <v>286</v>
      </c>
      <c r="J1196" s="3">
        <v>94</v>
      </c>
      <c r="K1196" s="4">
        <f t="shared" si="74"/>
        <v>34.527089072543625</v>
      </c>
      <c r="L1196" s="1" t="str">
        <f t="shared" si="75"/>
        <v>Obesidade grau I</v>
      </c>
      <c r="M1196" t="s">
        <v>14</v>
      </c>
    </row>
    <row r="1197" spans="1:13" x14ac:dyDescent="0.25">
      <c r="A1197">
        <v>1196</v>
      </c>
      <c r="B1197" t="s">
        <v>2597</v>
      </c>
      <c r="C1197" s="2" t="s">
        <v>2598</v>
      </c>
      <c r="D1197" s="2">
        <f t="shared" ca="1" si="72"/>
        <v>31</v>
      </c>
      <c r="E1197" t="s">
        <v>10</v>
      </c>
      <c r="F1197" t="s">
        <v>267</v>
      </c>
      <c r="G1197" t="s">
        <v>103</v>
      </c>
      <c r="H1197" t="str">
        <f t="shared" si="73"/>
        <v>São Paulo - SP</v>
      </c>
      <c r="I1197" s="1" t="s">
        <v>191</v>
      </c>
      <c r="J1197" s="3">
        <v>103</v>
      </c>
      <c r="K1197" s="4">
        <f t="shared" si="74"/>
        <v>40.234374999999993</v>
      </c>
      <c r="L1197" s="1" t="str">
        <f t="shared" si="75"/>
        <v>Obesidade grau III - mórbida</v>
      </c>
      <c r="M1197" t="s">
        <v>95</v>
      </c>
    </row>
    <row r="1198" spans="1:13" x14ac:dyDescent="0.25">
      <c r="A1198">
        <v>1197</v>
      </c>
      <c r="B1198" t="s">
        <v>2187</v>
      </c>
      <c r="C1198" s="2" t="s">
        <v>2188</v>
      </c>
      <c r="D1198" s="2">
        <f t="shared" ca="1" si="72"/>
        <v>26</v>
      </c>
      <c r="E1198" t="s">
        <v>10</v>
      </c>
      <c r="F1198" t="s">
        <v>204</v>
      </c>
      <c r="G1198" t="s">
        <v>112</v>
      </c>
      <c r="H1198" t="str">
        <f t="shared" si="73"/>
        <v>Belém - PA</v>
      </c>
      <c r="I1198" s="1" t="s">
        <v>71</v>
      </c>
      <c r="J1198" s="3">
        <v>61</v>
      </c>
      <c r="K1198" s="4">
        <f t="shared" si="74"/>
        <v>18.214936247723131</v>
      </c>
      <c r="L1198" s="1" t="str">
        <f t="shared" si="75"/>
        <v>Abaixo do peso</v>
      </c>
      <c r="M1198" t="s">
        <v>47</v>
      </c>
    </row>
    <row r="1199" spans="1:13" x14ac:dyDescent="0.25">
      <c r="A1199">
        <v>1198</v>
      </c>
      <c r="B1199" t="s">
        <v>1326</v>
      </c>
      <c r="C1199" s="2" t="s">
        <v>1327</v>
      </c>
      <c r="D1199" s="2">
        <f t="shared" ca="1" si="72"/>
        <v>62</v>
      </c>
      <c r="E1199" t="s">
        <v>10</v>
      </c>
      <c r="F1199" t="s">
        <v>876</v>
      </c>
      <c r="G1199" t="s">
        <v>310</v>
      </c>
      <c r="H1199" t="str">
        <f t="shared" si="73"/>
        <v>Caxias do Sul - RS</v>
      </c>
      <c r="I1199" s="1" t="s">
        <v>166</v>
      </c>
      <c r="J1199" s="3">
        <v>61</v>
      </c>
      <c r="K1199" s="4">
        <f t="shared" si="74"/>
        <v>21.612811791383223</v>
      </c>
      <c r="L1199" s="1" t="str">
        <f t="shared" si="75"/>
        <v>Peso ideal - parabéns</v>
      </c>
      <c r="M1199" t="s">
        <v>32</v>
      </c>
    </row>
    <row r="1200" spans="1:13" x14ac:dyDescent="0.25">
      <c r="A1200">
        <v>1199</v>
      </c>
      <c r="B1200" t="s">
        <v>3432</v>
      </c>
      <c r="C1200" s="2" t="s">
        <v>2470</v>
      </c>
      <c r="D1200" s="2">
        <f t="shared" ca="1" si="72"/>
        <v>35</v>
      </c>
      <c r="E1200" t="s">
        <v>10</v>
      </c>
      <c r="F1200" t="s">
        <v>158</v>
      </c>
      <c r="G1200" t="s">
        <v>159</v>
      </c>
      <c r="H1200" t="str">
        <f t="shared" si="73"/>
        <v>Brasília - DF</v>
      </c>
      <c r="I1200" s="1" t="s">
        <v>86</v>
      </c>
      <c r="J1200" s="3">
        <v>104</v>
      </c>
      <c r="K1200" s="4">
        <f t="shared" si="74"/>
        <v>31.745062727022983</v>
      </c>
      <c r="L1200" s="1" t="str">
        <f t="shared" si="75"/>
        <v>Obesidade grau I</v>
      </c>
      <c r="M1200" t="s">
        <v>95</v>
      </c>
    </row>
    <row r="1201" spans="1:13" x14ac:dyDescent="0.25">
      <c r="A1201">
        <v>1200</v>
      </c>
      <c r="B1201" t="s">
        <v>3253</v>
      </c>
      <c r="C1201" s="2" t="s">
        <v>3053</v>
      </c>
      <c r="D1201" s="2">
        <f t="shared" ca="1" si="72"/>
        <v>72</v>
      </c>
      <c r="E1201" t="s">
        <v>23</v>
      </c>
      <c r="F1201" t="s">
        <v>1612</v>
      </c>
      <c r="G1201" t="s">
        <v>175</v>
      </c>
      <c r="H1201" t="str">
        <f t="shared" si="73"/>
        <v>Petrolina - PE</v>
      </c>
      <c r="I1201" s="1" t="s">
        <v>171</v>
      </c>
      <c r="J1201" s="3">
        <v>77</v>
      </c>
      <c r="K1201" s="4">
        <f t="shared" si="74"/>
        <v>27.609451755172291</v>
      </c>
      <c r="L1201" s="1" t="str">
        <f t="shared" si="75"/>
        <v>Levemente acima do peso</v>
      </c>
      <c r="M1201" t="s">
        <v>83</v>
      </c>
    </row>
    <row r="1202" spans="1:13" x14ac:dyDescent="0.25">
      <c r="A1202">
        <v>1201</v>
      </c>
      <c r="B1202" t="s">
        <v>3371</v>
      </c>
      <c r="C1202" s="2" t="s">
        <v>3372</v>
      </c>
      <c r="D1202" s="2">
        <f t="shared" ca="1" si="72"/>
        <v>60</v>
      </c>
      <c r="E1202" t="s">
        <v>23</v>
      </c>
      <c r="F1202" t="s">
        <v>462</v>
      </c>
      <c r="G1202" t="s">
        <v>36</v>
      </c>
      <c r="H1202" t="str">
        <f t="shared" si="73"/>
        <v>Caxias - MA</v>
      </c>
      <c r="I1202" s="1" t="s">
        <v>19</v>
      </c>
      <c r="J1202" s="3">
        <v>90</v>
      </c>
      <c r="K1202" s="4">
        <f t="shared" si="74"/>
        <v>28.727377190462509</v>
      </c>
      <c r="L1202" s="1" t="str">
        <f t="shared" si="75"/>
        <v>Levemente acima do peso</v>
      </c>
      <c r="M1202" t="s">
        <v>47</v>
      </c>
    </row>
    <row r="1203" spans="1:13" x14ac:dyDescent="0.25">
      <c r="A1203">
        <v>1202</v>
      </c>
      <c r="B1203" t="s">
        <v>2589</v>
      </c>
      <c r="C1203" s="2" t="s">
        <v>2590</v>
      </c>
      <c r="D1203" s="2">
        <f t="shared" ca="1" si="72"/>
        <v>33</v>
      </c>
      <c r="E1203" t="s">
        <v>23</v>
      </c>
      <c r="F1203" t="s">
        <v>699</v>
      </c>
      <c r="G1203" t="s">
        <v>51</v>
      </c>
      <c r="H1203" t="str">
        <f t="shared" si="73"/>
        <v>Itaboraí - RJ</v>
      </c>
      <c r="I1203" s="1" t="s">
        <v>90</v>
      </c>
      <c r="J1203" s="3">
        <v>46</v>
      </c>
      <c r="K1203" s="4">
        <f t="shared" si="74"/>
        <v>15.548945375878855</v>
      </c>
      <c r="L1203" s="1" t="str">
        <f t="shared" si="75"/>
        <v>Muito abaixo do peso</v>
      </c>
      <c r="M1203" t="s">
        <v>14</v>
      </c>
    </row>
    <row r="1204" spans="1:13" x14ac:dyDescent="0.25">
      <c r="A1204">
        <v>1203</v>
      </c>
      <c r="B1204" t="s">
        <v>2918</v>
      </c>
      <c r="C1204" s="2" t="s">
        <v>2919</v>
      </c>
      <c r="D1204" s="2">
        <f t="shared" ca="1" si="72"/>
        <v>55</v>
      </c>
      <c r="E1204" t="s">
        <v>23</v>
      </c>
      <c r="F1204" t="s">
        <v>419</v>
      </c>
      <c r="G1204" t="s">
        <v>25</v>
      </c>
      <c r="H1204" t="str">
        <f t="shared" si="73"/>
        <v>Mossoró - RN</v>
      </c>
      <c r="I1204" s="1" t="s">
        <v>286</v>
      </c>
      <c r="J1204" s="3">
        <v>87</v>
      </c>
      <c r="K1204" s="4">
        <f t="shared" si="74"/>
        <v>31.955922865013779</v>
      </c>
      <c r="L1204" s="1" t="str">
        <f t="shared" si="75"/>
        <v>Obesidade grau I</v>
      </c>
      <c r="M1204" t="s">
        <v>32</v>
      </c>
    </row>
    <row r="1205" spans="1:13" x14ac:dyDescent="0.25">
      <c r="A1205">
        <v>1204</v>
      </c>
      <c r="B1205" t="s">
        <v>4040</v>
      </c>
      <c r="C1205" s="2" t="s">
        <v>4041</v>
      </c>
      <c r="D1205" s="2">
        <f t="shared" ca="1" si="72"/>
        <v>81</v>
      </c>
      <c r="E1205" t="s">
        <v>23</v>
      </c>
      <c r="F1205" t="s">
        <v>711</v>
      </c>
      <c r="G1205" t="s">
        <v>175</v>
      </c>
      <c r="H1205" t="str">
        <f t="shared" si="73"/>
        <v>Camaragibe - PE</v>
      </c>
      <c r="I1205" s="1" t="s">
        <v>194</v>
      </c>
      <c r="J1205" s="3">
        <v>73</v>
      </c>
      <c r="K1205" s="4">
        <f t="shared" si="74"/>
        <v>21.329437545653761</v>
      </c>
      <c r="L1205" s="1" t="str">
        <f t="shared" si="75"/>
        <v>Peso ideal - parabéns</v>
      </c>
      <c r="M1205" t="s">
        <v>95</v>
      </c>
    </row>
    <row r="1206" spans="1:13" x14ac:dyDescent="0.25">
      <c r="A1206">
        <v>1205</v>
      </c>
      <c r="B1206" t="s">
        <v>1906</v>
      </c>
      <c r="C1206" s="2" t="s">
        <v>1907</v>
      </c>
      <c r="D1206" s="2">
        <f t="shared" ca="1" si="72"/>
        <v>23</v>
      </c>
      <c r="E1206" t="s">
        <v>23</v>
      </c>
      <c r="F1206" t="s">
        <v>111</v>
      </c>
      <c r="G1206" t="s">
        <v>112</v>
      </c>
      <c r="H1206" t="str">
        <f t="shared" si="73"/>
        <v>Tucuruí - PA</v>
      </c>
      <c r="I1206" s="1" t="s">
        <v>166</v>
      </c>
      <c r="J1206" s="3">
        <v>59</v>
      </c>
      <c r="K1206" s="4">
        <f t="shared" si="74"/>
        <v>20.904195011337873</v>
      </c>
      <c r="L1206" s="1" t="str">
        <f t="shared" si="75"/>
        <v>Peso ideal - parabéns</v>
      </c>
      <c r="M1206" t="s">
        <v>83</v>
      </c>
    </row>
    <row r="1207" spans="1:13" x14ac:dyDescent="0.25">
      <c r="A1207">
        <v>1206</v>
      </c>
      <c r="B1207" t="s">
        <v>2223</v>
      </c>
      <c r="C1207" s="2" t="s">
        <v>2224</v>
      </c>
      <c r="D1207" s="2">
        <f t="shared" ca="1" si="72"/>
        <v>54</v>
      </c>
      <c r="E1207" t="s">
        <v>23</v>
      </c>
      <c r="F1207" t="s">
        <v>158</v>
      </c>
      <c r="G1207" t="s">
        <v>159</v>
      </c>
      <c r="H1207" t="str">
        <f t="shared" si="73"/>
        <v>Brasília - DF</v>
      </c>
      <c r="I1207" s="1" t="s">
        <v>117</v>
      </c>
      <c r="J1207" s="3">
        <v>79</v>
      </c>
      <c r="K1207" s="4">
        <f t="shared" si="74"/>
        <v>24.933720489837143</v>
      </c>
      <c r="L1207" s="1" t="str">
        <f t="shared" si="75"/>
        <v>Peso ideal - parabéns</v>
      </c>
      <c r="M1207" t="s">
        <v>76</v>
      </c>
    </row>
    <row r="1208" spans="1:13" x14ac:dyDescent="0.25">
      <c r="A1208">
        <v>1207</v>
      </c>
      <c r="B1208" t="s">
        <v>3077</v>
      </c>
      <c r="C1208" s="2" t="s">
        <v>3078</v>
      </c>
      <c r="D1208" s="2">
        <f t="shared" ca="1" si="72"/>
        <v>21</v>
      </c>
      <c r="E1208" t="s">
        <v>23</v>
      </c>
      <c r="F1208" t="s">
        <v>24</v>
      </c>
      <c r="G1208" t="s">
        <v>25</v>
      </c>
      <c r="H1208" t="str">
        <f t="shared" si="73"/>
        <v>Natal - RN</v>
      </c>
      <c r="I1208" s="1" t="s">
        <v>42</v>
      </c>
      <c r="J1208" s="3">
        <v>46</v>
      </c>
      <c r="K1208" s="4">
        <f t="shared" si="74"/>
        <v>14.356605599076184</v>
      </c>
      <c r="L1208" s="1" t="str">
        <f t="shared" si="75"/>
        <v>Muito abaixo do peso</v>
      </c>
      <c r="M1208" t="s">
        <v>83</v>
      </c>
    </row>
    <row r="1209" spans="1:13" x14ac:dyDescent="0.25">
      <c r="A1209">
        <v>1208</v>
      </c>
      <c r="B1209" t="s">
        <v>1653</v>
      </c>
      <c r="C1209" s="2" t="s">
        <v>1654</v>
      </c>
      <c r="D1209" s="2">
        <f t="shared" ca="1" si="72"/>
        <v>52</v>
      </c>
      <c r="E1209" t="s">
        <v>23</v>
      </c>
      <c r="F1209" t="s">
        <v>69</v>
      </c>
      <c r="G1209" t="s">
        <v>70</v>
      </c>
      <c r="H1209" t="str">
        <f t="shared" si="73"/>
        <v>Aracaju - SE</v>
      </c>
      <c r="I1209" s="1" t="s">
        <v>213</v>
      </c>
      <c r="J1209" s="3">
        <v>51</v>
      </c>
      <c r="K1209" s="4">
        <f t="shared" si="74"/>
        <v>22.07409972299169</v>
      </c>
      <c r="L1209" s="1" t="str">
        <f t="shared" si="75"/>
        <v>Peso ideal - parabéns</v>
      </c>
      <c r="M1209" t="s">
        <v>83</v>
      </c>
    </row>
    <row r="1210" spans="1:13" x14ac:dyDescent="0.25">
      <c r="A1210">
        <v>1209</v>
      </c>
      <c r="B1210" t="s">
        <v>1829</v>
      </c>
      <c r="C1210" s="2" t="s">
        <v>1830</v>
      </c>
      <c r="D1210" s="2">
        <f t="shared" ca="1" si="72"/>
        <v>27</v>
      </c>
      <c r="E1210" t="s">
        <v>23</v>
      </c>
      <c r="F1210" t="s">
        <v>158</v>
      </c>
      <c r="G1210" t="s">
        <v>159</v>
      </c>
      <c r="H1210" t="str">
        <f t="shared" si="73"/>
        <v>Brasília - DF</v>
      </c>
      <c r="I1210" s="1" t="s">
        <v>484</v>
      </c>
      <c r="J1210" s="3">
        <v>53</v>
      </c>
      <c r="K1210" s="4">
        <f t="shared" si="74"/>
        <v>22.060353798126947</v>
      </c>
      <c r="L1210" s="1" t="str">
        <f t="shared" si="75"/>
        <v>Peso ideal - parabéns</v>
      </c>
      <c r="M1210" t="s">
        <v>14</v>
      </c>
    </row>
    <row r="1211" spans="1:13" x14ac:dyDescent="0.25">
      <c r="A1211">
        <v>1210</v>
      </c>
      <c r="B1211" t="s">
        <v>1499</v>
      </c>
      <c r="C1211" s="2" t="s">
        <v>1500</v>
      </c>
      <c r="D1211" s="2">
        <f t="shared" ca="1" si="72"/>
        <v>74</v>
      </c>
      <c r="E1211" t="s">
        <v>23</v>
      </c>
      <c r="F1211" t="s">
        <v>169</v>
      </c>
      <c r="G1211" t="s">
        <v>170</v>
      </c>
      <c r="H1211" t="str">
        <f t="shared" si="73"/>
        <v>Maceió - AL</v>
      </c>
      <c r="I1211" s="1" t="s">
        <v>205</v>
      </c>
      <c r="J1211" s="3">
        <v>50</v>
      </c>
      <c r="K1211" s="4">
        <f t="shared" si="74"/>
        <v>21.35930624973301</v>
      </c>
      <c r="L1211" s="1" t="str">
        <f t="shared" si="75"/>
        <v>Peso ideal - parabéns</v>
      </c>
      <c r="M1211" t="s">
        <v>26</v>
      </c>
    </row>
    <row r="1212" spans="1:13" x14ac:dyDescent="0.25">
      <c r="A1212">
        <v>1211</v>
      </c>
      <c r="B1212" t="s">
        <v>1272</v>
      </c>
      <c r="C1212" s="2" t="s">
        <v>1273</v>
      </c>
      <c r="D1212" s="2">
        <f t="shared" ca="1" si="72"/>
        <v>52</v>
      </c>
      <c r="E1212" t="s">
        <v>23</v>
      </c>
      <c r="F1212" t="s">
        <v>1274</v>
      </c>
      <c r="G1212" t="s">
        <v>51</v>
      </c>
      <c r="H1212" t="str">
        <f t="shared" si="73"/>
        <v>Belford Roxo - RJ</v>
      </c>
      <c r="I1212" s="1" t="s">
        <v>155</v>
      </c>
      <c r="J1212" s="3">
        <v>47</v>
      </c>
      <c r="K1212" s="4">
        <f t="shared" si="74"/>
        <v>14.189107595701001</v>
      </c>
      <c r="L1212" s="1" t="str">
        <f t="shared" si="75"/>
        <v>Muito abaixo do peso</v>
      </c>
      <c r="M1212" t="s">
        <v>83</v>
      </c>
    </row>
    <row r="1213" spans="1:13" x14ac:dyDescent="0.25">
      <c r="A1213">
        <v>1212</v>
      </c>
      <c r="B1213" t="s">
        <v>450</v>
      </c>
      <c r="C1213" s="2" t="s">
        <v>451</v>
      </c>
      <c r="D1213" s="2">
        <f t="shared" ca="1" si="72"/>
        <v>76</v>
      </c>
      <c r="E1213" t="s">
        <v>23</v>
      </c>
      <c r="F1213" t="s">
        <v>153</v>
      </c>
      <c r="G1213" t="s">
        <v>154</v>
      </c>
      <c r="H1213" t="str">
        <f t="shared" si="73"/>
        <v>Manaus - AM</v>
      </c>
      <c r="I1213" s="1" t="s">
        <v>113</v>
      </c>
      <c r="J1213" s="3">
        <v>78</v>
      </c>
      <c r="K1213" s="4">
        <f t="shared" si="74"/>
        <v>29.357521924046825</v>
      </c>
      <c r="L1213" s="1" t="str">
        <f t="shared" si="75"/>
        <v>Levemente acima do peso</v>
      </c>
      <c r="M1213" t="s">
        <v>14</v>
      </c>
    </row>
    <row r="1214" spans="1:13" x14ac:dyDescent="0.25">
      <c r="A1214">
        <v>1213</v>
      </c>
      <c r="B1214" t="s">
        <v>945</v>
      </c>
      <c r="C1214" s="2" t="s">
        <v>946</v>
      </c>
      <c r="D1214" s="2">
        <f t="shared" ca="1" si="72"/>
        <v>73</v>
      </c>
      <c r="E1214" t="s">
        <v>23</v>
      </c>
      <c r="F1214" t="s">
        <v>89</v>
      </c>
      <c r="G1214" t="s">
        <v>12</v>
      </c>
      <c r="H1214" t="str">
        <f t="shared" si="73"/>
        <v>Fortaleza - CE</v>
      </c>
      <c r="I1214" s="1" t="s">
        <v>205</v>
      </c>
      <c r="J1214" s="3">
        <v>86</v>
      </c>
      <c r="K1214" s="4">
        <f t="shared" si="74"/>
        <v>36.738006749540773</v>
      </c>
      <c r="L1214" s="1" t="str">
        <f t="shared" si="75"/>
        <v>Obesidade grau II - severa</v>
      </c>
      <c r="M1214" t="s">
        <v>76</v>
      </c>
    </row>
    <row r="1215" spans="1:13" x14ac:dyDescent="0.25">
      <c r="A1215">
        <v>1214</v>
      </c>
      <c r="B1215" t="s">
        <v>808</v>
      </c>
      <c r="C1215" s="2" t="s">
        <v>809</v>
      </c>
      <c r="D1215" s="2">
        <f t="shared" ca="1" si="72"/>
        <v>25</v>
      </c>
      <c r="E1215" t="s">
        <v>23</v>
      </c>
      <c r="F1215" t="s">
        <v>236</v>
      </c>
      <c r="G1215" t="s">
        <v>237</v>
      </c>
      <c r="H1215" t="str">
        <f t="shared" si="73"/>
        <v>Teresina - PI</v>
      </c>
      <c r="I1215" s="1" t="s">
        <v>213</v>
      </c>
      <c r="J1215" s="3">
        <v>52</v>
      </c>
      <c r="K1215" s="4">
        <f t="shared" si="74"/>
        <v>22.506925207756233</v>
      </c>
      <c r="L1215" s="1" t="str">
        <f t="shared" si="75"/>
        <v>Peso ideal - parabéns</v>
      </c>
      <c r="M1215" t="s">
        <v>83</v>
      </c>
    </row>
    <row r="1216" spans="1:13" x14ac:dyDescent="0.25">
      <c r="A1216">
        <v>1215</v>
      </c>
      <c r="B1216" t="s">
        <v>3389</v>
      </c>
      <c r="C1216" s="2" t="s">
        <v>3172</v>
      </c>
      <c r="D1216" s="2">
        <f t="shared" ca="1" si="72"/>
        <v>26</v>
      </c>
      <c r="E1216" t="s">
        <v>23</v>
      </c>
      <c r="F1216" t="s">
        <v>3390</v>
      </c>
      <c r="G1216" t="s">
        <v>103</v>
      </c>
      <c r="H1216" t="str">
        <f t="shared" si="73"/>
        <v>Mogi Mirim - SP</v>
      </c>
      <c r="I1216" s="1" t="s">
        <v>123</v>
      </c>
      <c r="J1216" s="3">
        <v>88</v>
      </c>
      <c r="K1216" s="4">
        <f t="shared" si="74"/>
        <v>28.40909090909091</v>
      </c>
      <c r="L1216" s="1" t="str">
        <f t="shared" si="75"/>
        <v>Levemente acima do peso</v>
      </c>
      <c r="M1216" t="s">
        <v>47</v>
      </c>
    </row>
    <row r="1217" spans="1:13" x14ac:dyDescent="0.25">
      <c r="A1217">
        <v>1216</v>
      </c>
      <c r="B1217" t="s">
        <v>3868</v>
      </c>
      <c r="C1217" s="2" t="s">
        <v>3869</v>
      </c>
      <c r="D1217" s="2">
        <f t="shared" ca="1" si="72"/>
        <v>31</v>
      </c>
      <c r="E1217" t="s">
        <v>23</v>
      </c>
      <c r="F1217" t="s">
        <v>241</v>
      </c>
      <c r="G1217" t="s">
        <v>190</v>
      </c>
      <c r="H1217" t="str">
        <f t="shared" si="73"/>
        <v>Várzea Grande - MT</v>
      </c>
      <c r="I1217" s="1" t="s">
        <v>286</v>
      </c>
      <c r="J1217" s="3">
        <v>72</v>
      </c>
      <c r="K1217" s="4">
        <f t="shared" si="74"/>
        <v>26.446280991735541</v>
      </c>
      <c r="L1217" s="1" t="str">
        <f t="shared" si="75"/>
        <v>Levemente acima do peso</v>
      </c>
      <c r="M1217" t="s">
        <v>20</v>
      </c>
    </row>
    <row r="1218" spans="1:13" x14ac:dyDescent="0.25">
      <c r="A1218">
        <v>1217</v>
      </c>
      <c r="B1218" t="s">
        <v>1598</v>
      </c>
      <c r="C1218" s="2" t="s">
        <v>1599</v>
      </c>
      <c r="D1218" s="2">
        <f t="shared" ca="1" si="72"/>
        <v>68</v>
      </c>
      <c r="E1218" t="s">
        <v>23</v>
      </c>
      <c r="F1218" t="s">
        <v>64</v>
      </c>
      <c r="G1218" t="s">
        <v>65</v>
      </c>
      <c r="H1218" t="str">
        <f t="shared" si="73"/>
        <v>Salvador - BA</v>
      </c>
      <c r="I1218" s="1" t="s">
        <v>484</v>
      </c>
      <c r="J1218" s="3">
        <v>46</v>
      </c>
      <c r="K1218" s="4">
        <f t="shared" si="74"/>
        <v>19.146722164412068</v>
      </c>
      <c r="L1218" s="1" t="str">
        <f t="shared" si="75"/>
        <v>Peso ideal - parabéns</v>
      </c>
      <c r="M1218" t="s">
        <v>14</v>
      </c>
    </row>
    <row r="1219" spans="1:13" x14ac:dyDescent="0.25">
      <c r="A1219">
        <v>1218</v>
      </c>
      <c r="B1219" t="s">
        <v>2577</v>
      </c>
      <c r="C1219" s="2" t="s">
        <v>2578</v>
      </c>
      <c r="D1219" s="2">
        <f t="shared" ref="D1219:D1282" ca="1" si="76">YEAR(TODAY())-YEAR(C1219)</f>
        <v>79</v>
      </c>
      <c r="E1219" t="s">
        <v>23</v>
      </c>
      <c r="F1219" t="s">
        <v>126</v>
      </c>
      <c r="G1219" t="s">
        <v>127</v>
      </c>
      <c r="H1219" t="str">
        <f t="shared" ref="H1219:H1282" si="77">CONCATENATE(F1219," - ",G1219)</f>
        <v>Boa Vista - RR</v>
      </c>
      <c r="I1219" s="1" t="s">
        <v>13</v>
      </c>
      <c r="J1219" s="3">
        <v>90</v>
      </c>
      <c r="K1219" s="4">
        <f t="shared" ref="K1219:K1282" si="78">J1219/(I1219*I1219)</f>
        <v>30.778701138811947</v>
      </c>
      <c r="L1219" s="1" t="str">
        <f t="shared" ref="L1219:L1282" si="79">IF(K1219&gt;=40,"Obesidade grau III - mórbida",
IF(K1219&gt;=35,"Obesidade grau II - severa",
IF(K1219&gt;=30,"Obesidade grau I",
IF(K1219&gt;=25,"Levemente acima do peso",
IF(K1219&gt;=18.6,"Peso ideal - parabéns",
IF(K1219&gt;=17,"Abaixo do peso",
"Muito abaixo do peso"))))))</f>
        <v>Obesidade grau I</v>
      </c>
      <c r="M1219" t="s">
        <v>20</v>
      </c>
    </row>
    <row r="1220" spans="1:13" x14ac:dyDescent="0.25">
      <c r="A1220">
        <v>1219</v>
      </c>
      <c r="B1220" t="s">
        <v>278</v>
      </c>
      <c r="C1220" s="2" t="s">
        <v>279</v>
      </c>
      <c r="D1220" s="2">
        <f t="shared" ca="1" si="76"/>
        <v>34</v>
      </c>
      <c r="E1220" t="s">
        <v>23</v>
      </c>
      <c r="F1220" t="s">
        <v>280</v>
      </c>
      <c r="G1220" t="s">
        <v>175</v>
      </c>
      <c r="H1220" t="str">
        <f t="shared" si="77"/>
        <v>Recife - PE</v>
      </c>
      <c r="I1220" s="1" t="s">
        <v>281</v>
      </c>
      <c r="J1220" s="3">
        <v>77</v>
      </c>
      <c r="K1220" s="4">
        <f t="shared" si="78"/>
        <v>29.340039628105465</v>
      </c>
      <c r="L1220" s="1" t="str">
        <f t="shared" si="79"/>
        <v>Levemente acima do peso</v>
      </c>
      <c r="M1220" t="s">
        <v>32</v>
      </c>
    </row>
    <row r="1221" spans="1:13" x14ac:dyDescent="0.25">
      <c r="A1221">
        <v>1220</v>
      </c>
      <c r="B1221" t="s">
        <v>3936</v>
      </c>
      <c r="C1221" s="2" t="s">
        <v>3217</v>
      </c>
      <c r="D1221" s="2">
        <f t="shared" ca="1" si="76"/>
        <v>46</v>
      </c>
      <c r="E1221" t="s">
        <v>23</v>
      </c>
      <c r="F1221" t="s">
        <v>3937</v>
      </c>
      <c r="G1221" t="s">
        <v>154</v>
      </c>
      <c r="H1221" t="str">
        <f t="shared" si="77"/>
        <v>Parintins - AM</v>
      </c>
      <c r="I1221" s="1" t="s">
        <v>13</v>
      </c>
      <c r="J1221" s="3">
        <v>64</v>
      </c>
      <c r="K1221" s="4">
        <f t="shared" si="78"/>
        <v>21.887076365377382</v>
      </c>
      <c r="L1221" s="1" t="str">
        <f t="shared" si="79"/>
        <v>Peso ideal - parabéns</v>
      </c>
      <c r="M1221" t="s">
        <v>83</v>
      </c>
    </row>
    <row r="1222" spans="1:13" x14ac:dyDescent="0.25">
      <c r="A1222">
        <v>1221</v>
      </c>
      <c r="B1222" t="s">
        <v>2511</v>
      </c>
      <c r="C1222" s="2" t="s">
        <v>927</v>
      </c>
      <c r="D1222" s="2">
        <f t="shared" ca="1" si="76"/>
        <v>50</v>
      </c>
      <c r="E1222" t="s">
        <v>23</v>
      </c>
      <c r="F1222" t="s">
        <v>147</v>
      </c>
      <c r="G1222" t="s">
        <v>55</v>
      </c>
      <c r="H1222" t="str">
        <f t="shared" si="77"/>
        <v>Londrina - PR</v>
      </c>
      <c r="I1222" s="1" t="s">
        <v>247</v>
      </c>
      <c r="J1222" s="3">
        <v>71</v>
      </c>
      <c r="K1222" s="4">
        <f t="shared" si="78"/>
        <v>31.555555555555557</v>
      </c>
      <c r="L1222" s="1" t="str">
        <f t="shared" si="79"/>
        <v>Obesidade grau I</v>
      </c>
      <c r="M1222" t="s">
        <v>32</v>
      </c>
    </row>
    <row r="1223" spans="1:13" x14ac:dyDescent="0.25">
      <c r="A1223">
        <v>1222</v>
      </c>
      <c r="B1223" t="s">
        <v>959</v>
      </c>
      <c r="C1223" s="2" t="s">
        <v>960</v>
      </c>
      <c r="D1223" s="2">
        <f t="shared" ca="1" si="76"/>
        <v>20</v>
      </c>
      <c r="E1223" t="s">
        <v>23</v>
      </c>
      <c r="F1223" t="s">
        <v>126</v>
      </c>
      <c r="G1223" t="s">
        <v>127</v>
      </c>
      <c r="H1223" t="str">
        <f t="shared" si="77"/>
        <v>Boa Vista - RR</v>
      </c>
      <c r="I1223" s="1" t="s">
        <v>13</v>
      </c>
      <c r="J1223" s="3">
        <v>73</v>
      </c>
      <c r="K1223" s="4">
        <f t="shared" si="78"/>
        <v>24.964946479258579</v>
      </c>
      <c r="L1223" s="1" t="str">
        <f t="shared" si="79"/>
        <v>Peso ideal - parabéns</v>
      </c>
      <c r="M1223" t="s">
        <v>95</v>
      </c>
    </row>
    <row r="1224" spans="1:13" x14ac:dyDescent="0.25">
      <c r="A1224">
        <v>1223</v>
      </c>
      <c r="B1224" t="s">
        <v>2558</v>
      </c>
      <c r="C1224" s="2" t="s">
        <v>2559</v>
      </c>
      <c r="D1224" s="2">
        <f t="shared" ca="1" si="76"/>
        <v>43</v>
      </c>
      <c r="E1224" t="s">
        <v>23</v>
      </c>
      <c r="F1224" t="s">
        <v>2560</v>
      </c>
      <c r="G1224" t="s">
        <v>18</v>
      </c>
      <c r="H1224" t="str">
        <f t="shared" si="77"/>
        <v>Três Lagoas - MS</v>
      </c>
      <c r="I1224" s="1" t="s">
        <v>247</v>
      </c>
      <c r="J1224" s="3">
        <v>89</v>
      </c>
      <c r="K1224" s="4">
        <f t="shared" si="78"/>
        <v>39.555555555555557</v>
      </c>
      <c r="L1224" s="1" t="str">
        <f t="shared" si="79"/>
        <v>Obesidade grau II - severa</v>
      </c>
      <c r="M1224" t="s">
        <v>32</v>
      </c>
    </row>
    <row r="1225" spans="1:13" x14ac:dyDescent="0.25">
      <c r="A1225">
        <v>1224</v>
      </c>
      <c r="B1225" t="s">
        <v>3220</v>
      </c>
      <c r="C1225" s="2" t="s">
        <v>3221</v>
      </c>
      <c r="D1225" s="2">
        <f t="shared" ca="1" si="76"/>
        <v>56</v>
      </c>
      <c r="E1225" t="s">
        <v>23</v>
      </c>
      <c r="F1225" t="s">
        <v>1621</v>
      </c>
      <c r="G1225" t="s">
        <v>273</v>
      </c>
      <c r="H1225" t="str">
        <f t="shared" si="77"/>
        <v>Guarapari - ES</v>
      </c>
      <c r="I1225" s="1" t="s">
        <v>19</v>
      </c>
      <c r="J1225" s="3">
        <v>62</v>
      </c>
      <c r="K1225" s="4">
        <f t="shared" si="78"/>
        <v>19.789970953429727</v>
      </c>
      <c r="L1225" s="1" t="str">
        <f t="shared" si="79"/>
        <v>Peso ideal - parabéns</v>
      </c>
      <c r="M1225" t="s">
        <v>76</v>
      </c>
    </row>
    <row r="1226" spans="1:13" x14ac:dyDescent="0.25">
      <c r="A1226">
        <v>1225</v>
      </c>
      <c r="B1226" t="s">
        <v>3757</v>
      </c>
      <c r="C1226" s="2" t="s">
        <v>3758</v>
      </c>
      <c r="D1226" s="2">
        <f t="shared" ca="1" si="76"/>
        <v>48</v>
      </c>
      <c r="E1226" t="s">
        <v>23</v>
      </c>
      <c r="F1226" t="s">
        <v>380</v>
      </c>
      <c r="G1226" t="s">
        <v>112</v>
      </c>
      <c r="H1226" t="str">
        <f t="shared" si="77"/>
        <v>Ananindeua - PA</v>
      </c>
      <c r="I1226" s="1" t="s">
        <v>194</v>
      </c>
      <c r="J1226" s="3">
        <v>82</v>
      </c>
      <c r="K1226" s="4">
        <f t="shared" si="78"/>
        <v>23.959094229364496</v>
      </c>
      <c r="L1226" s="1" t="str">
        <f t="shared" si="79"/>
        <v>Peso ideal - parabéns</v>
      </c>
      <c r="M1226" t="s">
        <v>14</v>
      </c>
    </row>
    <row r="1227" spans="1:13" x14ac:dyDescent="0.25">
      <c r="A1227">
        <v>1226</v>
      </c>
      <c r="B1227" t="s">
        <v>2931</v>
      </c>
      <c r="C1227" s="2" t="s">
        <v>2284</v>
      </c>
      <c r="D1227" s="2">
        <f t="shared" ca="1" si="76"/>
        <v>25</v>
      </c>
      <c r="E1227" t="s">
        <v>23</v>
      </c>
      <c r="F1227" t="s">
        <v>126</v>
      </c>
      <c r="G1227" t="s">
        <v>127</v>
      </c>
      <c r="H1227" t="str">
        <f t="shared" si="77"/>
        <v>Boa Vista - RR</v>
      </c>
      <c r="I1227" s="1" t="s">
        <v>205</v>
      </c>
      <c r="J1227" s="3">
        <v>68</v>
      </c>
      <c r="K1227" s="4">
        <f t="shared" si="78"/>
        <v>29.048656499636891</v>
      </c>
      <c r="L1227" s="1" t="str">
        <f t="shared" si="79"/>
        <v>Levemente acima do peso</v>
      </c>
      <c r="M1227" t="s">
        <v>26</v>
      </c>
    </row>
    <row r="1228" spans="1:13" x14ac:dyDescent="0.25">
      <c r="A1228">
        <v>1227</v>
      </c>
      <c r="B1228" t="s">
        <v>167</v>
      </c>
      <c r="C1228" s="2" t="s">
        <v>168</v>
      </c>
      <c r="D1228" s="2">
        <f t="shared" ca="1" si="76"/>
        <v>72</v>
      </c>
      <c r="E1228" t="s">
        <v>23</v>
      </c>
      <c r="F1228" t="s">
        <v>169</v>
      </c>
      <c r="G1228" t="s">
        <v>170</v>
      </c>
      <c r="H1228" t="str">
        <f t="shared" si="77"/>
        <v>Maceió - AL</v>
      </c>
      <c r="I1228" s="1" t="s">
        <v>171</v>
      </c>
      <c r="J1228" s="3">
        <v>68</v>
      </c>
      <c r="K1228" s="4">
        <f t="shared" si="78"/>
        <v>24.382372978593711</v>
      </c>
      <c r="L1228" s="1" t="str">
        <f t="shared" si="79"/>
        <v>Peso ideal - parabéns</v>
      </c>
      <c r="M1228" t="s">
        <v>76</v>
      </c>
    </row>
    <row r="1229" spans="1:13" x14ac:dyDescent="0.25">
      <c r="A1229">
        <v>1228</v>
      </c>
      <c r="B1229" t="s">
        <v>2593</v>
      </c>
      <c r="C1229" s="2" t="s">
        <v>2594</v>
      </c>
      <c r="D1229" s="2">
        <f t="shared" ca="1" si="76"/>
        <v>66</v>
      </c>
      <c r="E1229" t="s">
        <v>23</v>
      </c>
      <c r="F1229" t="s">
        <v>915</v>
      </c>
      <c r="G1229" t="s">
        <v>175</v>
      </c>
      <c r="H1229" t="str">
        <f t="shared" si="77"/>
        <v>Olinda - PE</v>
      </c>
      <c r="I1229" s="1" t="s">
        <v>166</v>
      </c>
      <c r="J1229" s="3">
        <v>78</v>
      </c>
      <c r="K1229" s="4">
        <f t="shared" si="78"/>
        <v>27.636054421768712</v>
      </c>
      <c r="L1229" s="1" t="str">
        <f t="shared" si="79"/>
        <v>Levemente acima do peso</v>
      </c>
      <c r="M1229" t="s">
        <v>95</v>
      </c>
    </row>
    <row r="1230" spans="1:13" x14ac:dyDescent="0.25">
      <c r="A1230">
        <v>1229</v>
      </c>
      <c r="B1230" t="s">
        <v>1940</v>
      </c>
      <c r="C1230" s="2" t="s">
        <v>1941</v>
      </c>
      <c r="D1230" s="2">
        <f t="shared" ca="1" si="76"/>
        <v>25</v>
      </c>
      <c r="E1230" t="s">
        <v>23</v>
      </c>
      <c r="F1230" t="s">
        <v>208</v>
      </c>
      <c r="G1230" t="s">
        <v>30</v>
      </c>
      <c r="H1230" t="str">
        <f t="shared" si="77"/>
        <v>Ji-Paraná - RO</v>
      </c>
      <c r="I1230" s="1" t="s">
        <v>281</v>
      </c>
      <c r="J1230" s="3">
        <v>61</v>
      </c>
      <c r="K1230" s="4">
        <f t="shared" si="78"/>
        <v>23.243408017070564</v>
      </c>
      <c r="L1230" s="1" t="str">
        <f t="shared" si="79"/>
        <v>Peso ideal - parabéns</v>
      </c>
      <c r="M1230" t="s">
        <v>26</v>
      </c>
    </row>
    <row r="1231" spans="1:13" x14ac:dyDescent="0.25">
      <c r="A1231">
        <v>1230</v>
      </c>
      <c r="B1231" t="s">
        <v>2493</v>
      </c>
      <c r="C1231" s="2" t="s">
        <v>2494</v>
      </c>
      <c r="D1231" s="2">
        <f t="shared" ca="1" si="76"/>
        <v>33</v>
      </c>
      <c r="E1231" t="s">
        <v>23</v>
      </c>
      <c r="F1231" t="s">
        <v>74</v>
      </c>
      <c r="G1231" t="s">
        <v>75</v>
      </c>
      <c r="H1231" t="str">
        <f t="shared" si="77"/>
        <v>Macapá - AP</v>
      </c>
      <c r="I1231" s="1" t="s">
        <v>13</v>
      </c>
      <c r="J1231" s="3">
        <v>65</v>
      </c>
      <c r="K1231" s="4">
        <f t="shared" si="78"/>
        <v>22.229061933586404</v>
      </c>
      <c r="L1231" s="1" t="str">
        <f t="shared" si="79"/>
        <v>Peso ideal - parabéns</v>
      </c>
      <c r="M1231" t="s">
        <v>14</v>
      </c>
    </row>
    <row r="1232" spans="1:13" x14ac:dyDescent="0.25">
      <c r="A1232">
        <v>1231</v>
      </c>
      <c r="B1232" t="s">
        <v>4179</v>
      </c>
      <c r="C1232" s="2" t="s">
        <v>3990</v>
      </c>
      <c r="D1232" s="2">
        <f t="shared" ca="1" si="76"/>
        <v>50</v>
      </c>
      <c r="E1232" t="s">
        <v>23</v>
      </c>
      <c r="F1232" t="s">
        <v>153</v>
      </c>
      <c r="G1232" t="s">
        <v>154</v>
      </c>
      <c r="H1232" t="str">
        <f t="shared" si="77"/>
        <v>Manaus - AM</v>
      </c>
      <c r="I1232" s="1" t="s">
        <v>286</v>
      </c>
      <c r="J1232" s="3">
        <v>72</v>
      </c>
      <c r="K1232" s="4">
        <f t="shared" si="78"/>
        <v>26.446280991735541</v>
      </c>
      <c r="L1232" s="1" t="str">
        <f t="shared" si="79"/>
        <v>Levemente acima do peso</v>
      </c>
      <c r="M1232" t="s">
        <v>20</v>
      </c>
    </row>
    <row r="1233" spans="1:13" x14ac:dyDescent="0.25">
      <c r="A1233">
        <v>1232</v>
      </c>
      <c r="B1233" t="s">
        <v>3270</v>
      </c>
      <c r="C1233" s="2" t="s">
        <v>3271</v>
      </c>
      <c r="D1233" s="2">
        <f t="shared" ca="1" si="76"/>
        <v>71</v>
      </c>
      <c r="E1233" t="s">
        <v>23</v>
      </c>
      <c r="F1233" t="s">
        <v>69</v>
      </c>
      <c r="G1233" t="s">
        <v>70</v>
      </c>
      <c r="H1233" t="str">
        <f t="shared" si="77"/>
        <v>Aracaju - SE</v>
      </c>
      <c r="I1233" s="1" t="s">
        <v>42</v>
      </c>
      <c r="J1233" s="3">
        <v>82</v>
      </c>
      <c r="K1233" s="4">
        <f t="shared" si="78"/>
        <v>25.592209980961893</v>
      </c>
      <c r="L1233" s="1" t="str">
        <f t="shared" si="79"/>
        <v>Levemente acima do peso</v>
      </c>
      <c r="M1233" t="s">
        <v>32</v>
      </c>
    </row>
    <row r="1234" spans="1:13" x14ac:dyDescent="0.25">
      <c r="A1234">
        <v>1233</v>
      </c>
      <c r="B1234" t="s">
        <v>2599</v>
      </c>
      <c r="C1234" s="2" t="s">
        <v>2600</v>
      </c>
      <c r="D1234" s="2">
        <f t="shared" ca="1" si="76"/>
        <v>53</v>
      </c>
      <c r="E1234" t="s">
        <v>23</v>
      </c>
      <c r="F1234" t="s">
        <v>321</v>
      </c>
      <c r="G1234" t="s">
        <v>273</v>
      </c>
      <c r="H1234" t="str">
        <f t="shared" si="77"/>
        <v>Cariacica - ES</v>
      </c>
      <c r="I1234" s="1" t="s">
        <v>582</v>
      </c>
      <c r="J1234" s="3">
        <v>54</v>
      </c>
      <c r="K1234" s="4">
        <f t="shared" si="78"/>
        <v>22.189349112426033</v>
      </c>
      <c r="L1234" s="1" t="str">
        <f t="shared" si="79"/>
        <v>Peso ideal - parabéns</v>
      </c>
      <c r="M1234" t="s">
        <v>83</v>
      </c>
    </row>
    <row r="1235" spans="1:13" x14ac:dyDescent="0.25">
      <c r="A1235">
        <v>1234</v>
      </c>
      <c r="B1235" t="s">
        <v>3008</v>
      </c>
      <c r="C1235" s="2" t="s">
        <v>2823</v>
      </c>
      <c r="D1235" s="2">
        <f t="shared" ca="1" si="76"/>
        <v>45</v>
      </c>
      <c r="E1235" t="s">
        <v>10</v>
      </c>
      <c r="F1235" t="s">
        <v>236</v>
      </c>
      <c r="G1235" t="s">
        <v>237</v>
      </c>
      <c r="H1235" t="str">
        <f t="shared" si="77"/>
        <v>Teresina - PI</v>
      </c>
      <c r="I1235" s="1" t="s">
        <v>201</v>
      </c>
      <c r="J1235" s="3">
        <v>70</v>
      </c>
      <c r="K1235" s="4">
        <f t="shared" si="78"/>
        <v>18.221574344023324</v>
      </c>
      <c r="L1235" s="1" t="str">
        <f t="shared" si="79"/>
        <v>Abaixo do peso</v>
      </c>
      <c r="M1235" t="s">
        <v>83</v>
      </c>
    </row>
    <row r="1236" spans="1:13" x14ac:dyDescent="0.25">
      <c r="A1236">
        <v>1235</v>
      </c>
      <c r="B1236" t="s">
        <v>602</v>
      </c>
      <c r="C1236" s="2" t="s">
        <v>603</v>
      </c>
      <c r="D1236" s="2">
        <f t="shared" ca="1" si="76"/>
        <v>70</v>
      </c>
      <c r="E1236" t="s">
        <v>10</v>
      </c>
      <c r="F1236" t="s">
        <v>604</v>
      </c>
      <c r="G1236" t="s">
        <v>103</v>
      </c>
      <c r="H1236" t="str">
        <f t="shared" si="77"/>
        <v>Birigüi - SP</v>
      </c>
      <c r="I1236" s="1" t="s">
        <v>99</v>
      </c>
      <c r="J1236" s="3">
        <v>85</v>
      </c>
      <c r="K1236" s="4">
        <f t="shared" si="78"/>
        <v>22.584759273036454</v>
      </c>
      <c r="L1236" s="1" t="str">
        <f t="shared" si="79"/>
        <v>Peso ideal - parabéns</v>
      </c>
      <c r="M1236" t="s">
        <v>20</v>
      </c>
    </row>
    <row r="1237" spans="1:13" x14ac:dyDescent="0.25">
      <c r="A1237">
        <v>1236</v>
      </c>
      <c r="B1237" t="s">
        <v>1904</v>
      </c>
      <c r="C1237" s="2" t="s">
        <v>1905</v>
      </c>
      <c r="D1237" s="2">
        <f t="shared" ca="1" si="76"/>
        <v>23</v>
      </c>
      <c r="E1237" t="s">
        <v>10</v>
      </c>
      <c r="F1237" t="s">
        <v>126</v>
      </c>
      <c r="G1237" t="s">
        <v>127</v>
      </c>
      <c r="H1237" t="str">
        <f t="shared" si="77"/>
        <v>Boa Vista - RR</v>
      </c>
      <c r="I1237" s="1" t="s">
        <v>160</v>
      </c>
      <c r="J1237" s="3">
        <v>100</v>
      </c>
      <c r="K1237" s="4">
        <f t="shared" si="78"/>
        <v>29.536862003780715</v>
      </c>
      <c r="L1237" s="1" t="str">
        <f t="shared" si="79"/>
        <v>Levemente acima do peso</v>
      </c>
      <c r="M1237" t="s">
        <v>20</v>
      </c>
    </row>
    <row r="1238" spans="1:13" x14ac:dyDescent="0.25">
      <c r="A1238">
        <v>1237</v>
      </c>
      <c r="B1238" t="s">
        <v>1426</v>
      </c>
      <c r="C1238" s="2" t="s">
        <v>1427</v>
      </c>
      <c r="D1238" s="2">
        <f t="shared" ca="1" si="76"/>
        <v>53</v>
      </c>
      <c r="E1238" t="s">
        <v>10</v>
      </c>
      <c r="F1238" t="s">
        <v>1428</v>
      </c>
      <c r="G1238" t="s">
        <v>55</v>
      </c>
      <c r="H1238" t="str">
        <f t="shared" si="77"/>
        <v>São José dos Pinhais - PR</v>
      </c>
      <c r="I1238" s="1" t="s">
        <v>90</v>
      </c>
      <c r="J1238" s="3">
        <v>51</v>
      </c>
      <c r="K1238" s="4">
        <f t="shared" si="78"/>
        <v>17.239048134126556</v>
      </c>
      <c r="L1238" s="1" t="str">
        <f t="shared" si="79"/>
        <v>Abaixo do peso</v>
      </c>
      <c r="M1238" t="s">
        <v>47</v>
      </c>
    </row>
    <row r="1239" spans="1:13" x14ac:dyDescent="0.25">
      <c r="A1239">
        <v>1238</v>
      </c>
      <c r="B1239" t="s">
        <v>4008</v>
      </c>
      <c r="C1239" s="2" t="s">
        <v>4009</v>
      </c>
      <c r="D1239" s="2">
        <f t="shared" ca="1" si="76"/>
        <v>59</v>
      </c>
      <c r="E1239" t="s">
        <v>10</v>
      </c>
      <c r="F1239" t="s">
        <v>89</v>
      </c>
      <c r="G1239" t="s">
        <v>12</v>
      </c>
      <c r="H1239" t="str">
        <f t="shared" si="77"/>
        <v>Fortaleza - CE</v>
      </c>
      <c r="I1239" s="1" t="s">
        <v>262</v>
      </c>
      <c r="J1239" s="3">
        <v>66</v>
      </c>
      <c r="K1239" s="4">
        <f t="shared" si="78"/>
        <v>18.282548476454295</v>
      </c>
      <c r="L1239" s="1" t="str">
        <f t="shared" si="79"/>
        <v>Abaixo do peso</v>
      </c>
      <c r="M1239" t="s">
        <v>32</v>
      </c>
    </row>
    <row r="1240" spans="1:13" x14ac:dyDescent="0.25">
      <c r="A1240">
        <v>1239</v>
      </c>
      <c r="B1240" t="s">
        <v>4059</v>
      </c>
      <c r="C1240" s="2" t="s">
        <v>914</v>
      </c>
      <c r="D1240" s="2">
        <f t="shared" ca="1" si="76"/>
        <v>38</v>
      </c>
      <c r="E1240" t="s">
        <v>10</v>
      </c>
      <c r="F1240" t="s">
        <v>3173</v>
      </c>
      <c r="G1240" t="s">
        <v>310</v>
      </c>
      <c r="H1240" t="str">
        <f t="shared" si="77"/>
        <v>Santa Cruz do Sul - RS</v>
      </c>
      <c r="I1240" s="1" t="s">
        <v>99</v>
      </c>
      <c r="J1240" s="3">
        <v>67</v>
      </c>
      <c r="K1240" s="4">
        <f t="shared" si="78"/>
        <v>17.802104368158147</v>
      </c>
      <c r="L1240" s="1" t="str">
        <f t="shared" si="79"/>
        <v>Abaixo do peso</v>
      </c>
      <c r="M1240" t="s">
        <v>14</v>
      </c>
    </row>
    <row r="1241" spans="1:13" x14ac:dyDescent="0.25">
      <c r="A1241">
        <v>1240</v>
      </c>
      <c r="B1241" t="s">
        <v>2349</v>
      </c>
      <c r="C1241" s="2" t="s">
        <v>2350</v>
      </c>
      <c r="D1241" s="2">
        <f t="shared" ca="1" si="76"/>
        <v>32</v>
      </c>
      <c r="E1241" t="s">
        <v>10</v>
      </c>
      <c r="F1241" t="s">
        <v>241</v>
      </c>
      <c r="G1241" t="s">
        <v>190</v>
      </c>
      <c r="H1241" t="str">
        <f t="shared" si="77"/>
        <v>Várzea Grande - MT</v>
      </c>
      <c r="I1241" s="1" t="s">
        <v>694</v>
      </c>
      <c r="J1241" s="3">
        <v>102</v>
      </c>
      <c r="K1241" s="4">
        <f t="shared" si="78"/>
        <v>29.483177245924381</v>
      </c>
      <c r="L1241" s="1" t="str">
        <f t="shared" si="79"/>
        <v>Levemente acima do peso</v>
      </c>
      <c r="M1241" t="s">
        <v>47</v>
      </c>
    </row>
    <row r="1242" spans="1:13" x14ac:dyDescent="0.25">
      <c r="A1242">
        <v>1241</v>
      </c>
      <c r="B1242" t="s">
        <v>3166</v>
      </c>
      <c r="C1242" s="2" t="s">
        <v>2873</v>
      </c>
      <c r="D1242" s="2">
        <f t="shared" ca="1" si="76"/>
        <v>33</v>
      </c>
      <c r="E1242" t="s">
        <v>10</v>
      </c>
      <c r="F1242" t="s">
        <v>564</v>
      </c>
      <c r="G1242" t="s">
        <v>565</v>
      </c>
      <c r="H1242" t="str">
        <f t="shared" si="77"/>
        <v>Rio Branco - AC</v>
      </c>
      <c r="I1242" s="1" t="s">
        <v>191</v>
      </c>
      <c r="J1242" s="3">
        <v>54</v>
      </c>
      <c r="K1242" s="4">
        <f t="shared" si="78"/>
        <v>21.093749999999996</v>
      </c>
      <c r="L1242" s="1" t="str">
        <f t="shared" si="79"/>
        <v>Peso ideal - parabéns</v>
      </c>
      <c r="M1242" t="s">
        <v>76</v>
      </c>
    </row>
    <row r="1243" spans="1:13" x14ac:dyDescent="0.25">
      <c r="A1243">
        <v>1242</v>
      </c>
      <c r="B1243" t="s">
        <v>2135</v>
      </c>
      <c r="C1243" s="2" t="s">
        <v>2136</v>
      </c>
      <c r="D1243" s="2">
        <f t="shared" ca="1" si="76"/>
        <v>43</v>
      </c>
      <c r="E1243" t="s">
        <v>10</v>
      </c>
      <c r="F1243" t="s">
        <v>2137</v>
      </c>
      <c r="G1243" t="s">
        <v>12</v>
      </c>
      <c r="H1243" t="str">
        <f t="shared" si="77"/>
        <v>Naraniu - CE</v>
      </c>
      <c r="I1243" s="1" t="s">
        <v>155</v>
      </c>
      <c r="J1243" s="3">
        <v>66</v>
      </c>
      <c r="K1243" s="4">
        <f t="shared" si="78"/>
        <v>19.925129815239703</v>
      </c>
      <c r="L1243" s="1" t="str">
        <f t="shared" si="79"/>
        <v>Peso ideal - parabéns</v>
      </c>
      <c r="M1243" t="s">
        <v>95</v>
      </c>
    </row>
    <row r="1244" spans="1:13" x14ac:dyDescent="0.25">
      <c r="A1244">
        <v>1243</v>
      </c>
      <c r="B1244" t="s">
        <v>2104</v>
      </c>
      <c r="C1244" s="2" t="s">
        <v>2105</v>
      </c>
      <c r="D1244" s="2">
        <f t="shared" ca="1" si="76"/>
        <v>73</v>
      </c>
      <c r="E1244" t="s">
        <v>10</v>
      </c>
      <c r="F1244" t="s">
        <v>354</v>
      </c>
      <c r="G1244" t="s">
        <v>30</v>
      </c>
      <c r="H1244" t="str">
        <f t="shared" si="77"/>
        <v>Porto Velho - RO</v>
      </c>
      <c r="I1244" s="1" t="s">
        <v>123</v>
      </c>
      <c r="J1244" s="3">
        <v>65</v>
      </c>
      <c r="K1244" s="4">
        <f t="shared" si="78"/>
        <v>20.983987603305785</v>
      </c>
      <c r="L1244" s="1" t="str">
        <f t="shared" si="79"/>
        <v>Peso ideal - parabéns</v>
      </c>
      <c r="M1244" t="s">
        <v>14</v>
      </c>
    </row>
    <row r="1245" spans="1:13" x14ac:dyDescent="0.25">
      <c r="A1245">
        <v>1244</v>
      </c>
      <c r="B1245" t="s">
        <v>1742</v>
      </c>
      <c r="C1245" s="2" t="s">
        <v>1743</v>
      </c>
      <c r="D1245" s="2">
        <f t="shared" ca="1" si="76"/>
        <v>34</v>
      </c>
      <c r="E1245" t="s">
        <v>10</v>
      </c>
      <c r="F1245" t="s">
        <v>564</v>
      </c>
      <c r="G1245" t="s">
        <v>565</v>
      </c>
      <c r="H1245" t="str">
        <f t="shared" si="77"/>
        <v>Rio Branco - AC</v>
      </c>
      <c r="I1245" s="1" t="s">
        <v>37</v>
      </c>
      <c r="J1245" s="3">
        <v>79</v>
      </c>
      <c r="K1245" s="4">
        <f t="shared" si="78"/>
        <v>20.356102965806901</v>
      </c>
      <c r="L1245" s="1" t="str">
        <f t="shared" si="79"/>
        <v>Peso ideal - parabéns</v>
      </c>
      <c r="M1245" t="s">
        <v>20</v>
      </c>
    </row>
    <row r="1246" spans="1:13" x14ac:dyDescent="0.25">
      <c r="A1246">
        <v>1245</v>
      </c>
      <c r="B1246" t="s">
        <v>3926</v>
      </c>
      <c r="C1246" s="2" t="s">
        <v>3927</v>
      </c>
      <c r="D1246" s="2">
        <f t="shared" ca="1" si="76"/>
        <v>35</v>
      </c>
      <c r="E1246" t="s">
        <v>10</v>
      </c>
      <c r="F1246" t="s">
        <v>64</v>
      </c>
      <c r="G1246" t="s">
        <v>65</v>
      </c>
      <c r="H1246" t="str">
        <f t="shared" si="77"/>
        <v>Salvador - BA</v>
      </c>
      <c r="I1246" s="1" t="s">
        <v>90</v>
      </c>
      <c r="J1246" s="3">
        <v>83</v>
      </c>
      <c r="K1246" s="4">
        <f t="shared" si="78"/>
        <v>28.055705786911847</v>
      </c>
      <c r="L1246" s="1" t="str">
        <f t="shared" si="79"/>
        <v>Levemente acima do peso</v>
      </c>
      <c r="M1246" t="s">
        <v>14</v>
      </c>
    </row>
    <row r="1247" spans="1:13" x14ac:dyDescent="0.25">
      <c r="A1247">
        <v>1246</v>
      </c>
      <c r="B1247" t="s">
        <v>1672</v>
      </c>
      <c r="C1247" s="2" t="s">
        <v>1673</v>
      </c>
      <c r="D1247" s="2">
        <f t="shared" ca="1" si="76"/>
        <v>43</v>
      </c>
      <c r="E1247" t="s">
        <v>10</v>
      </c>
      <c r="F1247" t="s">
        <v>1342</v>
      </c>
      <c r="G1247" t="s">
        <v>273</v>
      </c>
      <c r="H1247" t="str">
        <f t="shared" si="77"/>
        <v>Colatina - ES</v>
      </c>
      <c r="I1247" s="1" t="s">
        <v>31</v>
      </c>
      <c r="J1247" s="3">
        <v>67</v>
      </c>
      <c r="K1247" s="4">
        <f t="shared" si="78"/>
        <v>24.910767400356935</v>
      </c>
      <c r="L1247" s="1" t="str">
        <f t="shared" si="79"/>
        <v>Peso ideal - parabéns</v>
      </c>
      <c r="M1247" t="s">
        <v>20</v>
      </c>
    </row>
    <row r="1248" spans="1:13" x14ac:dyDescent="0.25">
      <c r="A1248">
        <v>1247</v>
      </c>
      <c r="B1248" t="s">
        <v>2984</v>
      </c>
      <c r="C1248" s="2" t="s">
        <v>2985</v>
      </c>
      <c r="D1248" s="2">
        <f t="shared" ca="1" si="76"/>
        <v>46</v>
      </c>
      <c r="E1248" t="s">
        <v>10</v>
      </c>
      <c r="F1248" t="s">
        <v>1178</v>
      </c>
      <c r="G1248" t="s">
        <v>46</v>
      </c>
      <c r="H1248" t="str">
        <f t="shared" si="77"/>
        <v>Luziânia - GO</v>
      </c>
      <c r="I1248" s="1" t="s">
        <v>71</v>
      </c>
      <c r="J1248" s="3">
        <v>67</v>
      </c>
      <c r="K1248" s="4">
        <f t="shared" si="78"/>
        <v>20.006569321269669</v>
      </c>
      <c r="L1248" s="1" t="str">
        <f t="shared" si="79"/>
        <v>Peso ideal - parabéns</v>
      </c>
      <c r="M1248" t="s">
        <v>47</v>
      </c>
    </row>
    <row r="1249" spans="1:13" x14ac:dyDescent="0.25">
      <c r="A1249">
        <v>1248</v>
      </c>
      <c r="B1249" t="s">
        <v>3962</v>
      </c>
      <c r="C1249" s="2" t="s">
        <v>3333</v>
      </c>
      <c r="D1249" s="2">
        <f t="shared" ca="1" si="76"/>
        <v>23</v>
      </c>
      <c r="E1249" t="s">
        <v>10</v>
      </c>
      <c r="F1249" t="s">
        <v>564</v>
      </c>
      <c r="G1249" t="s">
        <v>565</v>
      </c>
      <c r="H1249" t="str">
        <f t="shared" si="77"/>
        <v>Rio Branco - AC</v>
      </c>
      <c r="I1249" s="1" t="s">
        <v>694</v>
      </c>
      <c r="J1249" s="3">
        <v>107</v>
      </c>
      <c r="K1249" s="4">
        <f t="shared" si="78"/>
        <v>30.9284310324893</v>
      </c>
      <c r="L1249" s="1" t="str">
        <f t="shared" si="79"/>
        <v>Obesidade grau I</v>
      </c>
      <c r="M1249" t="s">
        <v>20</v>
      </c>
    </row>
    <row r="1250" spans="1:13" x14ac:dyDescent="0.25">
      <c r="A1250">
        <v>1249</v>
      </c>
      <c r="B1250" t="s">
        <v>937</v>
      </c>
      <c r="C1250" s="2" t="s">
        <v>938</v>
      </c>
      <c r="D1250" s="2">
        <f t="shared" ca="1" si="76"/>
        <v>34</v>
      </c>
      <c r="E1250" t="s">
        <v>10</v>
      </c>
      <c r="F1250" t="s">
        <v>158</v>
      </c>
      <c r="G1250" t="s">
        <v>159</v>
      </c>
      <c r="H1250" t="str">
        <f t="shared" si="77"/>
        <v>Brasília - DF</v>
      </c>
      <c r="I1250" s="1" t="s">
        <v>37</v>
      </c>
      <c r="J1250" s="3">
        <v>71</v>
      </c>
      <c r="K1250" s="4">
        <f t="shared" si="78"/>
        <v>18.294725450282151</v>
      </c>
      <c r="L1250" s="1" t="str">
        <f t="shared" si="79"/>
        <v>Abaixo do peso</v>
      </c>
      <c r="M1250" t="s">
        <v>47</v>
      </c>
    </row>
    <row r="1251" spans="1:13" x14ac:dyDescent="0.25">
      <c r="A1251">
        <v>1250</v>
      </c>
      <c r="B1251" t="s">
        <v>3480</v>
      </c>
      <c r="C1251" s="2" t="s">
        <v>3481</v>
      </c>
      <c r="D1251" s="2">
        <f t="shared" ca="1" si="76"/>
        <v>20</v>
      </c>
      <c r="E1251" t="s">
        <v>10</v>
      </c>
      <c r="F1251" t="s">
        <v>1197</v>
      </c>
      <c r="G1251" t="s">
        <v>55</v>
      </c>
      <c r="H1251" t="str">
        <f t="shared" si="77"/>
        <v>Paranaguá - PR</v>
      </c>
      <c r="I1251" s="1" t="s">
        <v>90</v>
      </c>
      <c r="J1251" s="3">
        <v>75</v>
      </c>
      <c r="K1251" s="4">
        <f t="shared" si="78"/>
        <v>25.351541373715524</v>
      </c>
      <c r="L1251" s="1" t="str">
        <f t="shared" si="79"/>
        <v>Levemente acima do peso</v>
      </c>
      <c r="M1251" t="s">
        <v>76</v>
      </c>
    </row>
    <row r="1252" spans="1:13" x14ac:dyDescent="0.25">
      <c r="A1252">
        <v>1251</v>
      </c>
      <c r="B1252" t="s">
        <v>3102</v>
      </c>
      <c r="C1252" s="2" t="s">
        <v>3103</v>
      </c>
      <c r="D1252" s="2">
        <f t="shared" ca="1" si="76"/>
        <v>43</v>
      </c>
      <c r="E1252" t="s">
        <v>10</v>
      </c>
      <c r="F1252" t="s">
        <v>796</v>
      </c>
      <c r="G1252" t="s">
        <v>131</v>
      </c>
      <c r="H1252" t="str">
        <f t="shared" si="77"/>
        <v>Joinville - SC</v>
      </c>
      <c r="I1252" s="1" t="s">
        <v>318</v>
      </c>
      <c r="J1252" s="3">
        <v>97</v>
      </c>
      <c r="K1252" s="4">
        <f t="shared" si="78"/>
        <v>26.312934027777779</v>
      </c>
      <c r="L1252" s="1" t="str">
        <f t="shared" si="79"/>
        <v>Levemente acima do peso</v>
      </c>
      <c r="M1252" t="s">
        <v>26</v>
      </c>
    </row>
    <row r="1253" spans="1:13" x14ac:dyDescent="0.25">
      <c r="A1253">
        <v>1252</v>
      </c>
      <c r="B1253" t="s">
        <v>1930</v>
      </c>
      <c r="C1253" s="2" t="s">
        <v>1931</v>
      </c>
      <c r="D1253" s="2">
        <f t="shared" ca="1" si="76"/>
        <v>50</v>
      </c>
      <c r="E1253" t="s">
        <v>23</v>
      </c>
      <c r="F1253" t="s">
        <v>40</v>
      </c>
      <c r="G1253" t="s">
        <v>41</v>
      </c>
      <c r="H1253" t="str">
        <f t="shared" si="77"/>
        <v>Campina Grande - PB</v>
      </c>
      <c r="I1253" s="1" t="s">
        <v>31</v>
      </c>
      <c r="J1253" s="3">
        <v>49</v>
      </c>
      <c r="K1253" s="4">
        <f t="shared" si="78"/>
        <v>18.218322427126715</v>
      </c>
      <c r="L1253" s="1" t="str">
        <f t="shared" si="79"/>
        <v>Abaixo do peso</v>
      </c>
      <c r="M1253" t="s">
        <v>32</v>
      </c>
    </row>
    <row r="1254" spans="1:13" x14ac:dyDescent="0.25">
      <c r="A1254">
        <v>1253</v>
      </c>
      <c r="B1254" t="s">
        <v>1814</v>
      </c>
      <c r="C1254" s="2" t="s">
        <v>1815</v>
      </c>
      <c r="D1254" s="2">
        <f t="shared" ca="1" si="76"/>
        <v>81</v>
      </c>
      <c r="E1254" t="s">
        <v>23</v>
      </c>
      <c r="F1254" t="s">
        <v>1816</v>
      </c>
      <c r="G1254" t="s">
        <v>51</v>
      </c>
      <c r="H1254" t="str">
        <f t="shared" si="77"/>
        <v>Mesquita - RJ</v>
      </c>
      <c r="I1254" s="1" t="s">
        <v>386</v>
      </c>
      <c r="J1254" s="3">
        <v>62</v>
      </c>
      <c r="K1254" s="4">
        <f t="shared" si="78"/>
        <v>22.499637102627378</v>
      </c>
      <c r="L1254" s="1" t="str">
        <f t="shared" si="79"/>
        <v>Peso ideal - parabéns</v>
      </c>
      <c r="M1254" t="s">
        <v>26</v>
      </c>
    </row>
    <row r="1255" spans="1:13" x14ac:dyDescent="0.25">
      <c r="A1255">
        <v>1254</v>
      </c>
      <c r="B1255" t="s">
        <v>3276</v>
      </c>
      <c r="C1255" s="2" t="s">
        <v>3277</v>
      </c>
      <c r="D1255" s="2">
        <f t="shared" ca="1" si="76"/>
        <v>41</v>
      </c>
      <c r="E1255" t="s">
        <v>23</v>
      </c>
      <c r="F1255" t="s">
        <v>64</v>
      </c>
      <c r="G1255" t="s">
        <v>65</v>
      </c>
      <c r="H1255" t="str">
        <f t="shared" si="77"/>
        <v>Salvador - BA</v>
      </c>
      <c r="I1255" s="1" t="s">
        <v>19</v>
      </c>
      <c r="J1255" s="3">
        <v>58</v>
      </c>
      <c r="K1255" s="4">
        <f t="shared" si="78"/>
        <v>18.513198633853616</v>
      </c>
      <c r="L1255" s="1" t="str">
        <f t="shared" si="79"/>
        <v>Abaixo do peso</v>
      </c>
      <c r="M1255" t="s">
        <v>95</v>
      </c>
    </row>
    <row r="1256" spans="1:13" x14ac:dyDescent="0.25">
      <c r="A1256">
        <v>1255</v>
      </c>
      <c r="B1256" t="s">
        <v>2754</v>
      </c>
      <c r="C1256" s="2" t="s">
        <v>2755</v>
      </c>
      <c r="D1256" s="2">
        <f t="shared" ca="1" si="76"/>
        <v>30</v>
      </c>
      <c r="E1256" t="s">
        <v>23</v>
      </c>
      <c r="F1256" t="s">
        <v>169</v>
      </c>
      <c r="G1256" t="s">
        <v>170</v>
      </c>
      <c r="H1256" t="str">
        <f t="shared" si="77"/>
        <v>Maceió - AL</v>
      </c>
      <c r="I1256" s="1" t="s">
        <v>71</v>
      </c>
      <c r="J1256" s="3">
        <v>55</v>
      </c>
      <c r="K1256" s="4">
        <f t="shared" si="78"/>
        <v>16.423303174176592</v>
      </c>
      <c r="L1256" s="1" t="str">
        <f t="shared" si="79"/>
        <v>Muito abaixo do peso</v>
      </c>
      <c r="M1256" t="s">
        <v>47</v>
      </c>
    </row>
    <row r="1257" spans="1:13" x14ac:dyDescent="0.25">
      <c r="A1257">
        <v>1256</v>
      </c>
      <c r="B1257" t="s">
        <v>4033</v>
      </c>
      <c r="C1257" s="2" t="s">
        <v>2957</v>
      </c>
      <c r="D1257" s="2">
        <f t="shared" ca="1" si="76"/>
        <v>76</v>
      </c>
      <c r="E1257" t="s">
        <v>23</v>
      </c>
      <c r="F1257" t="s">
        <v>50</v>
      </c>
      <c r="G1257" t="s">
        <v>51</v>
      </c>
      <c r="H1257" t="str">
        <f t="shared" si="77"/>
        <v>Magé - RJ</v>
      </c>
      <c r="I1257" s="1" t="s">
        <v>56</v>
      </c>
      <c r="J1257" s="3">
        <v>71</v>
      </c>
      <c r="K1257" s="4">
        <f t="shared" si="78"/>
        <v>24.859073561850078</v>
      </c>
      <c r="L1257" s="1" t="str">
        <f t="shared" si="79"/>
        <v>Peso ideal - parabéns</v>
      </c>
      <c r="M1257" t="s">
        <v>95</v>
      </c>
    </row>
    <row r="1258" spans="1:13" x14ac:dyDescent="0.25">
      <c r="A1258">
        <v>1257</v>
      </c>
      <c r="B1258" t="s">
        <v>3558</v>
      </c>
      <c r="C1258" s="2" t="s">
        <v>3559</v>
      </c>
      <c r="D1258" s="2">
        <f t="shared" ca="1" si="76"/>
        <v>44</v>
      </c>
      <c r="E1258" t="s">
        <v>23</v>
      </c>
      <c r="F1258" t="s">
        <v>244</v>
      </c>
      <c r="G1258" t="s">
        <v>60</v>
      </c>
      <c r="H1258" t="str">
        <f t="shared" si="77"/>
        <v>Araguaína - TO</v>
      </c>
      <c r="I1258" s="1" t="s">
        <v>56</v>
      </c>
      <c r="J1258" s="3">
        <v>76</v>
      </c>
      <c r="K1258" s="4">
        <f t="shared" si="78"/>
        <v>26.609712545078956</v>
      </c>
      <c r="L1258" s="1" t="str">
        <f t="shared" si="79"/>
        <v>Levemente acima do peso</v>
      </c>
      <c r="M1258" t="s">
        <v>32</v>
      </c>
    </row>
    <row r="1259" spans="1:13" x14ac:dyDescent="0.25">
      <c r="A1259">
        <v>1258</v>
      </c>
      <c r="B1259" t="s">
        <v>3425</v>
      </c>
      <c r="C1259" s="2" t="s">
        <v>3426</v>
      </c>
      <c r="D1259" s="2">
        <f t="shared" ca="1" si="76"/>
        <v>58</v>
      </c>
      <c r="E1259" t="s">
        <v>23</v>
      </c>
      <c r="F1259" t="s">
        <v>107</v>
      </c>
      <c r="G1259" t="s">
        <v>36</v>
      </c>
      <c r="H1259" t="str">
        <f t="shared" si="77"/>
        <v>São Luís - MA</v>
      </c>
      <c r="I1259" s="1" t="s">
        <v>209</v>
      </c>
      <c r="J1259" s="3">
        <v>65</v>
      </c>
      <c r="K1259" s="4">
        <f t="shared" si="78"/>
        <v>27.407657277787148</v>
      </c>
      <c r="L1259" s="1" t="str">
        <f t="shared" si="79"/>
        <v>Levemente acima do peso</v>
      </c>
      <c r="M1259" t="s">
        <v>14</v>
      </c>
    </row>
    <row r="1260" spans="1:13" x14ac:dyDescent="0.25">
      <c r="A1260">
        <v>1259</v>
      </c>
      <c r="B1260" t="s">
        <v>2814</v>
      </c>
      <c r="C1260" s="2" t="s">
        <v>2815</v>
      </c>
      <c r="D1260" s="2">
        <f t="shared" ca="1" si="76"/>
        <v>56</v>
      </c>
      <c r="E1260" t="s">
        <v>23</v>
      </c>
      <c r="F1260" t="s">
        <v>468</v>
      </c>
      <c r="G1260" t="s">
        <v>310</v>
      </c>
      <c r="H1260" t="str">
        <f t="shared" si="77"/>
        <v>Alvorada - RS</v>
      </c>
      <c r="I1260" s="1" t="s">
        <v>123</v>
      </c>
      <c r="J1260" s="3">
        <v>48</v>
      </c>
      <c r="K1260" s="4">
        <f t="shared" si="78"/>
        <v>15.495867768595042</v>
      </c>
      <c r="L1260" s="1" t="str">
        <f t="shared" si="79"/>
        <v>Muito abaixo do peso</v>
      </c>
      <c r="M1260" t="s">
        <v>83</v>
      </c>
    </row>
    <row r="1261" spans="1:13" x14ac:dyDescent="0.25">
      <c r="A1261">
        <v>1260</v>
      </c>
      <c r="B1261" t="s">
        <v>1398</v>
      </c>
      <c r="C1261" s="2" t="s">
        <v>1399</v>
      </c>
      <c r="D1261" s="2">
        <f t="shared" ca="1" si="76"/>
        <v>31</v>
      </c>
      <c r="E1261" t="s">
        <v>23</v>
      </c>
      <c r="F1261" t="s">
        <v>208</v>
      </c>
      <c r="G1261" t="s">
        <v>30</v>
      </c>
      <c r="H1261" t="str">
        <f t="shared" si="77"/>
        <v>Ji-Paraná - RO</v>
      </c>
      <c r="I1261" s="1" t="s">
        <v>94</v>
      </c>
      <c r="J1261" s="3">
        <v>69</v>
      </c>
      <c r="K1261" s="4">
        <f t="shared" si="78"/>
        <v>23.054562464499313</v>
      </c>
      <c r="L1261" s="1" t="str">
        <f t="shared" si="79"/>
        <v>Peso ideal - parabéns</v>
      </c>
      <c r="M1261" t="s">
        <v>26</v>
      </c>
    </row>
    <row r="1262" spans="1:13" x14ac:dyDescent="0.25">
      <c r="A1262">
        <v>1261</v>
      </c>
      <c r="B1262" t="s">
        <v>776</v>
      </c>
      <c r="C1262" s="2" t="s">
        <v>777</v>
      </c>
      <c r="D1262" s="2">
        <f t="shared" ca="1" si="76"/>
        <v>27</v>
      </c>
      <c r="E1262" t="s">
        <v>23</v>
      </c>
      <c r="F1262" t="s">
        <v>69</v>
      </c>
      <c r="G1262" t="s">
        <v>70</v>
      </c>
      <c r="H1262" t="str">
        <f t="shared" si="77"/>
        <v>Aracaju - SE</v>
      </c>
      <c r="I1262" s="1" t="s">
        <v>484</v>
      </c>
      <c r="J1262" s="3">
        <v>67</v>
      </c>
      <c r="K1262" s="4">
        <f t="shared" si="78"/>
        <v>27.887617065556707</v>
      </c>
      <c r="L1262" s="1" t="str">
        <f t="shared" si="79"/>
        <v>Levemente acima do peso</v>
      </c>
      <c r="M1262" t="s">
        <v>20</v>
      </c>
    </row>
    <row r="1263" spans="1:13" x14ac:dyDescent="0.25">
      <c r="A1263">
        <v>1262</v>
      </c>
      <c r="B1263" t="s">
        <v>1189</v>
      </c>
      <c r="C1263" s="2" t="s">
        <v>1190</v>
      </c>
      <c r="D1263" s="2">
        <f t="shared" ca="1" si="76"/>
        <v>56</v>
      </c>
      <c r="E1263" t="s">
        <v>23</v>
      </c>
      <c r="F1263" t="s">
        <v>309</v>
      </c>
      <c r="G1263" t="s">
        <v>310</v>
      </c>
      <c r="H1263" t="str">
        <f t="shared" si="77"/>
        <v>Gravataí - RS</v>
      </c>
      <c r="I1263" s="1" t="s">
        <v>19</v>
      </c>
      <c r="J1263" s="3">
        <v>59</v>
      </c>
      <c r="K1263" s="4">
        <f t="shared" si="78"/>
        <v>18.832391713747644</v>
      </c>
      <c r="L1263" s="1" t="str">
        <f t="shared" si="79"/>
        <v>Peso ideal - parabéns</v>
      </c>
      <c r="M1263" t="s">
        <v>95</v>
      </c>
    </row>
    <row r="1264" spans="1:13" x14ac:dyDescent="0.25">
      <c r="A1264">
        <v>1263</v>
      </c>
      <c r="B1264" t="s">
        <v>434</v>
      </c>
      <c r="C1264" s="2" t="s">
        <v>435</v>
      </c>
      <c r="D1264" s="2">
        <f t="shared" ca="1" si="76"/>
        <v>44</v>
      </c>
      <c r="E1264" t="s">
        <v>23</v>
      </c>
      <c r="F1264" t="s">
        <v>436</v>
      </c>
      <c r="G1264" t="s">
        <v>273</v>
      </c>
      <c r="H1264" t="str">
        <f t="shared" si="77"/>
        <v>Aracruz - ES</v>
      </c>
      <c r="I1264" s="1" t="s">
        <v>171</v>
      </c>
      <c r="J1264" s="3">
        <v>55</v>
      </c>
      <c r="K1264" s="4">
        <f t="shared" si="78"/>
        <v>19.721036967980208</v>
      </c>
      <c r="L1264" s="1" t="str">
        <f t="shared" si="79"/>
        <v>Peso ideal - parabéns</v>
      </c>
      <c r="M1264" t="s">
        <v>26</v>
      </c>
    </row>
    <row r="1265" spans="1:13" x14ac:dyDescent="0.25">
      <c r="A1265">
        <v>1264</v>
      </c>
      <c r="B1265" t="s">
        <v>2668</v>
      </c>
      <c r="C1265" s="2" t="s">
        <v>2669</v>
      </c>
      <c r="D1265" s="2">
        <f t="shared" ca="1" si="76"/>
        <v>36</v>
      </c>
      <c r="E1265" t="s">
        <v>23</v>
      </c>
      <c r="F1265" t="s">
        <v>135</v>
      </c>
      <c r="G1265" t="s">
        <v>75</v>
      </c>
      <c r="H1265" t="str">
        <f t="shared" si="77"/>
        <v>Santana - AP</v>
      </c>
      <c r="I1265" s="1" t="s">
        <v>104</v>
      </c>
      <c r="J1265" s="3">
        <v>50</v>
      </c>
      <c r="K1265" s="4">
        <f t="shared" si="78"/>
        <v>17.301038062283737</v>
      </c>
      <c r="L1265" s="1" t="str">
        <f t="shared" si="79"/>
        <v>Abaixo do peso</v>
      </c>
      <c r="M1265" t="s">
        <v>20</v>
      </c>
    </row>
    <row r="1266" spans="1:13" x14ac:dyDescent="0.25">
      <c r="A1266">
        <v>1265</v>
      </c>
      <c r="B1266" t="s">
        <v>2376</v>
      </c>
      <c r="C1266" s="2" t="s">
        <v>2377</v>
      </c>
      <c r="D1266" s="2">
        <f t="shared" ca="1" si="76"/>
        <v>21</v>
      </c>
      <c r="E1266" t="s">
        <v>23</v>
      </c>
      <c r="F1266" t="s">
        <v>736</v>
      </c>
      <c r="G1266" t="s">
        <v>190</v>
      </c>
      <c r="H1266" t="str">
        <f t="shared" si="77"/>
        <v>Sinop - MT</v>
      </c>
      <c r="I1266" s="1" t="s">
        <v>191</v>
      </c>
      <c r="J1266" s="3">
        <v>68</v>
      </c>
      <c r="K1266" s="4">
        <f t="shared" si="78"/>
        <v>26.562499999999996</v>
      </c>
      <c r="L1266" s="1" t="str">
        <f t="shared" si="79"/>
        <v>Levemente acima do peso</v>
      </c>
      <c r="M1266" t="s">
        <v>26</v>
      </c>
    </row>
    <row r="1267" spans="1:13" x14ac:dyDescent="0.25">
      <c r="A1267">
        <v>1266</v>
      </c>
      <c r="B1267" t="s">
        <v>3890</v>
      </c>
      <c r="C1267" s="2" t="s">
        <v>3891</v>
      </c>
      <c r="D1267" s="2">
        <f t="shared" ca="1" si="76"/>
        <v>23</v>
      </c>
      <c r="E1267" t="s">
        <v>23</v>
      </c>
      <c r="F1267" t="s">
        <v>454</v>
      </c>
      <c r="G1267" t="s">
        <v>60</v>
      </c>
      <c r="H1267" t="str">
        <f t="shared" si="77"/>
        <v>Gurupi - TO</v>
      </c>
      <c r="I1267" s="1" t="s">
        <v>71</v>
      </c>
      <c r="J1267" s="3">
        <v>54</v>
      </c>
      <c r="K1267" s="4">
        <f t="shared" si="78"/>
        <v>16.124697661918837</v>
      </c>
      <c r="L1267" s="1" t="str">
        <f t="shared" si="79"/>
        <v>Muito abaixo do peso</v>
      </c>
      <c r="M1267" t="s">
        <v>20</v>
      </c>
    </row>
    <row r="1268" spans="1:13" x14ac:dyDescent="0.25">
      <c r="A1268">
        <v>1267</v>
      </c>
      <c r="B1268" t="s">
        <v>2852</v>
      </c>
      <c r="C1268" s="2" t="s">
        <v>2853</v>
      </c>
      <c r="D1268" s="2">
        <f t="shared" ca="1" si="76"/>
        <v>20</v>
      </c>
      <c r="E1268" t="s">
        <v>23</v>
      </c>
      <c r="F1268" t="s">
        <v>944</v>
      </c>
      <c r="G1268" t="s">
        <v>55</v>
      </c>
      <c r="H1268" t="str">
        <f t="shared" si="77"/>
        <v>Cascavel - PR</v>
      </c>
      <c r="I1268" s="1" t="s">
        <v>123</v>
      </c>
      <c r="J1268" s="3">
        <v>84</v>
      </c>
      <c r="K1268" s="4">
        <f t="shared" si="78"/>
        <v>27.117768595041323</v>
      </c>
      <c r="L1268" s="1" t="str">
        <f t="shared" si="79"/>
        <v>Levemente acima do peso</v>
      </c>
      <c r="M1268" t="s">
        <v>20</v>
      </c>
    </row>
    <row r="1269" spans="1:13" x14ac:dyDescent="0.25">
      <c r="A1269">
        <v>1268</v>
      </c>
      <c r="B1269" t="s">
        <v>907</v>
      </c>
      <c r="C1269" s="2" t="s">
        <v>908</v>
      </c>
      <c r="D1269" s="2">
        <f t="shared" ca="1" si="76"/>
        <v>44</v>
      </c>
      <c r="E1269" t="s">
        <v>23</v>
      </c>
      <c r="F1269" t="s">
        <v>126</v>
      </c>
      <c r="G1269" t="s">
        <v>127</v>
      </c>
      <c r="H1269" t="str">
        <f t="shared" si="77"/>
        <v>Boa Vista - RR</v>
      </c>
      <c r="I1269" s="1" t="s">
        <v>90</v>
      </c>
      <c r="J1269" s="3">
        <v>45</v>
      </c>
      <c r="K1269" s="4">
        <f t="shared" si="78"/>
        <v>15.210924824229314</v>
      </c>
      <c r="L1269" s="1" t="str">
        <f t="shared" si="79"/>
        <v>Muito abaixo do peso</v>
      </c>
      <c r="M1269" t="s">
        <v>47</v>
      </c>
    </row>
    <row r="1270" spans="1:13" x14ac:dyDescent="0.25">
      <c r="A1270">
        <v>1269</v>
      </c>
      <c r="B1270" t="s">
        <v>995</v>
      </c>
      <c r="C1270" s="2" t="s">
        <v>996</v>
      </c>
      <c r="D1270" s="2">
        <f t="shared" ca="1" si="76"/>
        <v>30</v>
      </c>
      <c r="E1270" t="s">
        <v>23</v>
      </c>
      <c r="F1270" t="s">
        <v>321</v>
      </c>
      <c r="G1270" t="s">
        <v>273</v>
      </c>
      <c r="H1270" t="str">
        <f t="shared" si="77"/>
        <v>Cariacica - ES</v>
      </c>
      <c r="I1270" s="1" t="s">
        <v>166</v>
      </c>
      <c r="J1270" s="3">
        <v>61</v>
      </c>
      <c r="K1270" s="4">
        <f t="shared" si="78"/>
        <v>21.612811791383223</v>
      </c>
      <c r="L1270" s="1" t="str">
        <f t="shared" si="79"/>
        <v>Peso ideal - parabéns</v>
      </c>
      <c r="M1270" t="s">
        <v>20</v>
      </c>
    </row>
    <row r="1271" spans="1:13" x14ac:dyDescent="0.25">
      <c r="A1271">
        <v>1270</v>
      </c>
      <c r="B1271" t="s">
        <v>1942</v>
      </c>
      <c r="C1271" s="2" t="s">
        <v>1943</v>
      </c>
      <c r="D1271" s="2">
        <f t="shared" ca="1" si="76"/>
        <v>44</v>
      </c>
      <c r="E1271" t="s">
        <v>10</v>
      </c>
      <c r="F1271" t="s">
        <v>74</v>
      </c>
      <c r="G1271" t="s">
        <v>75</v>
      </c>
      <c r="H1271" t="str">
        <f t="shared" si="77"/>
        <v>Macapá - AP</v>
      </c>
      <c r="I1271" s="1" t="s">
        <v>56</v>
      </c>
      <c r="J1271" s="3">
        <v>51</v>
      </c>
      <c r="K1271" s="4">
        <f t="shared" si="78"/>
        <v>17.856517628934565</v>
      </c>
      <c r="L1271" s="1" t="str">
        <f t="shared" si="79"/>
        <v>Abaixo do peso</v>
      </c>
      <c r="M1271" t="s">
        <v>14</v>
      </c>
    </row>
    <row r="1272" spans="1:13" x14ac:dyDescent="0.25">
      <c r="A1272">
        <v>1271</v>
      </c>
      <c r="B1272" t="s">
        <v>2446</v>
      </c>
      <c r="C1272" s="2" t="s">
        <v>2447</v>
      </c>
      <c r="D1272" s="2">
        <f t="shared" ca="1" si="76"/>
        <v>55</v>
      </c>
      <c r="E1272" t="s">
        <v>10</v>
      </c>
      <c r="F1272" t="s">
        <v>564</v>
      </c>
      <c r="G1272" t="s">
        <v>565</v>
      </c>
      <c r="H1272" t="str">
        <f t="shared" si="77"/>
        <v>Rio Branco - AC</v>
      </c>
      <c r="I1272" s="1" t="s">
        <v>132</v>
      </c>
      <c r="J1272" s="3">
        <v>84</v>
      </c>
      <c r="K1272" s="4">
        <f t="shared" si="78"/>
        <v>24.021275987303035</v>
      </c>
      <c r="L1272" s="1" t="str">
        <f t="shared" si="79"/>
        <v>Peso ideal - parabéns</v>
      </c>
      <c r="M1272" t="s">
        <v>14</v>
      </c>
    </row>
    <row r="1273" spans="1:13" x14ac:dyDescent="0.25">
      <c r="A1273">
        <v>1272</v>
      </c>
      <c r="B1273" t="s">
        <v>3649</v>
      </c>
      <c r="C1273" s="2" t="s">
        <v>3650</v>
      </c>
      <c r="D1273" s="2">
        <f t="shared" ca="1" si="76"/>
        <v>55</v>
      </c>
      <c r="E1273" t="s">
        <v>10</v>
      </c>
      <c r="F1273" t="s">
        <v>439</v>
      </c>
      <c r="G1273" t="s">
        <v>190</v>
      </c>
      <c r="H1273" t="str">
        <f t="shared" si="77"/>
        <v>Rondonópolis - MT</v>
      </c>
      <c r="I1273" s="1" t="s">
        <v>123</v>
      </c>
      <c r="J1273" s="3">
        <v>81</v>
      </c>
      <c r="K1273" s="4">
        <f t="shared" si="78"/>
        <v>26.149276859504134</v>
      </c>
      <c r="L1273" s="1" t="str">
        <f t="shared" si="79"/>
        <v>Levemente acima do peso</v>
      </c>
      <c r="M1273" t="s">
        <v>47</v>
      </c>
    </row>
    <row r="1274" spans="1:13" x14ac:dyDescent="0.25">
      <c r="A1274">
        <v>1273</v>
      </c>
      <c r="B1274" t="s">
        <v>3384</v>
      </c>
      <c r="C1274" s="2" t="s">
        <v>3302</v>
      </c>
      <c r="D1274" s="2">
        <f t="shared" ca="1" si="76"/>
        <v>36</v>
      </c>
      <c r="E1274" t="s">
        <v>10</v>
      </c>
      <c r="F1274" t="s">
        <v>733</v>
      </c>
      <c r="G1274" t="s">
        <v>310</v>
      </c>
      <c r="H1274" t="str">
        <f t="shared" si="77"/>
        <v>Porto Alegre - RS</v>
      </c>
      <c r="I1274" s="1" t="s">
        <v>42</v>
      </c>
      <c r="J1274" s="3">
        <v>53</v>
      </c>
      <c r="K1274" s="4">
        <f t="shared" si="78"/>
        <v>16.541306451109516</v>
      </c>
      <c r="L1274" s="1" t="str">
        <f t="shared" si="79"/>
        <v>Muito abaixo do peso</v>
      </c>
      <c r="M1274" t="s">
        <v>76</v>
      </c>
    </row>
    <row r="1275" spans="1:13" x14ac:dyDescent="0.25">
      <c r="A1275">
        <v>1274</v>
      </c>
      <c r="B1275" t="s">
        <v>1819</v>
      </c>
      <c r="C1275" s="2" t="s">
        <v>1820</v>
      </c>
      <c r="D1275" s="2">
        <f t="shared" ca="1" si="76"/>
        <v>77</v>
      </c>
      <c r="E1275" t="s">
        <v>10</v>
      </c>
      <c r="F1275" t="s">
        <v>153</v>
      </c>
      <c r="G1275" t="s">
        <v>154</v>
      </c>
      <c r="H1275" t="str">
        <f t="shared" si="77"/>
        <v>Manaus - AM</v>
      </c>
      <c r="I1275" s="1" t="s">
        <v>19</v>
      </c>
      <c r="J1275" s="3">
        <v>59</v>
      </c>
      <c r="K1275" s="4">
        <f t="shared" si="78"/>
        <v>18.832391713747644</v>
      </c>
      <c r="L1275" s="1" t="str">
        <f t="shared" si="79"/>
        <v>Peso ideal - parabéns</v>
      </c>
      <c r="M1275" t="s">
        <v>76</v>
      </c>
    </row>
    <row r="1276" spans="1:13" x14ac:dyDescent="0.25">
      <c r="A1276">
        <v>1275</v>
      </c>
      <c r="B1276" t="s">
        <v>2550</v>
      </c>
      <c r="C1276" s="2" t="s">
        <v>2551</v>
      </c>
      <c r="D1276" s="2">
        <f t="shared" ca="1" si="76"/>
        <v>80</v>
      </c>
      <c r="E1276" t="s">
        <v>10</v>
      </c>
      <c r="F1276" t="s">
        <v>267</v>
      </c>
      <c r="G1276" t="s">
        <v>103</v>
      </c>
      <c r="H1276" t="str">
        <f t="shared" si="77"/>
        <v>São Paulo - SP</v>
      </c>
      <c r="I1276" s="1" t="s">
        <v>99</v>
      </c>
      <c r="J1276" s="3">
        <v>86</v>
      </c>
      <c r="K1276" s="4">
        <f t="shared" si="78"/>
        <v>22.850462323307472</v>
      </c>
      <c r="L1276" s="1" t="str">
        <f t="shared" si="79"/>
        <v>Peso ideal - parabéns</v>
      </c>
      <c r="M1276" t="s">
        <v>76</v>
      </c>
    </row>
    <row r="1277" spans="1:13" x14ac:dyDescent="0.25">
      <c r="A1277">
        <v>1276</v>
      </c>
      <c r="B1277" t="s">
        <v>1035</v>
      </c>
      <c r="C1277" s="2" t="s">
        <v>1036</v>
      </c>
      <c r="D1277" s="2">
        <f t="shared" ca="1" si="76"/>
        <v>62</v>
      </c>
      <c r="E1277" t="s">
        <v>10</v>
      </c>
      <c r="F1277" t="s">
        <v>1037</v>
      </c>
      <c r="G1277" t="s">
        <v>46</v>
      </c>
      <c r="H1277" t="str">
        <f t="shared" si="77"/>
        <v>Itumbiara - GO</v>
      </c>
      <c r="I1277" s="1" t="s">
        <v>117</v>
      </c>
      <c r="J1277" s="3">
        <v>57</v>
      </c>
      <c r="K1277" s="4">
        <f t="shared" si="78"/>
        <v>17.99015275849009</v>
      </c>
      <c r="L1277" s="1" t="str">
        <f t="shared" si="79"/>
        <v>Abaixo do peso</v>
      </c>
      <c r="M1277" t="s">
        <v>26</v>
      </c>
    </row>
    <row r="1278" spans="1:13" x14ac:dyDescent="0.25">
      <c r="A1278">
        <v>1277</v>
      </c>
      <c r="B1278" t="s">
        <v>2631</v>
      </c>
      <c r="C1278" s="2" t="s">
        <v>2632</v>
      </c>
      <c r="D1278" s="2">
        <f t="shared" ca="1" si="76"/>
        <v>53</v>
      </c>
      <c r="E1278" t="s">
        <v>10</v>
      </c>
      <c r="F1278" t="s">
        <v>169</v>
      </c>
      <c r="G1278" t="s">
        <v>170</v>
      </c>
      <c r="H1278" t="str">
        <f t="shared" si="77"/>
        <v>Maceió - AL</v>
      </c>
      <c r="I1278" s="1" t="s">
        <v>194</v>
      </c>
      <c r="J1278" s="3">
        <v>87</v>
      </c>
      <c r="K1278" s="4">
        <f t="shared" si="78"/>
        <v>25.420014609203797</v>
      </c>
      <c r="L1278" s="1" t="str">
        <f t="shared" si="79"/>
        <v>Levemente acima do peso</v>
      </c>
      <c r="M1278" t="s">
        <v>76</v>
      </c>
    </row>
    <row r="1279" spans="1:13" x14ac:dyDescent="0.25">
      <c r="A1279">
        <v>1278</v>
      </c>
      <c r="B1279" t="s">
        <v>1132</v>
      </c>
      <c r="C1279" s="2" t="s">
        <v>1133</v>
      </c>
      <c r="D1279" s="2">
        <f t="shared" ca="1" si="76"/>
        <v>42</v>
      </c>
      <c r="E1279" t="s">
        <v>10</v>
      </c>
      <c r="F1279" t="s">
        <v>169</v>
      </c>
      <c r="G1279" t="s">
        <v>170</v>
      </c>
      <c r="H1279" t="str">
        <f t="shared" si="77"/>
        <v>Maceió - AL</v>
      </c>
      <c r="I1279" s="1" t="s">
        <v>191</v>
      </c>
      <c r="J1279" s="3">
        <v>107</v>
      </c>
      <c r="K1279" s="4">
        <f t="shared" si="78"/>
        <v>41.796874999999993</v>
      </c>
      <c r="L1279" s="1" t="str">
        <f t="shared" si="79"/>
        <v>Obesidade grau III - mórbida</v>
      </c>
      <c r="M1279" t="s">
        <v>76</v>
      </c>
    </row>
    <row r="1280" spans="1:13" x14ac:dyDescent="0.25">
      <c r="A1280">
        <v>1279</v>
      </c>
      <c r="B1280" t="s">
        <v>3776</v>
      </c>
      <c r="C1280" s="2" t="s">
        <v>3733</v>
      </c>
      <c r="D1280" s="2">
        <f t="shared" ca="1" si="76"/>
        <v>56</v>
      </c>
      <c r="E1280" t="s">
        <v>10</v>
      </c>
      <c r="F1280" t="s">
        <v>979</v>
      </c>
      <c r="G1280" t="s">
        <v>51</v>
      </c>
      <c r="H1280" t="str">
        <f t="shared" si="77"/>
        <v>São Gonçalo - RJ</v>
      </c>
      <c r="I1280" s="1" t="s">
        <v>255</v>
      </c>
      <c r="J1280" s="3">
        <v>108</v>
      </c>
      <c r="K1280" s="4">
        <f t="shared" si="78"/>
        <v>27.272038584884218</v>
      </c>
      <c r="L1280" s="1" t="str">
        <f t="shared" si="79"/>
        <v>Levemente acima do peso</v>
      </c>
      <c r="M1280" t="s">
        <v>83</v>
      </c>
    </row>
    <row r="1281" spans="1:13" x14ac:dyDescent="0.25">
      <c r="A1281">
        <v>1280</v>
      </c>
      <c r="B1281" t="s">
        <v>3776</v>
      </c>
      <c r="C1281" s="2" t="s">
        <v>3733</v>
      </c>
      <c r="D1281" s="2">
        <f t="shared" ca="1" si="76"/>
        <v>56</v>
      </c>
      <c r="E1281" t="s">
        <v>10</v>
      </c>
      <c r="F1281" t="s">
        <v>979</v>
      </c>
      <c r="G1281" t="s">
        <v>51</v>
      </c>
      <c r="H1281" t="str">
        <f t="shared" si="77"/>
        <v>São Gonçalo - RJ</v>
      </c>
      <c r="I1281" s="1" t="s">
        <v>255</v>
      </c>
      <c r="J1281" s="3">
        <v>108</v>
      </c>
      <c r="K1281" s="4">
        <f t="shared" si="78"/>
        <v>27.272038584884218</v>
      </c>
      <c r="L1281" s="1" t="str">
        <f t="shared" si="79"/>
        <v>Levemente acima do peso</v>
      </c>
      <c r="M1281" t="s">
        <v>83</v>
      </c>
    </row>
    <row r="1282" spans="1:13" x14ac:dyDescent="0.25">
      <c r="A1282">
        <v>1281</v>
      </c>
      <c r="B1282" t="s">
        <v>1238</v>
      </c>
      <c r="C1282" s="2" t="s">
        <v>1239</v>
      </c>
      <c r="D1282" s="2">
        <f t="shared" ca="1" si="76"/>
        <v>67</v>
      </c>
      <c r="E1282" t="s">
        <v>23</v>
      </c>
      <c r="F1282" t="s">
        <v>69</v>
      </c>
      <c r="G1282" t="s">
        <v>70</v>
      </c>
      <c r="H1282" t="str">
        <f t="shared" si="77"/>
        <v>Aracaju - SE</v>
      </c>
      <c r="I1282" s="1" t="s">
        <v>117</v>
      </c>
      <c r="J1282" s="3">
        <v>49</v>
      </c>
      <c r="K1282" s="4">
        <f t="shared" si="78"/>
        <v>15.465219038000251</v>
      </c>
      <c r="L1282" s="1" t="str">
        <f t="shared" si="79"/>
        <v>Muito abaixo do peso</v>
      </c>
      <c r="M1282" t="s">
        <v>76</v>
      </c>
    </row>
    <row r="1283" spans="1:13" x14ac:dyDescent="0.25">
      <c r="A1283">
        <v>1282</v>
      </c>
      <c r="B1283" t="s">
        <v>3091</v>
      </c>
      <c r="C1283" s="2" t="s">
        <v>3016</v>
      </c>
      <c r="D1283" s="2">
        <f t="shared" ref="D1283:D1346" ca="1" si="80">YEAR(TODAY())-YEAR(C1283)</f>
        <v>70</v>
      </c>
      <c r="E1283" t="s">
        <v>23</v>
      </c>
      <c r="F1283" t="s">
        <v>89</v>
      </c>
      <c r="G1283" t="s">
        <v>12</v>
      </c>
      <c r="H1283" t="str">
        <f t="shared" ref="H1283:H1346" si="81">CONCATENATE(F1283," - ",G1283)</f>
        <v>Fortaleza - CE</v>
      </c>
      <c r="I1283" s="1" t="s">
        <v>71</v>
      </c>
      <c r="J1283" s="3">
        <v>46</v>
      </c>
      <c r="K1283" s="4">
        <f t="shared" ref="K1283:K1346" si="82">J1283/(I1283*I1283)</f>
        <v>13.735853563856788</v>
      </c>
      <c r="L1283" s="1" t="str">
        <f t="shared" ref="L1283:L1346" si="83">IF(K1283&gt;=40,"Obesidade grau III - mórbida",
IF(K1283&gt;=35,"Obesidade grau II - severa",
IF(K1283&gt;=30,"Obesidade grau I",
IF(K1283&gt;=25,"Levemente acima do peso",
IF(K1283&gt;=18.6,"Peso ideal - parabéns",
IF(K1283&gt;=17,"Abaixo do peso",
"Muito abaixo do peso"))))))</f>
        <v>Muito abaixo do peso</v>
      </c>
      <c r="M1283" t="s">
        <v>76</v>
      </c>
    </row>
    <row r="1284" spans="1:13" x14ac:dyDescent="0.25">
      <c r="A1284">
        <v>1283</v>
      </c>
      <c r="B1284" t="s">
        <v>3498</v>
      </c>
      <c r="C1284" s="2" t="s">
        <v>3499</v>
      </c>
      <c r="D1284" s="2">
        <f t="shared" ca="1" si="80"/>
        <v>54</v>
      </c>
      <c r="E1284" t="s">
        <v>10</v>
      </c>
      <c r="F1284" t="s">
        <v>158</v>
      </c>
      <c r="G1284" t="s">
        <v>159</v>
      </c>
      <c r="H1284" t="str">
        <f t="shared" si="81"/>
        <v>Brasília - DF</v>
      </c>
      <c r="I1284" s="1" t="s">
        <v>281</v>
      </c>
      <c r="J1284" s="3">
        <v>110</v>
      </c>
      <c r="K1284" s="4">
        <f t="shared" si="82"/>
        <v>41.914342325864951</v>
      </c>
      <c r="L1284" s="1" t="str">
        <f t="shared" si="83"/>
        <v>Obesidade grau III - mórbida</v>
      </c>
      <c r="M1284" t="s">
        <v>26</v>
      </c>
    </row>
    <row r="1285" spans="1:13" x14ac:dyDescent="0.25">
      <c r="A1285">
        <v>1284</v>
      </c>
      <c r="B1285" t="s">
        <v>553</v>
      </c>
      <c r="C1285" s="2" t="s">
        <v>554</v>
      </c>
      <c r="D1285" s="2">
        <f t="shared" ca="1" si="80"/>
        <v>47</v>
      </c>
      <c r="E1285" t="s">
        <v>10</v>
      </c>
      <c r="F1285" t="s">
        <v>241</v>
      </c>
      <c r="G1285" t="s">
        <v>190</v>
      </c>
      <c r="H1285" t="str">
        <f t="shared" si="81"/>
        <v>Várzea Grande - MT</v>
      </c>
      <c r="I1285" s="1" t="s">
        <v>171</v>
      </c>
      <c r="J1285" s="3">
        <v>54</v>
      </c>
      <c r="K1285" s="4">
        <f t="shared" si="82"/>
        <v>19.362472659471475</v>
      </c>
      <c r="L1285" s="1" t="str">
        <f t="shared" si="83"/>
        <v>Peso ideal - parabéns</v>
      </c>
      <c r="M1285" t="s">
        <v>76</v>
      </c>
    </row>
    <row r="1286" spans="1:13" x14ac:dyDescent="0.25">
      <c r="A1286">
        <v>1285</v>
      </c>
      <c r="B1286" t="s">
        <v>967</v>
      </c>
      <c r="C1286" s="2" t="s">
        <v>968</v>
      </c>
      <c r="D1286" s="2">
        <f t="shared" ca="1" si="80"/>
        <v>32</v>
      </c>
      <c r="E1286" t="s">
        <v>10</v>
      </c>
      <c r="F1286" t="s">
        <v>439</v>
      </c>
      <c r="G1286" t="s">
        <v>190</v>
      </c>
      <c r="H1286" t="str">
        <f t="shared" si="81"/>
        <v>Rondonópolis - MT</v>
      </c>
      <c r="I1286" s="1" t="s">
        <v>694</v>
      </c>
      <c r="J1286" s="3">
        <v>64</v>
      </c>
      <c r="K1286" s="4">
        <f t="shared" si="82"/>
        <v>18.499248468030984</v>
      </c>
      <c r="L1286" s="1" t="str">
        <f t="shared" si="83"/>
        <v>Abaixo do peso</v>
      </c>
      <c r="M1286" t="s">
        <v>14</v>
      </c>
    </row>
    <row r="1287" spans="1:13" x14ac:dyDescent="0.25">
      <c r="A1287">
        <v>1286</v>
      </c>
      <c r="B1287" t="s">
        <v>1837</v>
      </c>
      <c r="C1287" s="2" t="s">
        <v>1838</v>
      </c>
      <c r="D1287" s="2">
        <f t="shared" ca="1" si="80"/>
        <v>75</v>
      </c>
      <c r="E1287" t="s">
        <v>10</v>
      </c>
      <c r="F1287" t="s">
        <v>1839</v>
      </c>
      <c r="G1287" t="s">
        <v>175</v>
      </c>
      <c r="H1287" t="str">
        <f t="shared" si="81"/>
        <v>Cabo de Santo Agostinho - PE</v>
      </c>
      <c r="I1287" s="1" t="s">
        <v>639</v>
      </c>
      <c r="J1287" s="3">
        <v>60</v>
      </c>
      <c r="K1287" s="4">
        <f t="shared" si="82"/>
        <v>15</v>
      </c>
      <c r="L1287" s="1" t="str">
        <f t="shared" si="83"/>
        <v>Muito abaixo do peso</v>
      </c>
      <c r="M1287" t="s">
        <v>26</v>
      </c>
    </row>
    <row r="1288" spans="1:13" x14ac:dyDescent="0.25">
      <c r="A1288">
        <v>1287</v>
      </c>
      <c r="B1288" t="s">
        <v>1624</v>
      </c>
      <c r="C1288" s="2" t="s">
        <v>1625</v>
      </c>
      <c r="D1288" s="2">
        <f t="shared" ca="1" si="80"/>
        <v>66</v>
      </c>
      <c r="E1288" t="s">
        <v>10</v>
      </c>
      <c r="F1288" t="s">
        <v>17</v>
      </c>
      <c r="G1288" t="s">
        <v>18</v>
      </c>
      <c r="H1288" t="str">
        <f t="shared" si="81"/>
        <v>Campo Grande - MS</v>
      </c>
      <c r="I1288" s="1" t="s">
        <v>201</v>
      </c>
      <c r="J1288" s="3">
        <v>87</v>
      </c>
      <c r="K1288" s="4">
        <f t="shared" si="82"/>
        <v>22.646813827571847</v>
      </c>
      <c r="L1288" s="1" t="str">
        <f t="shared" si="83"/>
        <v>Peso ideal - parabéns</v>
      </c>
      <c r="M1288" t="s">
        <v>83</v>
      </c>
    </row>
    <row r="1289" spans="1:13" x14ac:dyDescent="0.25">
      <c r="A1289">
        <v>1288</v>
      </c>
      <c r="B1289" t="s">
        <v>3250</v>
      </c>
      <c r="C1289" s="2" t="s">
        <v>2156</v>
      </c>
      <c r="D1289" s="2">
        <f t="shared" ca="1" si="80"/>
        <v>45</v>
      </c>
      <c r="E1289" t="s">
        <v>10</v>
      </c>
      <c r="F1289" t="s">
        <v>244</v>
      </c>
      <c r="G1289" t="s">
        <v>60</v>
      </c>
      <c r="H1289" t="str">
        <f t="shared" si="81"/>
        <v>Araguaína - TO</v>
      </c>
      <c r="I1289" s="1" t="s">
        <v>99</v>
      </c>
      <c r="J1289" s="3">
        <v>90</v>
      </c>
      <c r="K1289" s="4">
        <f t="shared" si="82"/>
        <v>23.913274524391539</v>
      </c>
      <c r="L1289" s="1" t="str">
        <f t="shared" si="83"/>
        <v>Peso ideal - parabéns</v>
      </c>
      <c r="M1289" t="s">
        <v>47</v>
      </c>
    </row>
    <row r="1290" spans="1:13" x14ac:dyDescent="0.25">
      <c r="A1290">
        <v>1289</v>
      </c>
      <c r="B1290" t="s">
        <v>2330</v>
      </c>
      <c r="C1290" s="2" t="s">
        <v>2331</v>
      </c>
      <c r="D1290" s="2">
        <f t="shared" ca="1" si="80"/>
        <v>36</v>
      </c>
      <c r="E1290" t="s">
        <v>10</v>
      </c>
      <c r="F1290" t="s">
        <v>89</v>
      </c>
      <c r="G1290" t="s">
        <v>12</v>
      </c>
      <c r="H1290" t="str">
        <f t="shared" si="81"/>
        <v>Fortaleza - CE</v>
      </c>
      <c r="I1290" s="1" t="s">
        <v>191</v>
      </c>
      <c r="J1290" s="3">
        <v>93</v>
      </c>
      <c r="K1290" s="4">
        <f t="shared" si="82"/>
        <v>36.328124999999993</v>
      </c>
      <c r="L1290" s="1" t="str">
        <f t="shared" si="83"/>
        <v>Obesidade grau II - severa</v>
      </c>
      <c r="M1290" t="s">
        <v>20</v>
      </c>
    </row>
    <row r="1291" spans="1:13" x14ac:dyDescent="0.25">
      <c r="A1291">
        <v>1290</v>
      </c>
      <c r="B1291" t="s">
        <v>2274</v>
      </c>
      <c r="C1291" s="2" t="s">
        <v>2275</v>
      </c>
      <c r="D1291" s="2">
        <f t="shared" ca="1" si="80"/>
        <v>75</v>
      </c>
      <c r="E1291" t="s">
        <v>10</v>
      </c>
      <c r="F1291" t="s">
        <v>760</v>
      </c>
      <c r="G1291" t="s">
        <v>310</v>
      </c>
      <c r="H1291" t="str">
        <f t="shared" si="81"/>
        <v>São Leopoldo - RS</v>
      </c>
      <c r="I1291" s="1" t="s">
        <v>31</v>
      </c>
      <c r="J1291" s="3">
        <v>96</v>
      </c>
      <c r="K1291" s="4">
        <f t="shared" si="82"/>
        <v>35.693039857227845</v>
      </c>
      <c r="L1291" s="1" t="str">
        <f t="shared" si="83"/>
        <v>Obesidade grau II - severa</v>
      </c>
      <c r="M1291" t="s">
        <v>14</v>
      </c>
    </row>
    <row r="1292" spans="1:13" x14ac:dyDescent="0.25">
      <c r="A1292">
        <v>1291</v>
      </c>
      <c r="B1292" t="s">
        <v>3753</v>
      </c>
      <c r="C1292" s="2" t="s">
        <v>3754</v>
      </c>
      <c r="D1292" s="2">
        <f t="shared" ca="1" si="80"/>
        <v>51</v>
      </c>
      <c r="E1292" t="s">
        <v>10</v>
      </c>
      <c r="F1292" t="s">
        <v>1880</v>
      </c>
      <c r="G1292" t="s">
        <v>18</v>
      </c>
      <c r="H1292" t="str">
        <f t="shared" si="81"/>
        <v>Dourados - MS</v>
      </c>
      <c r="I1292" s="1" t="s">
        <v>255</v>
      </c>
      <c r="J1292" s="3">
        <v>76</v>
      </c>
      <c r="K1292" s="4">
        <f t="shared" si="82"/>
        <v>19.191434559733338</v>
      </c>
      <c r="L1292" s="1" t="str">
        <f t="shared" si="83"/>
        <v>Peso ideal - parabéns</v>
      </c>
      <c r="M1292" t="s">
        <v>76</v>
      </c>
    </row>
    <row r="1293" spans="1:13" x14ac:dyDescent="0.25">
      <c r="A1293">
        <v>1292</v>
      </c>
      <c r="B1293" t="s">
        <v>1694</v>
      </c>
      <c r="C1293" s="2" t="s">
        <v>1695</v>
      </c>
      <c r="D1293" s="2">
        <f t="shared" ca="1" si="80"/>
        <v>27</v>
      </c>
      <c r="E1293" t="s">
        <v>10</v>
      </c>
      <c r="F1293" t="s">
        <v>208</v>
      </c>
      <c r="G1293" t="s">
        <v>30</v>
      </c>
      <c r="H1293" t="str">
        <f t="shared" si="81"/>
        <v>Ji-Paraná - RO</v>
      </c>
      <c r="I1293" s="1" t="s">
        <v>318</v>
      </c>
      <c r="J1293" s="3">
        <v>105</v>
      </c>
      <c r="K1293" s="4">
        <f t="shared" si="82"/>
        <v>28.483072916666668</v>
      </c>
      <c r="L1293" s="1" t="str">
        <f t="shared" si="83"/>
        <v>Levemente acima do peso</v>
      </c>
      <c r="M1293" t="s">
        <v>14</v>
      </c>
    </row>
    <row r="1294" spans="1:13" x14ac:dyDescent="0.25">
      <c r="A1294">
        <v>1293</v>
      </c>
      <c r="B1294" t="s">
        <v>3422</v>
      </c>
      <c r="C1294" s="2" t="s">
        <v>3423</v>
      </c>
      <c r="D1294" s="2">
        <f t="shared" ca="1" si="80"/>
        <v>65</v>
      </c>
      <c r="E1294" t="s">
        <v>10</v>
      </c>
      <c r="F1294" t="s">
        <v>3424</v>
      </c>
      <c r="G1294" t="s">
        <v>41</v>
      </c>
      <c r="H1294" t="str">
        <f t="shared" si="81"/>
        <v>Bayeux - PB</v>
      </c>
      <c r="I1294" s="1" t="s">
        <v>255</v>
      </c>
      <c r="J1294" s="3">
        <v>67</v>
      </c>
      <c r="K1294" s="4">
        <f t="shared" si="82"/>
        <v>16.918764677659656</v>
      </c>
      <c r="L1294" s="1" t="str">
        <f t="shared" si="83"/>
        <v>Muito abaixo do peso</v>
      </c>
      <c r="M1294" t="s">
        <v>83</v>
      </c>
    </row>
    <row r="1295" spans="1:13" x14ac:dyDescent="0.25">
      <c r="A1295">
        <v>1294</v>
      </c>
      <c r="B1295" t="s">
        <v>3490</v>
      </c>
      <c r="C1295" s="2" t="s">
        <v>3491</v>
      </c>
      <c r="D1295" s="2">
        <f t="shared" ca="1" si="80"/>
        <v>24</v>
      </c>
      <c r="E1295" t="s">
        <v>10</v>
      </c>
      <c r="F1295" t="s">
        <v>208</v>
      </c>
      <c r="G1295" t="s">
        <v>30</v>
      </c>
      <c r="H1295" t="str">
        <f t="shared" si="81"/>
        <v>Ji-Paraná - RO</v>
      </c>
      <c r="I1295" s="1" t="s">
        <v>262</v>
      </c>
      <c r="J1295" s="3">
        <v>75</v>
      </c>
      <c r="K1295" s="4">
        <f t="shared" si="82"/>
        <v>20.775623268698062</v>
      </c>
      <c r="L1295" s="1" t="str">
        <f t="shared" si="83"/>
        <v>Peso ideal - parabéns</v>
      </c>
      <c r="M1295" t="s">
        <v>32</v>
      </c>
    </row>
    <row r="1296" spans="1:13" x14ac:dyDescent="0.25">
      <c r="A1296">
        <v>1295</v>
      </c>
      <c r="B1296" t="s">
        <v>458</v>
      </c>
      <c r="C1296" s="2" t="s">
        <v>459</v>
      </c>
      <c r="D1296" s="2">
        <f t="shared" ca="1" si="80"/>
        <v>64</v>
      </c>
      <c r="E1296" t="s">
        <v>10</v>
      </c>
      <c r="F1296" t="s">
        <v>439</v>
      </c>
      <c r="G1296" t="s">
        <v>190</v>
      </c>
      <c r="H1296" t="str">
        <f t="shared" si="81"/>
        <v>Rondonópolis - MT</v>
      </c>
      <c r="I1296" s="1" t="s">
        <v>179</v>
      </c>
      <c r="J1296" s="3">
        <v>52</v>
      </c>
      <c r="K1296" s="4">
        <f t="shared" si="82"/>
        <v>17.175320385784119</v>
      </c>
      <c r="L1296" s="1" t="str">
        <f t="shared" si="83"/>
        <v>Abaixo do peso</v>
      </c>
      <c r="M1296" t="s">
        <v>95</v>
      </c>
    </row>
    <row r="1297" spans="1:13" x14ac:dyDescent="0.25">
      <c r="A1297">
        <v>1296</v>
      </c>
      <c r="B1297" t="s">
        <v>4121</v>
      </c>
      <c r="C1297" s="2" t="s">
        <v>4122</v>
      </c>
      <c r="D1297" s="2">
        <f t="shared" ca="1" si="80"/>
        <v>36</v>
      </c>
      <c r="E1297" t="s">
        <v>10</v>
      </c>
      <c r="F1297" t="s">
        <v>876</v>
      </c>
      <c r="G1297" t="s">
        <v>310</v>
      </c>
      <c r="H1297" t="str">
        <f t="shared" si="81"/>
        <v>Caxias do Sul - RS</v>
      </c>
      <c r="I1297" s="1" t="s">
        <v>155</v>
      </c>
      <c r="J1297" s="3">
        <v>67</v>
      </c>
      <c r="K1297" s="4">
        <f t="shared" si="82"/>
        <v>20.227025721531216</v>
      </c>
      <c r="L1297" s="1" t="str">
        <f t="shared" si="83"/>
        <v>Peso ideal - parabéns</v>
      </c>
      <c r="M1297" t="s">
        <v>47</v>
      </c>
    </row>
    <row r="1298" spans="1:13" x14ac:dyDescent="0.25">
      <c r="A1298">
        <v>1297</v>
      </c>
      <c r="B1298" t="s">
        <v>295</v>
      </c>
      <c r="C1298" s="2" t="s">
        <v>296</v>
      </c>
      <c r="D1298" s="2">
        <f t="shared" ca="1" si="80"/>
        <v>47</v>
      </c>
      <c r="E1298" t="s">
        <v>10</v>
      </c>
      <c r="F1298" t="s">
        <v>158</v>
      </c>
      <c r="G1298" t="s">
        <v>159</v>
      </c>
      <c r="H1298" t="str">
        <f t="shared" si="81"/>
        <v>Brasília - DF</v>
      </c>
      <c r="I1298" s="1" t="s">
        <v>191</v>
      </c>
      <c r="J1298" s="3">
        <v>56</v>
      </c>
      <c r="K1298" s="4">
        <f t="shared" si="82"/>
        <v>21.874999999999996</v>
      </c>
      <c r="L1298" s="1" t="str">
        <f t="shared" si="83"/>
        <v>Peso ideal - parabéns</v>
      </c>
      <c r="M1298" t="s">
        <v>95</v>
      </c>
    </row>
    <row r="1299" spans="1:13" x14ac:dyDescent="0.25">
      <c r="A1299">
        <v>1298</v>
      </c>
      <c r="B1299" t="s">
        <v>3258</v>
      </c>
      <c r="C1299" s="2" t="s">
        <v>3259</v>
      </c>
      <c r="D1299" s="2">
        <f t="shared" ca="1" si="80"/>
        <v>31</v>
      </c>
      <c r="E1299" t="s">
        <v>10</v>
      </c>
      <c r="F1299" t="s">
        <v>1105</v>
      </c>
      <c r="G1299" t="s">
        <v>310</v>
      </c>
      <c r="H1299" t="str">
        <f t="shared" si="81"/>
        <v>Novo Hamburgo - RS</v>
      </c>
      <c r="I1299" s="1" t="s">
        <v>86</v>
      </c>
      <c r="J1299" s="3">
        <v>72</v>
      </c>
      <c r="K1299" s="4">
        <f t="shared" si="82"/>
        <v>21.977351118708221</v>
      </c>
      <c r="L1299" s="1" t="str">
        <f t="shared" si="83"/>
        <v>Peso ideal - parabéns</v>
      </c>
      <c r="M1299" t="s">
        <v>14</v>
      </c>
    </row>
    <row r="1300" spans="1:13" x14ac:dyDescent="0.25">
      <c r="A1300">
        <v>1299</v>
      </c>
      <c r="B1300" t="s">
        <v>1321</v>
      </c>
      <c r="C1300" s="2" t="s">
        <v>1322</v>
      </c>
      <c r="D1300" s="2">
        <f t="shared" ca="1" si="80"/>
        <v>78</v>
      </c>
      <c r="E1300" t="s">
        <v>10</v>
      </c>
      <c r="F1300" t="s">
        <v>1323</v>
      </c>
      <c r="G1300" t="s">
        <v>131</v>
      </c>
      <c r="H1300" t="str">
        <f t="shared" si="81"/>
        <v>São Bento do Sul - SC</v>
      </c>
      <c r="I1300" s="1" t="s">
        <v>66</v>
      </c>
      <c r="J1300" s="3">
        <v>85</v>
      </c>
      <c r="K1300" s="4">
        <f t="shared" si="82"/>
        <v>24.049343594386603</v>
      </c>
      <c r="L1300" s="1" t="str">
        <f t="shared" si="83"/>
        <v>Peso ideal - parabéns</v>
      </c>
      <c r="M1300" t="s">
        <v>95</v>
      </c>
    </row>
    <row r="1301" spans="1:13" x14ac:dyDescent="0.25">
      <c r="A1301">
        <v>1300</v>
      </c>
      <c r="B1301" t="s">
        <v>3385</v>
      </c>
      <c r="C1301" s="2" t="s">
        <v>3386</v>
      </c>
      <c r="D1301" s="2">
        <f t="shared" ca="1" si="80"/>
        <v>51</v>
      </c>
      <c r="E1301" t="s">
        <v>10</v>
      </c>
      <c r="F1301" t="s">
        <v>321</v>
      </c>
      <c r="G1301" t="s">
        <v>273</v>
      </c>
      <c r="H1301" t="str">
        <f t="shared" si="81"/>
        <v>Cariacica - ES</v>
      </c>
      <c r="I1301" s="1" t="s">
        <v>194</v>
      </c>
      <c r="J1301" s="3">
        <v>108</v>
      </c>
      <c r="K1301" s="4">
        <f t="shared" si="82"/>
        <v>31.555880204528851</v>
      </c>
      <c r="L1301" s="1" t="str">
        <f t="shared" si="83"/>
        <v>Obesidade grau I</v>
      </c>
      <c r="M1301" t="s">
        <v>47</v>
      </c>
    </row>
    <row r="1302" spans="1:13" x14ac:dyDescent="0.25">
      <c r="A1302">
        <v>1301</v>
      </c>
      <c r="B1302" t="s">
        <v>3222</v>
      </c>
      <c r="C1302" s="2" t="s">
        <v>3223</v>
      </c>
      <c r="D1302" s="2">
        <f t="shared" ca="1" si="80"/>
        <v>24</v>
      </c>
      <c r="E1302" t="s">
        <v>10</v>
      </c>
      <c r="F1302" t="s">
        <v>135</v>
      </c>
      <c r="G1302" t="s">
        <v>75</v>
      </c>
      <c r="H1302" t="str">
        <f t="shared" si="81"/>
        <v>Santana - AP</v>
      </c>
      <c r="I1302" s="1" t="s">
        <v>160</v>
      </c>
      <c r="J1302" s="3">
        <v>98</v>
      </c>
      <c r="K1302" s="4">
        <f t="shared" si="82"/>
        <v>28.946124763705104</v>
      </c>
      <c r="L1302" s="1" t="str">
        <f t="shared" si="83"/>
        <v>Levemente acima do peso</v>
      </c>
      <c r="M1302" t="s">
        <v>95</v>
      </c>
    </row>
    <row r="1303" spans="1:13" x14ac:dyDescent="0.25">
      <c r="A1303">
        <v>1302</v>
      </c>
      <c r="B1303" t="s">
        <v>1076</v>
      </c>
      <c r="C1303" s="2" t="s">
        <v>1077</v>
      </c>
      <c r="D1303" s="2">
        <f t="shared" ca="1" si="80"/>
        <v>67</v>
      </c>
      <c r="E1303" t="s">
        <v>10</v>
      </c>
      <c r="F1303" t="s">
        <v>169</v>
      </c>
      <c r="G1303" t="s">
        <v>170</v>
      </c>
      <c r="H1303" t="str">
        <f t="shared" si="81"/>
        <v>Maceió - AL</v>
      </c>
      <c r="I1303" s="1" t="s">
        <v>117</v>
      </c>
      <c r="J1303" s="3">
        <v>96</v>
      </c>
      <c r="K1303" s="4">
        <f t="shared" si="82"/>
        <v>30.299204645878046</v>
      </c>
      <c r="L1303" s="1" t="str">
        <f t="shared" si="83"/>
        <v>Obesidade grau I</v>
      </c>
      <c r="M1303" t="s">
        <v>95</v>
      </c>
    </row>
    <row r="1304" spans="1:13" x14ac:dyDescent="0.25">
      <c r="A1304">
        <v>1303</v>
      </c>
      <c r="B1304" t="s">
        <v>1530</v>
      </c>
      <c r="C1304" s="2" t="s">
        <v>1531</v>
      </c>
      <c r="D1304" s="2">
        <f t="shared" ca="1" si="80"/>
        <v>39</v>
      </c>
      <c r="E1304" t="s">
        <v>10</v>
      </c>
      <c r="F1304" t="s">
        <v>509</v>
      </c>
      <c r="G1304" t="s">
        <v>186</v>
      </c>
      <c r="H1304" t="str">
        <f t="shared" si="81"/>
        <v>Contagem - MG</v>
      </c>
      <c r="I1304" s="1" t="s">
        <v>400</v>
      </c>
      <c r="J1304" s="3">
        <v>93</v>
      </c>
      <c r="K1304" s="4">
        <f t="shared" si="82"/>
        <v>28.703703703703702</v>
      </c>
      <c r="L1304" s="1" t="str">
        <f t="shared" si="83"/>
        <v>Levemente acima do peso</v>
      </c>
      <c r="M1304" t="s">
        <v>95</v>
      </c>
    </row>
    <row r="1305" spans="1:13" x14ac:dyDescent="0.25">
      <c r="A1305">
        <v>1304</v>
      </c>
      <c r="B1305" t="s">
        <v>3633</v>
      </c>
      <c r="C1305" s="2" t="s">
        <v>3634</v>
      </c>
      <c r="D1305" s="2">
        <f t="shared" ca="1" si="80"/>
        <v>74</v>
      </c>
      <c r="E1305" t="s">
        <v>10</v>
      </c>
      <c r="F1305" t="s">
        <v>3635</v>
      </c>
      <c r="G1305" t="s">
        <v>186</v>
      </c>
      <c r="H1305" t="str">
        <f t="shared" si="81"/>
        <v>Santana do Riacho - MG</v>
      </c>
      <c r="I1305" s="1" t="s">
        <v>148</v>
      </c>
      <c r="J1305" s="3">
        <v>86</v>
      </c>
      <c r="K1305" s="4">
        <f t="shared" si="82"/>
        <v>22.616699539776466</v>
      </c>
      <c r="L1305" s="1" t="str">
        <f t="shared" si="83"/>
        <v>Peso ideal - parabéns</v>
      </c>
      <c r="M1305" t="s">
        <v>83</v>
      </c>
    </row>
    <row r="1306" spans="1:13" x14ac:dyDescent="0.25">
      <c r="A1306">
        <v>1305</v>
      </c>
      <c r="B1306" t="s">
        <v>1110</v>
      </c>
      <c r="C1306" s="2" t="s">
        <v>1111</v>
      </c>
      <c r="D1306" s="2">
        <f t="shared" ca="1" si="80"/>
        <v>25</v>
      </c>
      <c r="E1306" t="s">
        <v>10</v>
      </c>
      <c r="F1306" t="s">
        <v>107</v>
      </c>
      <c r="G1306" t="s">
        <v>36</v>
      </c>
      <c r="H1306" t="str">
        <f t="shared" si="81"/>
        <v>São Luís - MA</v>
      </c>
      <c r="I1306" s="1" t="s">
        <v>104</v>
      </c>
      <c r="J1306" s="3">
        <v>82</v>
      </c>
      <c r="K1306" s="4">
        <f t="shared" si="82"/>
        <v>28.373702422145332</v>
      </c>
      <c r="L1306" s="1" t="str">
        <f t="shared" si="83"/>
        <v>Levemente acima do peso</v>
      </c>
      <c r="M1306" t="s">
        <v>95</v>
      </c>
    </row>
    <row r="1307" spans="1:13" x14ac:dyDescent="0.25">
      <c r="A1307">
        <v>1306</v>
      </c>
      <c r="B1307" t="s">
        <v>1220</v>
      </c>
      <c r="C1307" s="2" t="s">
        <v>1221</v>
      </c>
      <c r="D1307" s="2">
        <f t="shared" ca="1" si="80"/>
        <v>33</v>
      </c>
      <c r="E1307" t="s">
        <v>10</v>
      </c>
      <c r="F1307" t="s">
        <v>241</v>
      </c>
      <c r="G1307" t="s">
        <v>190</v>
      </c>
      <c r="H1307" t="str">
        <f t="shared" si="81"/>
        <v>Várzea Grande - MT</v>
      </c>
      <c r="I1307" s="1" t="s">
        <v>123</v>
      </c>
      <c r="J1307" s="3">
        <v>88</v>
      </c>
      <c r="K1307" s="4">
        <f t="shared" si="82"/>
        <v>28.40909090909091</v>
      </c>
      <c r="L1307" s="1" t="str">
        <f t="shared" si="83"/>
        <v>Levemente acima do peso</v>
      </c>
      <c r="M1307" t="s">
        <v>95</v>
      </c>
    </row>
    <row r="1308" spans="1:13" x14ac:dyDescent="0.25">
      <c r="A1308">
        <v>1307</v>
      </c>
      <c r="B1308" t="s">
        <v>114</v>
      </c>
      <c r="C1308" s="2" t="s">
        <v>115</v>
      </c>
      <c r="D1308" s="2">
        <f t="shared" ca="1" si="80"/>
        <v>70</v>
      </c>
      <c r="E1308" t="s">
        <v>10</v>
      </c>
      <c r="F1308" t="s">
        <v>116</v>
      </c>
      <c r="G1308" t="s">
        <v>51</v>
      </c>
      <c r="H1308" t="str">
        <f t="shared" si="81"/>
        <v>Cabo Frio - RJ</v>
      </c>
      <c r="I1308" s="1" t="s">
        <v>117</v>
      </c>
      <c r="J1308" s="3">
        <v>84</v>
      </c>
      <c r="K1308" s="4">
        <f t="shared" si="82"/>
        <v>26.511804065143288</v>
      </c>
      <c r="L1308" s="1" t="str">
        <f t="shared" si="83"/>
        <v>Levemente acima do peso</v>
      </c>
      <c r="M1308" t="s">
        <v>32</v>
      </c>
    </row>
    <row r="1309" spans="1:13" x14ac:dyDescent="0.25">
      <c r="A1309">
        <v>1308</v>
      </c>
      <c r="B1309" t="s">
        <v>3169</v>
      </c>
      <c r="C1309" s="2" t="s">
        <v>3170</v>
      </c>
      <c r="D1309" s="2">
        <f t="shared" ca="1" si="80"/>
        <v>20</v>
      </c>
      <c r="E1309" t="s">
        <v>10</v>
      </c>
      <c r="F1309" t="s">
        <v>153</v>
      </c>
      <c r="G1309" t="s">
        <v>154</v>
      </c>
      <c r="H1309" t="str">
        <f t="shared" si="81"/>
        <v>Manaus - AM</v>
      </c>
      <c r="I1309" s="1" t="s">
        <v>66</v>
      </c>
      <c r="J1309" s="3">
        <v>90</v>
      </c>
      <c r="K1309" s="4">
        <f t="shared" si="82"/>
        <v>25.464010864644639</v>
      </c>
      <c r="L1309" s="1" t="str">
        <f t="shared" si="83"/>
        <v>Levemente acima do peso</v>
      </c>
      <c r="M1309" t="s">
        <v>26</v>
      </c>
    </row>
    <row r="1310" spans="1:13" x14ac:dyDescent="0.25">
      <c r="A1310">
        <v>1309</v>
      </c>
      <c r="B1310" t="s">
        <v>3056</v>
      </c>
      <c r="C1310" s="2" t="s">
        <v>3057</v>
      </c>
      <c r="D1310" s="2">
        <f t="shared" ca="1" si="80"/>
        <v>33</v>
      </c>
      <c r="E1310" t="s">
        <v>23</v>
      </c>
      <c r="F1310" t="s">
        <v>153</v>
      </c>
      <c r="G1310" t="s">
        <v>154</v>
      </c>
      <c r="H1310" t="str">
        <f t="shared" si="81"/>
        <v>Manaus - AM</v>
      </c>
      <c r="I1310" s="1" t="s">
        <v>86</v>
      </c>
      <c r="J1310" s="3">
        <v>71</v>
      </c>
      <c r="K1310" s="4">
        <f t="shared" si="82"/>
        <v>21.672110130948383</v>
      </c>
      <c r="L1310" s="1" t="str">
        <f t="shared" si="83"/>
        <v>Peso ideal - parabéns</v>
      </c>
      <c r="M1310" t="s">
        <v>26</v>
      </c>
    </row>
    <row r="1311" spans="1:13" x14ac:dyDescent="0.25">
      <c r="A1311">
        <v>1310</v>
      </c>
      <c r="B1311" t="s">
        <v>1670</v>
      </c>
      <c r="C1311" s="2" t="s">
        <v>1671</v>
      </c>
      <c r="D1311" s="2">
        <f t="shared" ca="1" si="80"/>
        <v>37</v>
      </c>
      <c r="E1311" t="s">
        <v>23</v>
      </c>
      <c r="F1311" t="s">
        <v>17</v>
      </c>
      <c r="G1311" t="s">
        <v>18</v>
      </c>
      <c r="H1311" t="str">
        <f t="shared" si="81"/>
        <v>Campo Grande - MS</v>
      </c>
      <c r="I1311" s="1" t="s">
        <v>205</v>
      </c>
      <c r="J1311" s="3">
        <v>53</v>
      </c>
      <c r="K1311" s="4">
        <f t="shared" si="82"/>
        <v>22.64086462471699</v>
      </c>
      <c r="L1311" s="1" t="str">
        <f t="shared" si="83"/>
        <v>Peso ideal - parabéns</v>
      </c>
      <c r="M1311" t="s">
        <v>14</v>
      </c>
    </row>
    <row r="1312" spans="1:13" x14ac:dyDescent="0.25">
      <c r="A1312">
        <v>1311</v>
      </c>
      <c r="B1312" t="s">
        <v>3319</v>
      </c>
      <c r="C1312" s="2" t="s">
        <v>3320</v>
      </c>
      <c r="D1312" s="2">
        <f t="shared" ca="1" si="80"/>
        <v>73</v>
      </c>
      <c r="E1312" t="s">
        <v>23</v>
      </c>
      <c r="F1312" t="s">
        <v>153</v>
      </c>
      <c r="G1312" t="s">
        <v>154</v>
      </c>
      <c r="H1312" t="str">
        <f t="shared" si="81"/>
        <v>Manaus - AM</v>
      </c>
      <c r="I1312" s="1" t="s">
        <v>42</v>
      </c>
      <c r="J1312" s="3">
        <v>55</v>
      </c>
      <c r="K1312" s="4">
        <f t="shared" si="82"/>
        <v>17.165506694547613</v>
      </c>
      <c r="L1312" s="1" t="str">
        <f t="shared" si="83"/>
        <v>Abaixo do peso</v>
      </c>
      <c r="M1312" t="s">
        <v>26</v>
      </c>
    </row>
    <row r="1313" spans="1:13" x14ac:dyDescent="0.25">
      <c r="A1313">
        <v>1312</v>
      </c>
      <c r="B1313" t="s">
        <v>869</v>
      </c>
      <c r="C1313" s="2" t="s">
        <v>870</v>
      </c>
      <c r="D1313" s="2">
        <f t="shared" ca="1" si="80"/>
        <v>46</v>
      </c>
      <c r="E1313" t="s">
        <v>23</v>
      </c>
      <c r="F1313" t="s">
        <v>457</v>
      </c>
      <c r="G1313" t="s">
        <v>41</v>
      </c>
      <c r="H1313" t="str">
        <f t="shared" si="81"/>
        <v>João Pessoa - PB</v>
      </c>
      <c r="I1313" s="1" t="s">
        <v>247</v>
      </c>
      <c r="J1313" s="3">
        <v>85</v>
      </c>
      <c r="K1313" s="4">
        <f t="shared" si="82"/>
        <v>37.777777777777779</v>
      </c>
      <c r="L1313" s="1" t="str">
        <f t="shared" si="83"/>
        <v>Obesidade grau II - severa</v>
      </c>
      <c r="M1313" t="s">
        <v>32</v>
      </c>
    </row>
    <row r="1314" spans="1:13" x14ac:dyDescent="0.25">
      <c r="A1314">
        <v>1313</v>
      </c>
      <c r="B1314" t="s">
        <v>2111</v>
      </c>
      <c r="C1314" s="2" t="s">
        <v>2112</v>
      </c>
      <c r="D1314" s="2">
        <f t="shared" ca="1" si="80"/>
        <v>52</v>
      </c>
      <c r="E1314" t="s">
        <v>23</v>
      </c>
      <c r="F1314" t="s">
        <v>1901</v>
      </c>
      <c r="G1314" t="s">
        <v>51</v>
      </c>
      <c r="H1314" t="str">
        <f t="shared" si="81"/>
        <v>Três Rios - RJ</v>
      </c>
      <c r="I1314" s="1" t="s">
        <v>447</v>
      </c>
      <c r="J1314" s="3">
        <v>56</v>
      </c>
      <c r="K1314" s="4">
        <f t="shared" si="82"/>
        <v>18.285714285714285</v>
      </c>
      <c r="L1314" s="1" t="str">
        <f t="shared" si="83"/>
        <v>Abaixo do peso</v>
      </c>
      <c r="M1314" t="s">
        <v>20</v>
      </c>
    </row>
    <row r="1315" spans="1:13" x14ac:dyDescent="0.25">
      <c r="A1315">
        <v>1314</v>
      </c>
      <c r="B1315" t="s">
        <v>3728</v>
      </c>
      <c r="C1315" s="2" t="s">
        <v>3082</v>
      </c>
      <c r="D1315" s="2">
        <f t="shared" ca="1" si="80"/>
        <v>56</v>
      </c>
      <c r="E1315" t="s">
        <v>23</v>
      </c>
      <c r="F1315" t="s">
        <v>733</v>
      </c>
      <c r="G1315" t="s">
        <v>310</v>
      </c>
      <c r="H1315" t="str">
        <f t="shared" si="81"/>
        <v>Porto Alegre - RS</v>
      </c>
      <c r="I1315" s="1" t="s">
        <v>198</v>
      </c>
      <c r="J1315" s="3">
        <v>86</v>
      </c>
      <c r="K1315" s="4">
        <f t="shared" si="82"/>
        <v>34.889853543754306</v>
      </c>
      <c r="L1315" s="1" t="str">
        <f t="shared" si="83"/>
        <v>Obesidade grau I</v>
      </c>
      <c r="M1315" t="s">
        <v>76</v>
      </c>
    </row>
    <row r="1316" spans="1:13" x14ac:dyDescent="0.25">
      <c r="A1316">
        <v>1315</v>
      </c>
      <c r="B1316" t="s">
        <v>810</v>
      </c>
      <c r="C1316" s="2" t="s">
        <v>811</v>
      </c>
      <c r="D1316" s="2">
        <f t="shared" ca="1" si="80"/>
        <v>67</v>
      </c>
      <c r="E1316" t="s">
        <v>23</v>
      </c>
      <c r="F1316" t="s">
        <v>107</v>
      </c>
      <c r="G1316" t="s">
        <v>36</v>
      </c>
      <c r="H1316" t="str">
        <f t="shared" si="81"/>
        <v>São Luís - MA</v>
      </c>
      <c r="I1316" s="1" t="s">
        <v>575</v>
      </c>
      <c r="J1316" s="3">
        <v>89</v>
      </c>
      <c r="K1316" s="4">
        <f t="shared" si="82"/>
        <v>35.204303627229933</v>
      </c>
      <c r="L1316" s="1" t="str">
        <f t="shared" si="83"/>
        <v>Obesidade grau II - severa</v>
      </c>
      <c r="M1316" t="s">
        <v>95</v>
      </c>
    </row>
    <row r="1317" spans="1:13" x14ac:dyDescent="0.25">
      <c r="A1317">
        <v>1316</v>
      </c>
      <c r="B1317" t="s">
        <v>942</v>
      </c>
      <c r="C1317" s="2" t="s">
        <v>943</v>
      </c>
      <c r="D1317" s="2">
        <f t="shared" ca="1" si="80"/>
        <v>64</v>
      </c>
      <c r="E1317" t="s">
        <v>23</v>
      </c>
      <c r="F1317" t="s">
        <v>944</v>
      </c>
      <c r="G1317" t="s">
        <v>55</v>
      </c>
      <c r="H1317" t="str">
        <f t="shared" si="81"/>
        <v>Cascavel - PR</v>
      </c>
      <c r="I1317" s="1" t="s">
        <v>209</v>
      </c>
      <c r="J1317" s="3">
        <v>64</v>
      </c>
      <c r="K1317" s="4">
        <f t="shared" si="82"/>
        <v>26.986001011975038</v>
      </c>
      <c r="L1317" s="1" t="str">
        <f t="shared" si="83"/>
        <v>Levemente acima do peso</v>
      </c>
      <c r="M1317" t="s">
        <v>20</v>
      </c>
    </row>
    <row r="1318" spans="1:13" x14ac:dyDescent="0.25">
      <c r="A1318">
        <v>1317</v>
      </c>
      <c r="B1318" t="s">
        <v>3765</v>
      </c>
      <c r="C1318" s="2" t="s">
        <v>3766</v>
      </c>
      <c r="D1318" s="2">
        <f t="shared" ca="1" si="80"/>
        <v>72</v>
      </c>
      <c r="E1318" t="s">
        <v>23</v>
      </c>
      <c r="F1318" t="s">
        <v>564</v>
      </c>
      <c r="G1318" t="s">
        <v>565</v>
      </c>
      <c r="H1318" t="str">
        <f t="shared" si="81"/>
        <v>Rio Branco - AC</v>
      </c>
      <c r="I1318" s="1" t="s">
        <v>575</v>
      </c>
      <c r="J1318" s="3">
        <v>58</v>
      </c>
      <c r="K1318" s="4">
        <f t="shared" si="82"/>
        <v>22.942130453700404</v>
      </c>
      <c r="L1318" s="1" t="str">
        <f t="shared" si="83"/>
        <v>Peso ideal - parabéns</v>
      </c>
      <c r="M1318" t="s">
        <v>14</v>
      </c>
    </row>
    <row r="1319" spans="1:13" x14ac:dyDescent="0.25">
      <c r="A1319">
        <v>1318</v>
      </c>
      <c r="B1319" t="s">
        <v>3765</v>
      </c>
      <c r="C1319" s="2" t="s">
        <v>3766</v>
      </c>
      <c r="D1319" s="2">
        <f t="shared" ca="1" si="80"/>
        <v>72</v>
      </c>
      <c r="E1319" t="s">
        <v>23</v>
      </c>
      <c r="F1319" t="s">
        <v>564</v>
      </c>
      <c r="G1319" t="s">
        <v>565</v>
      </c>
      <c r="H1319" t="str">
        <f t="shared" si="81"/>
        <v>Rio Branco - AC</v>
      </c>
      <c r="I1319" s="1" t="s">
        <v>575</v>
      </c>
      <c r="J1319" s="3">
        <v>58</v>
      </c>
      <c r="K1319" s="4">
        <f t="shared" si="82"/>
        <v>22.942130453700404</v>
      </c>
      <c r="L1319" s="1" t="str">
        <f t="shared" si="83"/>
        <v>Peso ideal - parabéns</v>
      </c>
      <c r="M1319" t="s">
        <v>14</v>
      </c>
    </row>
    <row r="1320" spans="1:13" x14ac:dyDescent="0.25">
      <c r="A1320">
        <v>1319</v>
      </c>
      <c r="B1320" t="s">
        <v>3352</v>
      </c>
      <c r="C1320" s="2" t="s">
        <v>3353</v>
      </c>
      <c r="D1320" s="2">
        <f t="shared" ca="1" si="80"/>
        <v>28</v>
      </c>
      <c r="E1320" t="s">
        <v>23</v>
      </c>
      <c r="F1320" t="s">
        <v>126</v>
      </c>
      <c r="G1320" t="s">
        <v>127</v>
      </c>
      <c r="H1320" t="str">
        <f t="shared" si="81"/>
        <v>Boa Vista - RR</v>
      </c>
      <c r="I1320" s="1" t="s">
        <v>171</v>
      </c>
      <c r="J1320" s="3">
        <v>48</v>
      </c>
      <c r="K1320" s="4">
        <f t="shared" si="82"/>
        <v>17.21108680841909</v>
      </c>
      <c r="L1320" s="1" t="str">
        <f t="shared" si="83"/>
        <v>Abaixo do peso</v>
      </c>
      <c r="M1320" t="s">
        <v>47</v>
      </c>
    </row>
    <row r="1321" spans="1:13" x14ac:dyDescent="0.25">
      <c r="A1321">
        <v>1320</v>
      </c>
      <c r="B1321" t="s">
        <v>686</v>
      </c>
      <c r="C1321" s="2" t="s">
        <v>687</v>
      </c>
      <c r="D1321" s="2">
        <f t="shared" ca="1" si="80"/>
        <v>69</v>
      </c>
      <c r="E1321" t="s">
        <v>23</v>
      </c>
      <c r="F1321" t="s">
        <v>236</v>
      </c>
      <c r="G1321" t="s">
        <v>237</v>
      </c>
      <c r="H1321" t="str">
        <f t="shared" si="81"/>
        <v>Teresina - PI</v>
      </c>
      <c r="I1321" s="1" t="s">
        <v>281</v>
      </c>
      <c r="J1321" s="3">
        <v>83</v>
      </c>
      <c r="K1321" s="4">
        <f t="shared" si="82"/>
        <v>31.626276482243554</v>
      </c>
      <c r="L1321" s="1" t="str">
        <f t="shared" si="83"/>
        <v>Obesidade grau I</v>
      </c>
      <c r="M1321" t="s">
        <v>32</v>
      </c>
    </row>
    <row r="1322" spans="1:13" x14ac:dyDescent="0.25">
      <c r="A1322">
        <v>1321</v>
      </c>
      <c r="B1322" t="s">
        <v>3831</v>
      </c>
      <c r="C1322" s="2" t="s">
        <v>3314</v>
      </c>
      <c r="D1322" s="2">
        <f t="shared" ca="1" si="80"/>
        <v>25</v>
      </c>
      <c r="E1322" t="s">
        <v>23</v>
      </c>
      <c r="F1322" t="s">
        <v>415</v>
      </c>
      <c r="G1322" t="s">
        <v>310</v>
      </c>
      <c r="H1322" t="str">
        <f t="shared" si="81"/>
        <v>Sapucaia do Sul - RS</v>
      </c>
      <c r="I1322" s="1" t="s">
        <v>484</v>
      </c>
      <c r="J1322" s="3">
        <v>84</v>
      </c>
      <c r="K1322" s="4">
        <f t="shared" si="82"/>
        <v>34.963579604578563</v>
      </c>
      <c r="L1322" s="1" t="str">
        <f t="shared" si="83"/>
        <v>Obesidade grau I</v>
      </c>
      <c r="M1322" t="s">
        <v>95</v>
      </c>
    </row>
    <row r="1323" spans="1:13" x14ac:dyDescent="0.25">
      <c r="A1323">
        <v>1322</v>
      </c>
      <c r="B1323" t="s">
        <v>510</v>
      </c>
      <c r="C1323" s="2" t="s">
        <v>511</v>
      </c>
      <c r="D1323" s="2">
        <f t="shared" ca="1" si="80"/>
        <v>30</v>
      </c>
      <c r="E1323" t="s">
        <v>23</v>
      </c>
      <c r="F1323" t="s">
        <v>153</v>
      </c>
      <c r="G1323" t="s">
        <v>154</v>
      </c>
      <c r="H1323" t="str">
        <f t="shared" si="81"/>
        <v>Manaus - AM</v>
      </c>
      <c r="I1323" s="1" t="s">
        <v>286</v>
      </c>
      <c r="J1323" s="3">
        <v>82</v>
      </c>
      <c r="K1323" s="4">
        <f t="shared" si="82"/>
        <v>30.119375573921033</v>
      </c>
      <c r="L1323" s="1" t="str">
        <f t="shared" si="83"/>
        <v>Obesidade grau I</v>
      </c>
      <c r="M1323" t="s">
        <v>20</v>
      </c>
    </row>
    <row r="1324" spans="1:13" x14ac:dyDescent="0.25">
      <c r="A1324">
        <v>1323</v>
      </c>
      <c r="B1324" t="s">
        <v>3474</v>
      </c>
      <c r="C1324" s="2" t="s">
        <v>3475</v>
      </c>
      <c r="D1324" s="2">
        <f t="shared" ca="1" si="80"/>
        <v>78</v>
      </c>
      <c r="E1324" t="s">
        <v>23</v>
      </c>
      <c r="F1324" t="s">
        <v>158</v>
      </c>
      <c r="G1324" t="s">
        <v>159</v>
      </c>
      <c r="H1324" t="str">
        <f t="shared" si="81"/>
        <v>Brasília - DF</v>
      </c>
      <c r="I1324" s="1" t="s">
        <v>113</v>
      </c>
      <c r="J1324" s="3">
        <v>82</v>
      </c>
      <c r="K1324" s="4">
        <f t="shared" si="82"/>
        <v>30.863035868869737</v>
      </c>
      <c r="L1324" s="1" t="str">
        <f t="shared" si="83"/>
        <v>Obesidade grau I</v>
      </c>
      <c r="M1324" t="s">
        <v>47</v>
      </c>
    </row>
    <row r="1325" spans="1:13" x14ac:dyDescent="0.25">
      <c r="A1325">
        <v>1324</v>
      </c>
      <c r="B1325" t="s">
        <v>432</v>
      </c>
      <c r="C1325" s="2" t="s">
        <v>433</v>
      </c>
      <c r="D1325" s="2">
        <f t="shared" ca="1" si="80"/>
        <v>67</v>
      </c>
      <c r="E1325" t="s">
        <v>23</v>
      </c>
      <c r="F1325" t="s">
        <v>126</v>
      </c>
      <c r="G1325" t="s">
        <v>127</v>
      </c>
      <c r="H1325" t="str">
        <f t="shared" si="81"/>
        <v>Boa Vista - RR</v>
      </c>
      <c r="I1325" s="1" t="s">
        <v>205</v>
      </c>
      <c r="J1325" s="3">
        <v>71</v>
      </c>
      <c r="K1325" s="4">
        <f t="shared" si="82"/>
        <v>30.330214874620872</v>
      </c>
      <c r="L1325" s="1" t="str">
        <f t="shared" si="83"/>
        <v>Obesidade grau I</v>
      </c>
      <c r="M1325" t="s">
        <v>76</v>
      </c>
    </row>
    <row r="1326" spans="1:13" x14ac:dyDescent="0.25">
      <c r="A1326">
        <v>1325</v>
      </c>
      <c r="B1326" t="s">
        <v>3006</v>
      </c>
      <c r="C1326" s="2" t="s">
        <v>3007</v>
      </c>
      <c r="D1326" s="2">
        <f t="shared" ca="1" si="80"/>
        <v>50</v>
      </c>
      <c r="E1326" t="s">
        <v>23</v>
      </c>
      <c r="F1326" t="s">
        <v>182</v>
      </c>
      <c r="G1326" t="s">
        <v>55</v>
      </c>
      <c r="H1326" t="str">
        <f t="shared" si="81"/>
        <v>Curitiba - PR</v>
      </c>
      <c r="I1326" s="1" t="s">
        <v>166</v>
      </c>
      <c r="J1326" s="3">
        <v>64</v>
      </c>
      <c r="K1326" s="4">
        <f t="shared" si="82"/>
        <v>22.67573696145125</v>
      </c>
      <c r="L1326" s="1" t="str">
        <f t="shared" si="83"/>
        <v>Peso ideal - parabéns</v>
      </c>
      <c r="M1326" t="s">
        <v>83</v>
      </c>
    </row>
    <row r="1327" spans="1:13" x14ac:dyDescent="0.25">
      <c r="A1327">
        <v>1326</v>
      </c>
      <c r="B1327" t="s">
        <v>3940</v>
      </c>
      <c r="C1327" s="2" t="s">
        <v>3941</v>
      </c>
      <c r="D1327" s="2">
        <f t="shared" ca="1" si="80"/>
        <v>33</v>
      </c>
      <c r="E1327" t="s">
        <v>23</v>
      </c>
      <c r="F1327" t="s">
        <v>1342</v>
      </c>
      <c r="G1327" t="s">
        <v>273</v>
      </c>
      <c r="H1327" t="str">
        <f t="shared" si="81"/>
        <v>Colatina - ES</v>
      </c>
      <c r="I1327" s="1" t="s">
        <v>582</v>
      </c>
      <c r="J1327" s="3">
        <v>59</v>
      </c>
      <c r="K1327" s="4">
        <f t="shared" si="82"/>
        <v>24.243918474687703</v>
      </c>
      <c r="L1327" s="1" t="str">
        <f t="shared" si="83"/>
        <v>Peso ideal - parabéns</v>
      </c>
      <c r="M1327" t="s">
        <v>20</v>
      </c>
    </row>
    <row r="1328" spans="1:13" x14ac:dyDescent="0.25">
      <c r="A1328">
        <v>1327</v>
      </c>
      <c r="B1328" t="s">
        <v>4111</v>
      </c>
      <c r="C1328" s="2" t="s">
        <v>3865</v>
      </c>
      <c r="D1328" s="2">
        <f t="shared" ca="1" si="80"/>
        <v>64</v>
      </c>
      <c r="E1328" t="s">
        <v>23</v>
      </c>
      <c r="F1328" t="s">
        <v>852</v>
      </c>
      <c r="G1328" t="s">
        <v>186</v>
      </c>
      <c r="H1328" t="str">
        <f t="shared" si="81"/>
        <v>Belo Horizonte - MG</v>
      </c>
      <c r="I1328" s="1" t="s">
        <v>400</v>
      </c>
      <c r="J1328" s="3">
        <v>50</v>
      </c>
      <c r="K1328" s="4">
        <f t="shared" si="82"/>
        <v>15.432098765432098</v>
      </c>
      <c r="L1328" s="1" t="str">
        <f t="shared" si="83"/>
        <v>Muito abaixo do peso</v>
      </c>
      <c r="M1328" t="s">
        <v>32</v>
      </c>
    </row>
    <row r="1329" spans="1:13" x14ac:dyDescent="0.25">
      <c r="A1329">
        <v>1328</v>
      </c>
      <c r="B1329" t="s">
        <v>3193</v>
      </c>
      <c r="C1329" s="2" t="s">
        <v>3194</v>
      </c>
      <c r="D1329" s="2">
        <f t="shared" ca="1" si="80"/>
        <v>76</v>
      </c>
      <c r="E1329" t="s">
        <v>23</v>
      </c>
      <c r="F1329" t="s">
        <v>24</v>
      </c>
      <c r="G1329" t="s">
        <v>25</v>
      </c>
      <c r="H1329" t="str">
        <f t="shared" si="81"/>
        <v>Natal - RN</v>
      </c>
      <c r="I1329" s="1" t="s">
        <v>198</v>
      </c>
      <c r="J1329" s="3">
        <v>62</v>
      </c>
      <c r="K1329" s="4">
        <f t="shared" si="82"/>
        <v>25.153150229218223</v>
      </c>
      <c r="L1329" s="1" t="str">
        <f t="shared" si="83"/>
        <v>Levemente acima do peso</v>
      </c>
      <c r="M1329" t="s">
        <v>76</v>
      </c>
    </row>
    <row r="1330" spans="1:13" x14ac:dyDescent="0.25">
      <c r="A1330">
        <v>1329</v>
      </c>
      <c r="B1330" t="s">
        <v>2964</v>
      </c>
      <c r="C1330" s="2" t="s">
        <v>2965</v>
      </c>
      <c r="D1330" s="2">
        <f t="shared" ca="1" si="80"/>
        <v>74</v>
      </c>
      <c r="E1330" t="s">
        <v>23</v>
      </c>
      <c r="F1330" t="s">
        <v>144</v>
      </c>
      <c r="G1330" t="s">
        <v>12</v>
      </c>
      <c r="H1330" t="str">
        <f t="shared" si="81"/>
        <v>Maranguape - CE</v>
      </c>
      <c r="I1330" s="1" t="s">
        <v>171</v>
      </c>
      <c r="J1330" s="3">
        <v>79</v>
      </c>
      <c r="K1330" s="4">
        <f t="shared" si="82"/>
        <v>28.326580372189753</v>
      </c>
      <c r="L1330" s="1" t="str">
        <f t="shared" si="83"/>
        <v>Levemente acima do peso</v>
      </c>
      <c r="M1330" t="s">
        <v>76</v>
      </c>
    </row>
    <row r="1331" spans="1:13" x14ac:dyDescent="0.25">
      <c r="A1331">
        <v>1330</v>
      </c>
      <c r="B1331" t="s">
        <v>1587</v>
      </c>
      <c r="C1331" s="2" t="s">
        <v>1588</v>
      </c>
      <c r="D1331" s="2">
        <f t="shared" ca="1" si="80"/>
        <v>21</v>
      </c>
      <c r="E1331" t="s">
        <v>23</v>
      </c>
      <c r="F1331" t="s">
        <v>1589</v>
      </c>
      <c r="G1331" t="s">
        <v>51</v>
      </c>
      <c r="H1331" t="str">
        <f t="shared" si="81"/>
        <v>São João de Meriti - RJ</v>
      </c>
      <c r="I1331" s="1" t="s">
        <v>179</v>
      </c>
      <c r="J1331" s="3">
        <v>46</v>
      </c>
      <c r="K1331" s="4">
        <f t="shared" si="82"/>
        <v>15.193552648962875</v>
      </c>
      <c r="L1331" s="1" t="str">
        <f t="shared" si="83"/>
        <v>Muito abaixo do peso</v>
      </c>
      <c r="M1331" t="s">
        <v>95</v>
      </c>
    </row>
    <row r="1332" spans="1:13" x14ac:dyDescent="0.25">
      <c r="A1332">
        <v>1331</v>
      </c>
      <c r="B1332" t="s">
        <v>3721</v>
      </c>
      <c r="C1332" s="2" t="s">
        <v>2562</v>
      </c>
      <c r="D1332" s="2">
        <f t="shared" ca="1" si="80"/>
        <v>79</v>
      </c>
      <c r="E1332" t="s">
        <v>23</v>
      </c>
      <c r="F1332" t="s">
        <v>98</v>
      </c>
      <c r="G1332" t="s">
        <v>65</v>
      </c>
      <c r="H1332" t="str">
        <f t="shared" si="81"/>
        <v>Vitória da Conquista - BA</v>
      </c>
      <c r="I1332" s="1" t="s">
        <v>86</v>
      </c>
      <c r="J1332" s="3">
        <v>48</v>
      </c>
      <c r="K1332" s="4">
        <f t="shared" si="82"/>
        <v>14.651567412472147</v>
      </c>
      <c r="L1332" s="1" t="str">
        <f t="shared" si="83"/>
        <v>Muito abaixo do peso</v>
      </c>
      <c r="M1332" t="s">
        <v>47</v>
      </c>
    </row>
    <row r="1333" spans="1:13" x14ac:dyDescent="0.25">
      <c r="A1333">
        <v>1332</v>
      </c>
      <c r="B1333" t="s">
        <v>1642</v>
      </c>
      <c r="C1333" s="2" t="s">
        <v>1643</v>
      </c>
      <c r="D1333" s="2">
        <f t="shared" ca="1" si="80"/>
        <v>33</v>
      </c>
      <c r="E1333" t="s">
        <v>23</v>
      </c>
      <c r="F1333" t="s">
        <v>153</v>
      </c>
      <c r="G1333" t="s">
        <v>154</v>
      </c>
      <c r="H1333" t="str">
        <f t="shared" si="81"/>
        <v>Manaus - AM</v>
      </c>
      <c r="I1333" s="1" t="s">
        <v>160</v>
      </c>
      <c r="J1333" s="3">
        <v>54</v>
      </c>
      <c r="K1333" s="4">
        <f t="shared" si="82"/>
        <v>15.949905482041586</v>
      </c>
      <c r="L1333" s="1" t="str">
        <f t="shared" si="83"/>
        <v>Muito abaixo do peso</v>
      </c>
      <c r="M1333" t="s">
        <v>76</v>
      </c>
    </row>
    <row r="1334" spans="1:13" x14ac:dyDescent="0.25">
      <c r="A1334">
        <v>1333</v>
      </c>
      <c r="B1334" t="s">
        <v>3614</v>
      </c>
      <c r="C1334" s="2" t="s">
        <v>3615</v>
      </c>
      <c r="D1334" s="2">
        <f t="shared" ca="1" si="80"/>
        <v>23</v>
      </c>
      <c r="E1334" t="s">
        <v>23</v>
      </c>
      <c r="F1334" t="s">
        <v>236</v>
      </c>
      <c r="G1334" t="s">
        <v>237</v>
      </c>
      <c r="H1334" t="str">
        <f t="shared" si="81"/>
        <v>Teresina - PI</v>
      </c>
      <c r="I1334" s="1" t="s">
        <v>575</v>
      </c>
      <c r="J1334" s="3">
        <v>50</v>
      </c>
      <c r="K1334" s="4">
        <f t="shared" si="82"/>
        <v>19.77769866698311</v>
      </c>
      <c r="L1334" s="1" t="str">
        <f t="shared" si="83"/>
        <v>Peso ideal - parabéns</v>
      </c>
      <c r="M1334" t="s">
        <v>26</v>
      </c>
    </row>
    <row r="1335" spans="1:13" x14ac:dyDescent="0.25">
      <c r="A1335">
        <v>1334</v>
      </c>
      <c r="B1335" t="s">
        <v>1308</v>
      </c>
      <c r="C1335" s="2" t="s">
        <v>1309</v>
      </c>
      <c r="D1335" s="2">
        <f t="shared" ca="1" si="80"/>
        <v>56</v>
      </c>
      <c r="E1335" t="s">
        <v>23</v>
      </c>
      <c r="F1335" t="s">
        <v>1310</v>
      </c>
      <c r="G1335" t="s">
        <v>51</v>
      </c>
      <c r="H1335" t="str">
        <f t="shared" si="81"/>
        <v>Campos dos Goytacazes - RJ</v>
      </c>
      <c r="I1335" s="1" t="s">
        <v>386</v>
      </c>
      <c r="J1335" s="3">
        <v>70</v>
      </c>
      <c r="K1335" s="4">
        <f t="shared" si="82"/>
        <v>25.402816083611555</v>
      </c>
      <c r="L1335" s="1" t="str">
        <f t="shared" si="83"/>
        <v>Levemente acima do peso</v>
      </c>
      <c r="M1335" t="s">
        <v>32</v>
      </c>
    </row>
    <row r="1336" spans="1:13" x14ac:dyDescent="0.25">
      <c r="A1336">
        <v>1335</v>
      </c>
      <c r="B1336" t="s">
        <v>376</v>
      </c>
      <c r="C1336" s="2" t="s">
        <v>377</v>
      </c>
      <c r="D1336" s="2">
        <f t="shared" ca="1" si="80"/>
        <v>35</v>
      </c>
      <c r="E1336" t="s">
        <v>23</v>
      </c>
      <c r="F1336" t="s">
        <v>126</v>
      </c>
      <c r="G1336" t="s">
        <v>127</v>
      </c>
      <c r="H1336" t="str">
        <f t="shared" si="81"/>
        <v>Boa Vista - RR</v>
      </c>
      <c r="I1336" s="1" t="s">
        <v>94</v>
      </c>
      <c r="J1336" s="3">
        <v>64</v>
      </c>
      <c r="K1336" s="4">
        <f t="shared" si="82"/>
        <v>21.383941996057334</v>
      </c>
      <c r="L1336" s="1" t="str">
        <f t="shared" si="83"/>
        <v>Peso ideal - parabéns</v>
      </c>
      <c r="M1336" t="s">
        <v>14</v>
      </c>
    </row>
    <row r="1337" spans="1:13" x14ac:dyDescent="0.25">
      <c r="A1337">
        <v>1336</v>
      </c>
      <c r="B1337" t="s">
        <v>1861</v>
      </c>
      <c r="C1337" s="2" t="s">
        <v>1862</v>
      </c>
      <c r="D1337" s="2">
        <f t="shared" ca="1" si="80"/>
        <v>41</v>
      </c>
      <c r="E1337" t="s">
        <v>10</v>
      </c>
      <c r="F1337" t="s">
        <v>17</v>
      </c>
      <c r="G1337" t="s">
        <v>18</v>
      </c>
      <c r="H1337" t="str">
        <f t="shared" si="81"/>
        <v>Campo Grande - MS</v>
      </c>
      <c r="I1337" s="1" t="s">
        <v>262</v>
      </c>
      <c r="J1337" s="3">
        <v>56</v>
      </c>
      <c r="K1337" s="4">
        <f t="shared" si="82"/>
        <v>15.51246537396122</v>
      </c>
      <c r="L1337" s="1" t="str">
        <f t="shared" si="83"/>
        <v>Muito abaixo do peso</v>
      </c>
      <c r="M1337" t="s">
        <v>76</v>
      </c>
    </row>
    <row r="1338" spans="1:13" x14ac:dyDescent="0.25">
      <c r="A1338">
        <v>1337</v>
      </c>
      <c r="B1338" t="s">
        <v>3428</v>
      </c>
      <c r="C1338" s="2" t="s">
        <v>3429</v>
      </c>
      <c r="D1338" s="2">
        <f t="shared" ca="1" si="80"/>
        <v>64</v>
      </c>
      <c r="E1338" t="s">
        <v>10</v>
      </c>
      <c r="F1338" t="s">
        <v>89</v>
      </c>
      <c r="G1338" t="s">
        <v>12</v>
      </c>
      <c r="H1338" t="str">
        <f t="shared" si="81"/>
        <v>Fortaleza - CE</v>
      </c>
      <c r="I1338" s="1" t="s">
        <v>113</v>
      </c>
      <c r="J1338" s="3">
        <v>68</v>
      </c>
      <c r="K1338" s="4">
        <f t="shared" si="82"/>
        <v>25.59373706198954</v>
      </c>
      <c r="L1338" s="1" t="str">
        <f t="shared" si="83"/>
        <v>Levemente acima do peso</v>
      </c>
      <c r="M1338" t="s">
        <v>32</v>
      </c>
    </row>
    <row r="1339" spans="1:13" x14ac:dyDescent="0.25">
      <c r="A1339">
        <v>1338</v>
      </c>
      <c r="B1339" t="s">
        <v>477</v>
      </c>
      <c r="C1339" s="2" t="s">
        <v>478</v>
      </c>
      <c r="D1339" s="2">
        <f t="shared" ca="1" si="80"/>
        <v>24</v>
      </c>
      <c r="E1339" t="s">
        <v>10</v>
      </c>
      <c r="F1339" t="s">
        <v>59</v>
      </c>
      <c r="G1339" t="s">
        <v>60</v>
      </c>
      <c r="H1339" t="str">
        <f t="shared" si="81"/>
        <v>Palmas - TO</v>
      </c>
      <c r="I1339" s="1" t="s">
        <v>255</v>
      </c>
      <c r="J1339" s="3">
        <v>71</v>
      </c>
      <c r="K1339" s="4">
        <f t="shared" si="82"/>
        <v>17.928840180803515</v>
      </c>
      <c r="L1339" s="1" t="str">
        <f t="shared" si="83"/>
        <v>Abaixo do peso</v>
      </c>
      <c r="M1339" t="s">
        <v>20</v>
      </c>
    </row>
    <row r="1340" spans="1:13" x14ac:dyDescent="0.25">
      <c r="A1340">
        <v>1339</v>
      </c>
      <c r="B1340" t="s">
        <v>2079</v>
      </c>
      <c r="C1340" s="2" t="s">
        <v>2080</v>
      </c>
      <c r="D1340" s="2">
        <f t="shared" ca="1" si="80"/>
        <v>52</v>
      </c>
      <c r="E1340" t="s">
        <v>10</v>
      </c>
      <c r="F1340" t="s">
        <v>775</v>
      </c>
      <c r="G1340" t="s">
        <v>51</v>
      </c>
      <c r="H1340" t="str">
        <f t="shared" si="81"/>
        <v>Rio de Janeiro - RJ</v>
      </c>
      <c r="I1340" s="1" t="s">
        <v>194</v>
      </c>
      <c r="J1340" s="3">
        <v>91</v>
      </c>
      <c r="K1340" s="4">
        <f t="shared" si="82"/>
        <v>26.588750913075234</v>
      </c>
      <c r="L1340" s="1" t="str">
        <f t="shared" si="83"/>
        <v>Levemente acima do peso</v>
      </c>
      <c r="M1340" t="s">
        <v>26</v>
      </c>
    </row>
    <row r="1341" spans="1:13" x14ac:dyDescent="0.25">
      <c r="A1341">
        <v>1340</v>
      </c>
      <c r="B1341" t="s">
        <v>1532</v>
      </c>
      <c r="C1341" s="2" t="s">
        <v>1533</v>
      </c>
      <c r="D1341" s="2">
        <f t="shared" ca="1" si="80"/>
        <v>50</v>
      </c>
      <c r="E1341" t="s">
        <v>10</v>
      </c>
      <c r="F1341" t="s">
        <v>280</v>
      </c>
      <c r="G1341" t="s">
        <v>175</v>
      </c>
      <c r="H1341" t="str">
        <f t="shared" si="81"/>
        <v>Recife - PE</v>
      </c>
      <c r="I1341" s="1" t="s">
        <v>104</v>
      </c>
      <c r="J1341" s="3">
        <v>94</v>
      </c>
      <c r="K1341" s="4">
        <f t="shared" si="82"/>
        <v>32.525951557093428</v>
      </c>
      <c r="L1341" s="1" t="str">
        <f t="shared" si="83"/>
        <v>Obesidade grau I</v>
      </c>
      <c r="M1341" t="s">
        <v>47</v>
      </c>
    </row>
    <row r="1342" spans="1:13" x14ac:dyDescent="0.25">
      <c r="A1342">
        <v>1341</v>
      </c>
      <c r="B1342" t="s">
        <v>369</v>
      </c>
      <c r="C1342" s="2" t="s">
        <v>370</v>
      </c>
      <c r="D1342" s="2">
        <f t="shared" ca="1" si="80"/>
        <v>76</v>
      </c>
      <c r="E1342" t="s">
        <v>10</v>
      </c>
      <c r="F1342" t="s">
        <v>169</v>
      </c>
      <c r="G1342" t="s">
        <v>170</v>
      </c>
      <c r="H1342" t="str">
        <f t="shared" si="81"/>
        <v>Maceió - AL</v>
      </c>
      <c r="I1342" s="1" t="s">
        <v>113</v>
      </c>
      <c r="J1342" s="3">
        <v>77</v>
      </c>
      <c r="K1342" s="4">
        <f t="shared" si="82"/>
        <v>28.981143437841094</v>
      </c>
      <c r="L1342" s="1" t="str">
        <f t="shared" si="83"/>
        <v>Levemente acima do peso</v>
      </c>
      <c r="M1342" t="s">
        <v>47</v>
      </c>
    </row>
    <row r="1343" spans="1:13" x14ac:dyDescent="0.25">
      <c r="A1343">
        <v>1342</v>
      </c>
      <c r="B1343" t="s">
        <v>1166</v>
      </c>
      <c r="C1343" s="2" t="s">
        <v>1167</v>
      </c>
      <c r="D1343" s="2">
        <f t="shared" ca="1" si="80"/>
        <v>75</v>
      </c>
      <c r="E1343" t="s">
        <v>10</v>
      </c>
      <c r="F1343" t="s">
        <v>784</v>
      </c>
      <c r="G1343" t="s">
        <v>273</v>
      </c>
      <c r="H1343" t="str">
        <f t="shared" si="81"/>
        <v>Vila Velha - ES</v>
      </c>
      <c r="I1343" s="1" t="s">
        <v>160</v>
      </c>
      <c r="J1343" s="3">
        <v>72</v>
      </c>
      <c r="K1343" s="4">
        <f t="shared" si="82"/>
        <v>21.266540642722116</v>
      </c>
      <c r="L1343" s="1" t="str">
        <f t="shared" si="83"/>
        <v>Peso ideal - parabéns</v>
      </c>
      <c r="M1343" t="s">
        <v>20</v>
      </c>
    </row>
    <row r="1344" spans="1:13" x14ac:dyDescent="0.25">
      <c r="A1344">
        <v>1343</v>
      </c>
      <c r="B1344" t="s">
        <v>1003</v>
      </c>
      <c r="C1344" s="2" t="s">
        <v>1004</v>
      </c>
      <c r="D1344" s="2">
        <f t="shared" ca="1" si="80"/>
        <v>61</v>
      </c>
      <c r="E1344" t="s">
        <v>10</v>
      </c>
      <c r="F1344" t="s">
        <v>45</v>
      </c>
      <c r="G1344" t="s">
        <v>46</v>
      </c>
      <c r="H1344" t="str">
        <f t="shared" si="81"/>
        <v>Goiânia - GO</v>
      </c>
      <c r="I1344" s="1" t="s">
        <v>90</v>
      </c>
      <c r="J1344" s="3">
        <v>88</v>
      </c>
      <c r="K1344" s="4">
        <f t="shared" si="82"/>
        <v>29.745808545159548</v>
      </c>
      <c r="L1344" s="1" t="str">
        <f t="shared" si="83"/>
        <v>Levemente acima do peso</v>
      </c>
      <c r="M1344" t="s">
        <v>76</v>
      </c>
    </row>
    <row r="1345" spans="1:13" x14ac:dyDescent="0.25">
      <c r="A1345">
        <v>1344</v>
      </c>
      <c r="B1345" t="s">
        <v>1669</v>
      </c>
      <c r="C1345" s="2" t="s">
        <v>1593</v>
      </c>
      <c r="D1345" s="2">
        <f t="shared" ca="1" si="80"/>
        <v>79</v>
      </c>
      <c r="E1345" t="s">
        <v>10</v>
      </c>
      <c r="F1345" t="s">
        <v>498</v>
      </c>
      <c r="G1345" t="s">
        <v>131</v>
      </c>
      <c r="H1345" t="str">
        <f t="shared" si="81"/>
        <v>Florianópolis - SC</v>
      </c>
      <c r="I1345" s="1" t="s">
        <v>94</v>
      </c>
      <c r="J1345" s="3">
        <v>51</v>
      </c>
      <c r="K1345" s="4">
        <f t="shared" si="82"/>
        <v>17.04032877810819</v>
      </c>
      <c r="L1345" s="1" t="str">
        <f t="shared" si="83"/>
        <v>Abaixo do peso</v>
      </c>
      <c r="M1345" t="s">
        <v>76</v>
      </c>
    </row>
    <row r="1346" spans="1:13" x14ac:dyDescent="0.25">
      <c r="A1346">
        <v>1345</v>
      </c>
      <c r="B1346" t="s">
        <v>3251</v>
      </c>
      <c r="C1346" s="2" t="s">
        <v>3252</v>
      </c>
      <c r="D1346" s="2">
        <f t="shared" ca="1" si="80"/>
        <v>34</v>
      </c>
      <c r="E1346" t="s">
        <v>10</v>
      </c>
      <c r="F1346" t="s">
        <v>429</v>
      </c>
      <c r="G1346" t="s">
        <v>65</v>
      </c>
      <c r="H1346" t="str">
        <f t="shared" si="81"/>
        <v>Barreiras - BA</v>
      </c>
      <c r="I1346" s="1" t="s">
        <v>56</v>
      </c>
      <c r="J1346" s="3">
        <v>79</v>
      </c>
      <c r="K1346" s="4">
        <f t="shared" si="82"/>
        <v>27.660095935016283</v>
      </c>
      <c r="L1346" s="1" t="str">
        <f t="shared" si="83"/>
        <v>Levemente acima do peso</v>
      </c>
      <c r="M1346" t="s">
        <v>14</v>
      </c>
    </row>
    <row r="1347" spans="1:13" x14ac:dyDescent="0.25">
      <c r="A1347">
        <v>1346</v>
      </c>
      <c r="B1347" t="s">
        <v>72</v>
      </c>
      <c r="C1347" s="2" t="s">
        <v>73</v>
      </c>
      <c r="D1347" s="2">
        <f t="shared" ref="D1347:D1410" ca="1" si="84">YEAR(TODAY())-YEAR(C1347)</f>
        <v>30</v>
      </c>
      <c r="E1347" t="s">
        <v>23</v>
      </c>
      <c r="F1347" t="s">
        <v>74</v>
      </c>
      <c r="G1347" t="s">
        <v>75</v>
      </c>
      <c r="H1347" t="str">
        <f t="shared" ref="H1347:H1410" si="85">CONCATENATE(F1347," - ",G1347)</f>
        <v>Macapá - AP</v>
      </c>
      <c r="I1347" s="1" t="s">
        <v>13</v>
      </c>
      <c r="J1347" s="3">
        <v>66</v>
      </c>
      <c r="K1347" s="4">
        <f t="shared" ref="K1347:K1410" si="86">J1347/(I1347*I1347)</f>
        <v>22.571047501795427</v>
      </c>
      <c r="L1347" s="1" t="str">
        <f t="shared" ref="L1347:L1410" si="87">IF(K1347&gt;=40,"Obesidade grau III - mórbida",
IF(K1347&gt;=35,"Obesidade grau II - severa",
IF(K1347&gt;=30,"Obesidade grau I",
IF(K1347&gt;=25,"Levemente acima do peso",
IF(K1347&gt;=18.6,"Peso ideal - parabéns",
IF(K1347&gt;=17,"Abaixo do peso",
"Muito abaixo do peso"))))))</f>
        <v>Peso ideal - parabéns</v>
      </c>
      <c r="M1347" t="s">
        <v>76</v>
      </c>
    </row>
    <row r="1348" spans="1:13" x14ac:dyDescent="0.25">
      <c r="A1348">
        <v>1347</v>
      </c>
      <c r="B1348" t="s">
        <v>3315</v>
      </c>
      <c r="C1348" s="2" t="s">
        <v>3316</v>
      </c>
      <c r="D1348" s="2">
        <f t="shared" ca="1" si="84"/>
        <v>62</v>
      </c>
      <c r="E1348" t="s">
        <v>23</v>
      </c>
      <c r="F1348" t="s">
        <v>852</v>
      </c>
      <c r="G1348" t="s">
        <v>186</v>
      </c>
      <c r="H1348" t="str">
        <f t="shared" si="85"/>
        <v>Belo Horizonte - MG</v>
      </c>
      <c r="I1348" s="1" t="s">
        <v>42</v>
      </c>
      <c r="J1348" s="3">
        <v>83</v>
      </c>
      <c r="K1348" s="4">
        <f t="shared" si="86"/>
        <v>25.904310102680942</v>
      </c>
      <c r="L1348" s="1" t="str">
        <f t="shared" si="87"/>
        <v>Levemente acima do peso</v>
      </c>
      <c r="M1348" t="s">
        <v>14</v>
      </c>
    </row>
    <row r="1349" spans="1:13" x14ac:dyDescent="0.25">
      <c r="A1349">
        <v>1348</v>
      </c>
      <c r="B1349" t="s">
        <v>4162</v>
      </c>
      <c r="C1349" s="2" t="s">
        <v>3049</v>
      </c>
      <c r="D1349" s="2">
        <f t="shared" ca="1" si="84"/>
        <v>22</v>
      </c>
      <c r="E1349" t="s">
        <v>23</v>
      </c>
      <c r="F1349" t="s">
        <v>35</v>
      </c>
      <c r="G1349" t="s">
        <v>36</v>
      </c>
      <c r="H1349" t="str">
        <f t="shared" si="85"/>
        <v>Timon - MA</v>
      </c>
      <c r="I1349" s="1" t="s">
        <v>416</v>
      </c>
      <c r="J1349" s="3">
        <v>65</v>
      </c>
      <c r="K1349" s="4">
        <f t="shared" si="86"/>
        <v>25.076193048107708</v>
      </c>
      <c r="L1349" s="1" t="str">
        <f t="shared" si="87"/>
        <v>Levemente acima do peso</v>
      </c>
      <c r="M1349" t="s">
        <v>14</v>
      </c>
    </row>
    <row r="1350" spans="1:13" x14ac:dyDescent="0.25">
      <c r="A1350">
        <v>1349</v>
      </c>
      <c r="B1350" t="s">
        <v>1718</v>
      </c>
      <c r="C1350" s="2" t="s">
        <v>1719</v>
      </c>
      <c r="D1350" s="2">
        <f t="shared" ca="1" si="84"/>
        <v>40</v>
      </c>
      <c r="E1350" t="s">
        <v>23</v>
      </c>
      <c r="F1350" t="s">
        <v>153</v>
      </c>
      <c r="G1350" t="s">
        <v>154</v>
      </c>
      <c r="H1350" t="str">
        <f t="shared" si="85"/>
        <v>Manaus - AM</v>
      </c>
      <c r="I1350" s="1" t="s">
        <v>194</v>
      </c>
      <c r="J1350" s="3">
        <v>51</v>
      </c>
      <c r="K1350" s="4">
        <f t="shared" si="86"/>
        <v>14.901387874360847</v>
      </c>
      <c r="L1350" s="1" t="str">
        <f t="shared" si="87"/>
        <v>Muito abaixo do peso</v>
      </c>
      <c r="M1350" t="s">
        <v>20</v>
      </c>
    </row>
    <row r="1351" spans="1:13" x14ac:dyDescent="0.25">
      <c r="A1351">
        <v>1350</v>
      </c>
      <c r="B1351" t="s">
        <v>2353</v>
      </c>
      <c r="C1351" s="2" t="s">
        <v>2354</v>
      </c>
      <c r="D1351" s="2">
        <f t="shared" ca="1" si="84"/>
        <v>43</v>
      </c>
      <c r="E1351" t="s">
        <v>23</v>
      </c>
      <c r="F1351" t="s">
        <v>189</v>
      </c>
      <c r="G1351" t="s">
        <v>190</v>
      </c>
      <c r="H1351" t="str">
        <f t="shared" si="85"/>
        <v>Cuiabá - MT</v>
      </c>
      <c r="I1351" s="1" t="s">
        <v>281</v>
      </c>
      <c r="J1351" s="3">
        <v>66</v>
      </c>
      <c r="K1351" s="4">
        <f t="shared" si="86"/>
        <v>25.14860539551897</v>
      </c>
      <c r="L1351" s="1" t="str">
        <f t="shared" si="87"/>
        <v>Levemente acima do peso</v>
      </c>
      <c r="M1351" t="s">
        <v>83</v>
      </c>
    </row>
    <row r="1352" spans="1:13" x14ac:dyDescent="0.25">
      <c r="A1352">
        <v>1351</v>
      </c>
      <c r="B1352" t="s">
        <v>4006</v>
      </c>
      <c r="C1352" s="2" t="s">
        <v>4007</v>
      </c>
      <c r="D1352" s="2">
        <f t="shared" ca="1" si="84"/>
        <v>61</v>
      </c>
      <c r="E1352" t="s">
        <v>23</v>
      </c>
      <c r="F1352" t="s">
        <v>17</v>
      </c>
      <c r="G1352" t="s">
        <v>18</v>
      </c>
      <c r="H1352" t="str">
        <f t="shared" si="85"/>
        <v>Campo Grande - MS</v>
      </c>
      <c r="I1352" s="1" t="s">
        <v>198</v>
      </c>
      <c r="J1352" s="3">
        <v>45</v>
      </c>
      <c r="K1352" s="4">
        <f t="shared" si="86"/>
        <v>18.25631871475516</v>
      </c>
      <c r="L1352" s="1" t="str">
        <f t="shared" si="87"/>
        <v>Abaixo do peso</v>
      </c>
      <c r="M1352" t="s">
        <v>76</v>
      </c>
    </row>
    <row r="1353" spans="1:13" x14ac:dyDescent="0.25">
      <c r="A1353">
        <v>1352</v>
      </c>
      <c r="B1353" t="s">
        <v>3052</v>
      </c>
      <c r="C1353" s="2" t="s">
        <v>3053</v>
      </c>
      <c r="D1353" s="2">
        <f t="shared" ca="1" si="84"/>
        <v>72</v>
      </c>
      <c r="E1353" t="s">
        <v>23</v>
      </c>
      <c r="F1353" t="s">
        <v>153</v>
      </c>
      <c r="G1353" t="s">
        <v>154</v>
      </c>
      <c r="H1353" t="str">
        <f t="shared" si="85"/>
        <v>Manaus - AM</v>
      </c>
      <c r="I1353" s="1" t="s">
        <v>31</v>
      </c>
      <c r="J1353" s="3">
        <v>65</v>
      </c>
      <c r="K1353" s="4">
        <f t="shared" si="86"/>
        <v>24.167162403331353</v>
      </c>
      <c r="L1353" s="1" t="str">
        <f t="shared" si="87"/>
        <v>Peso ideal - parabéns</v>
      </c>
      <c r="M1353" t="s">
        <v>26</v>
      </c>
    </row>
    <row r="1354" spans="1:13" x14ac:dyDescent="0.25">
      <c r="A1354">
        <v>1353</v>
      </c>
      <c r="B1354" t="s">
        <v>1435</v>
      </c>
      <c r="C1354" s="2" t="s">
        <v>1436</v>
      </c>
      <c r="D1354" s="2">
        <f t="shared" ca="1" si="84"/>
        <v>82</v>
      </c>
      <c r="E1354" t="s">
        <v>23</v>
      </c>
      <c r="F1354" t="s">
        <v>169</v>
      </c>
      <c r="G1354" t="s">
        <v>170</v>
      </c>
      <c r="H1354" t="str">
        <f t="shared" si="85"/>
        <v>Maceió - AL</v>
      </c>
      <c r="I1354" s="1" t="s">
        <v>198</v>
      </c>
      <c r="J1354" s="3">
        <v>67</v>
      </c>
      <c r="K1354" s="4">
        <f t="shared" si="86"/>
        <v>27.181630086413239</v>
      </c>
      <c r="L1354" s="1" t="str">
        <f t="shared" si="87"/>
        <v>Levemente acima do peso</v>
      </c>
      <c r="M1354" t="s">
        <v>32</v>
      </c>
    </row>
    <row r="1355" spans="1:13" x14ac:dyDescent="0.25">
      <c r="A1355">
        <v>1354</v>
      </c>
      <c r="B1355" t="s">
        <v>2011</v>
      </c>
      <c r="C1355" s="2" t="s">
        <v>2012</v>
      </c>
      <c r="D1355" s="2">
        <f t="shared" ca="1" si="84"/>
        <v>59</v>
      </c>
      <c r="E1355" t="s">
        <v>23</v>
      </c>
      <c r="F1355" t="s">
        <v>189</v>
      </c>
      <c r="G1355" t="s">
        <v>190</v>
      </c>
      <c r="H1355" t="str">
        <f t="shared" si="85"/>
        <v>Cuiabá - MT</v>
      </c>
      <c r="I1355" s="1" t="s">
        <v>209</v>
      </c>
      <c r="J1355" s="3">
        <v>65</v>
      </c>
      <c r="K1355" s="4">
        <f t="shared" si="86"/>
        <v>27.407657277787148</v>
      </c>
      <c r="L1355" s="1" t="str">
        <f t="shared" si="87"/>
        <v>Levemente acima do peso</v>
      </c>
      <c r="M1355" t="s">
        <v>83</v>
      </c>
    </row>
    <row r="1356" spans="1:13" x14ac:dyDescent="0.25">
      <c r="A1356">
        <v>1355</v>
      </c>
      <c r="B1356" t="s">
        <v>2563</v>
      </c>
      <c r="C1356" s="2" t="s">
        <v>2564</v>
      </c>
      <c r="D1356" s="2">
        <f t="shared" ca="1" si="84"/>
        <v>29</v>
      </c>
      <c r="E1356" t="s">
        <v>23</v>
      </c>
      <c r="F1356" t="s">
        <v>564</v>
      </c>
      <c r="G1356" t="s">
        <v>565</v>
      </c>
      <c r="H1356" t="str">
        <f t="shared" si="85"/>
        <v>Rio Branco - AC</v>
      </c>
      <c r="I1356" s="1" t="s">
        <v>155</v>
      </c>
      <c r="J1356" s="3">
        <v>62</v>
      </c>
      <c r="K1356" s="4">
        <f t="shared" si="86"/>
        <v>18.717546190073662</v>
      </c>
      <c r="L1356" s="1" t="str">
        <f t="shared" si="87"/>
        <v>Peso ideal - parabéns</v>
      </c>
      <c r="M1356" t="s">
        <v>95</v>
      </c>
    </row>
    <row r="1357" spans="1:13" x14ac:dyDescent="0.25">
      <c r="A1357">
        <v>1356</v>
      </c>
      <c r="B1357" t="s">
        <v>3716</v>
      </c>
      <c r="C1357" s="2" t="s">
        <v>2985</v>
      </c>
      <c r="D1357" s="2">
        <f t="shared" ca="1" si="84"/>
        <v>46</v>
      </c>
      <c r="E1357" t="s">
        <v>10</v>
      </c>
      <c r="F1357" t="s">
        <v>383</v>
      </c>
      <c r="G1357" t="s">
        <v>237</v>
      </c>
      <c r="H1357" t="str">
        <f t="shared" si="85"/>
        <v>Parnaíba - PI</v>
      </c>
      <c r="I1357" s="1" t="s">
        <v>386</v>
      </c>
      <c r="J1357" s="3">
        <v>87</v>
      </c>
      <c r="K1357" s="4">
        <f t="shared" si="86"/>
        <v>31.572071418202935</v>
      </c>
      <c r="L1357" s="1" t="str">
        <f t="shared" si="87"/>
        <v>Obesidade grau I</v>
      </c>
      <c r="M1357" t="s">
        <v>47</v>
      </c>
    </row>
    <row r="1358" spans="1:13" x14ac:dyDescent="0.25">
      <c r="A1358">
        <v>1357</v>
      </c>
      <c r="B1358" t="s">
        <v>1391</v>
      </c>
      <c r="C1358" s="2" t="s">
        <v>1392</v>
      </c>
      <c r="D1358" s="2">
        <f t="shared" ca="1" si="84"/>
        <v>49</v>
      </c>
      <c r="E1358" t="s">
        <v>10</v>
      </c>
      <c r="F1358" t="s">
        <v>153</v>
      </c>
      <c r="G1358" t="s">
        <v>154</v>
      </c>
      <c r="H1358" t="str">
        <f t="shared" si="85"/>
        <v>Manaus - AM</v>
      </c>
      <c r="I1358" s="1" t="s">
        <v>113</v>
      </c>
      <c r="J1358" s="3">
        <v>100</v>
      </c>
      <c r="K1358" s="4">
        <f t="shared" si="86"/>
        <v>37.637848620572854</v>
      </c>
      <c r="L1358" s="1" t="str">
        <f t="shared" si="87"/>
        <v>Obesidade grau II - severa</v>
      </c>
      <c r="M1358" t="s">
        <v>47</v>
      </c>
    </row>
    <row r="1359" spans="1:13" x14ac:dyDescent="0.25">
      <c r="A1359">
        <v>1358</v>
      </c>
      <c r="B1359" t="s">
        <v>4057</v>
      </c>
      <c r="C1359" s="2" t="s">
        <v>3650</v>
      </c>
      <c r="D1359" s="2">
        <f t="shared" ca="1" si="84"/>
        <v>55</v>
      </c>
      <c r="E1359" t="s">
        <v>10</v>
      </c>
      <c r="F1359" t="s">
        <v>354</v>
      </c>
      <c r="G1359" t="s">
        <v>30</v>
      </c>
      <c r="H1359" t="str">
        <f t="shared" si="85"/>
        <v>Porto Velho - RO</v>
      </c>
      <c r="I1359" s="1" t="s">
        <v>179</v>
      </c>
      <c r="J1359" s="3">
        <v>88</v>
      </c>
      <c r="K1359" s="4">
        <f t="shared" si="86"/>
        <v>29.065926806711587</v>
      </c>
      <c r="L1359" s="1" t="str">
        <f t="shared" si="87"/>
        <v>Levemente acima do peso</v>
      </c>
      <c r="M1359" t="s">
        <v>47</v>
      </c>
    </row>
    <row r="1360" spans="1:13" x14ac:dyDescent="0.25">
      <c r="A1360">
        <v>1359</v>
      </c>
      <c r="B1360" t="s">
        <v>192</v>
      </c>
      <c r="C1360" s="2" t="s">
        <v>193</v>
      </c>
      <c r="D1360" s="2">
        <f t="shared" ca="1" si="84"/>
        <v>75</v>
      </c>
      <c r="E1360" t="s">
        <v>10</v>
      </c>
      <c r="F1360" t="s">
        <v>158</v>
      </c>
      <c r="G1360" t="s">
        <v>159</v>
      </c>
      <c r="H1360" t="str">
        <f t="shared" si="85"/>
        <v>Brasília - DF</v>
      </c>
      <c r="I1360" s="1" t="s">
        <v>194</v>
      </c>
      <c r="J1360" s="3">
        <v>95</v>
      </c>
      <c r="K1360" s="4">
        <f t="shared" si="86"/>
        <v>27.757487216946675</v>
      </c>
      <c r="L1360" s="1" t="str">
        <f t="shared" si="87"/>
        <v>Levemente acima do peso</v>
      </c>
      <c r="M1360" t="s">
        <v>32</v>
      </c>
    </row>
    <row r="1361" spans="1:13" x14ac:dyDescent="0.25">
      <c r="A1361">
        <v>1360</v>
      </c>
      <c r="B1361" t="s">
        <v>3163</v>
      </c>
      <c r="C1361" s="2" t="s">
        <v>3164</v>
      </c>
      <c r="D1361" s="2">
        <f t="shared" ca="1" si="84"/>
        <v>43</v>
      </c>
      <c r="E1361" t="s">
        <v>10</v>
      </c>
      <c r="F1361" t="s">
        <v>2146</v>
      </c>
      <c r="G1361" t="s">
        <v>310</v>
      </c>
      <c r="H1361" t="str">
        <f t="shared" si="85"/>
        <v>Passo Fundo - RS</v>
      </c>
      <c r="I1361" s="1" t="s">
        <v>132</v>
      </c>
      <c r="J1361" s="3">
        <v>105</v>
      </c>
      <c r="K1361" s="4">
        <f t="shared" si="86"/>
        <v>30.026594984128796</v>
      </c>
      <c r="L1361" s="1" t="str">
        <f t="shared" si="87"/>
        <v>Obesidade grau I</v>
      </c>
      <c r="M1361" t="s">
        <v>20</v>
      </c>
    </row>
    <row r="1362" spans="1:13" x14ac:dyDescent="0.25">
      <c r="A1362">
        <v>1361</v>
      </c>
      <c r="B1362" t="s">
        <v>1122</v>
      </c>
      <c r="C1362" s="2" t="s">
        <v>1123</v>
      </c>
      <c r="D1362" s="2">
        <f t="shared" ca="1" si="84"/>
        <v>43</v>
      </c>
      <c r="E1362" t="s">
        <v>10</v>
      </c>
      <c r="F1362" t="s">
        <v>74</v>
      </c>
      <c r="G1362" t="s">
        <v>75</v>
      </c>
      <c r="H1362" t="str">
        <f t="shared" si="85"/>
        <v>Macapá - AP</v>
      </c>
      <c r="I1362" s="1" t="s">
        <v>37</v>
      </c>
      <c r="J1362" s="3">
        <v>85</v>
      </c>
      <c r="K1362" s="4">
        <f t="shared" si="86"/>
        <v>21.902136102450463</v>
      </c>
      <c r="L1362" s="1" t="str">
        <f t="shared" si="87"/>
        <v>Peso ideal - parabéns</v>
      </c>
      <c r="M1362" t="s">
        <v>26</v>
      </c>
    </row>
    <row r="1363" spans="1:13" x14ac:dyDescent="0.25">
      <c r="A1363">
        <v>1362</v>
      </c>
      <c r="B1363" t="s">
        <v>2271</v>
      </c>
      <c r="C1363" s="2" t="s">
        <v>2272</v>
      </c>
      <c r="D1363" s="2">
        <f t="shared" ca="1" si="84"/>
        <v>26</v>
      </c>
      <c r="E1363" t="s">
        <v>10</v>
      </c>
      <c r="F1363" t="s">
        <v>2273</v>
      </c>
      <c r="G1363" t="s">
        <v>186</v>
      </c>
      <c r="H1363" t="str">
        <f t="shared" si="85"/>
        <v>Itabira - MG</v>
      </c>
      <c r="I1363" s="1" t="s">
        <v>194</v>
      </c>
      <c r="J1363" s="3">
        <v>59</v>
      </c>
      <c r="K1363" s="4">
        <f t="shared" si="86"/>
        <v>17.238860482103725</v>
      </c>
      <c r="L1363" s="1" t="str">
        <f t="shared" si="87"/>
        <v>Abaixo do peso</v>
      </c>
      <c r="M1363" t="s">
        <v>32</v>
      </c>
    </row>
    <row r="1364" spans="1:13" x14ac:dyDescent="0.25">
      <c r="A1364">
        <v>1363</v>
      </c>
      <c r="B1364" t="s">
        <v>1250</v>
      </c>
      <c r="C1364" s="2" t="s">
        <v>1251</v>
      </c>
      <c r="D1364" s="2">
        <f t="shared" ca="1" si="84"/>
        <v>69</v>
      </c>
      <c r="E1364" t="s">
        <v>10</v>
      </c>
      <c r="F1364" t="s">
        <v>208</v>
      </c>
      <c r="G1364" t="s">
        <v>30</v>
      </c>
      <c r="H1364" t="str">
        <f t="shared" si="85"/>
        <v>Ji-Paraná - RO</v>
      </c>
      <c r="I1364" s="1" t="s">
        <v>447</v>
      </c>
      <c r="J1364" s="3">
        <v>60</v>
      </c>
      <c r="K1364" s="4">
        <f t="shared" si="86"/>
        <v>19.591836734693878</v>
      </c>
      <c r="L1364" s="1" t="str">
        <f t="shared" si="87"/>
        <v>Peso ideal - parabéns</v>
      </c>
      <c r="M1364" t="s">
        <v>26</v>
      </c>
    </row>
    <row r="1365" spans="1:13" x14ac:dyDescent="0.25">
      <c r="A1365">
        <v>1364</v>
      </c>
      <c r="B1365" t="s">
        <v>3443</v>
      </c>
      <c r="C1365" s="2" t="s">
        <v>3444</v>
      </c>
      <c r="D1365" s="2">
        <f t="shared" ca="1" si="84"/>
        <v>49</v>
      </c>
      <c r="E1365" t="s">
        <v>10</v>
      </c>
      <c r="F1365" t="s">
        <v>439</v>
      </c>
      <c r="G1365" t="s">
        <v>190</v>
      </c>
      <c r="H1365" t="str">
        <f t="shared" si="85"/>
        <v>Rondonópolis - MT</v>
      </c>
      <c r="I1365" s="1" t="s">
        <v>447</v>
      </c>
      <c r="J1365" s="3">
        <v>72</v>
      </c>
      <c r="K1365" s="4">
        <f t="shared" si="86"/>
        <v>23.510204081632654</v>
      </c>
      <c r="L1365" s="1" t="str">
        <f t="shared" si="87"/>
        <v>Peso ideal - parabéns</v>
      </c>
      <c r="M1365" t="s">
        <v>20</v>
      </c>
    </row>
    <row r="1366" spans="1:13" x14ac:dyDescent="0.25">
      <c r="A1366">
        <v>1365</v>
      </c>
      <c r="B1366" t="s">
        <v>401</v>
      </c>
      <c r="C1366" s="2" t="s">
        <v>402</v>
      </c>
      <c r="D1366" s="2">
        <f t="shared" ca="1" si="84"/>
        <v>31</v>
      </c>
      <c r="E1366" t="s">
        <v>10</v>
      </c>
      <c r="F1366" t="s">
        <v>89</v>
      </c>
      <c r="G1366" t="s">
        <v>12</v>
      </c>
      <c r="H1366" t="str">
        <f t="shared" si="85"/>
        <v>Fortaleza - CE</v>
      </c>
      <c r="I1366" s="1" t="s">
        <v>90</v>
      </c>
      <c r="J1366" s="3">
        <v>73</v>
      </c>
      <c r="K1366" s="4">
        <f t="shared" si="86"/>
        <v>24.675500270416443</v>
      </c>
      <c r="L1366" s="1" t="str">
        <f t="shared" si="87"/>
        <v>Peso ideal - parabéns</v>
      </c>
      <c r="M1366" t="s">
        <v>83</v>
      </c>
    </row>
    <row r="1367" spans="1:13" x14ac:dyDescent="0.25">
      <c r="A1367">
        <v>1366</v>
      </c>
      <c r="B1367" t="s">
        <v>844</v>
      </c>
      <c r="C1367" s="2" t="s">
        <v>845</v>
      </c>
      <c r="D1367" s="2">
        <f t="shared" ca="1" si="84"/>
        <v>63</v>
      </c>
      <c r="E1367" t="s">
        <v>10</v>
      </c>
      <c r="F1367" t="s">
        <v>197</v>
      </c>
      <c r="G1367" t="s">
        <v>46</v>
      </c>
      <c r="H1367" t="str">
        <f t="shared" si="85"/>
        <v>Anápolis - GO</v>
      </c>
      <c r="I1367" s="1" t="s">
        <v>108</v>
      </c>
      <c r="J1367" s="3">
        <v>51</v>
      </c>
      <c r="K1367" s="4">
        <f t="shared" si="86"/>
        <v>13.979879937501714</v>
      </c>
      <c r="L1367" s="1" t="str">
        <f t="shared" si="87"/>
        <v>Muito abaixo do peso</v>
      </c>
      <c r="M1367" t="s">
        <v>20</v>
      </c>
    </row>
    <row r="1368" spans="1:13" x14ac:dyDescent="0.25">
      <c r="A1368">
        <v>1367</v>
      </c>
      <c r="B1368" t="s">
        <v>1363</v>
      </c>
      <c r="C1368" s="2" t="s">
        <v>1364</v>
      </c>
      <c r="D1368" s="2">
        <f t="shared" ca="1" si="84"/>
        <v>55</v>
      </c>
      <c r="E1368" t="s">
        <v>10</v>
      </c>
      <c r="F1368" t="s">
        <v>564</v>
      </c>
      <c r="G1368" t="s">
        <v>565</v>
      </c>
      <c r="H1368" t="str">
        <f t="shared" si="85"/>
        <v>Rio Branco - AC</v>
      </c>
      <c r="I1368" s="1" t="s">
        <v>90</v>
      </c>
      <c r="J1368" s="3">
        <v>108</v>
      </c>
      <c r="K1368" s="4">
        <f t="shared" si="86"/>
        <v>36.506219578150358</v>
      </c>
      <c r="L1368" s="1" t="str">
        <f t="shared" si="87"/>
        <v>Obesidade grau II - severa</v>
      </c>
      <c r="M1368" t="s">
        <v>95</v>
      </c>
    </row>
    <row r="1369" spans="1:13" x14ac:dyDescent="0.25">
      <c r="A1369">
        <v>1368</v>
      </c>
      <c r="B1369" t="s">
        <v>2096</v>
      </c>
      <c r="C1369" s="2" t="s">
        <v>2097</v>
      </c>
      <c r="D1369" s="2">
        <f t="shared" ca="1" si="84"/>
        <v>35</v>
      </c>
      <c r="E1369" t="s">
        <v>10</v>
      </c>
      <c r="F1369" t="s">
        <v>189</v>
      </c>
      <c r="G1369" t="s">
        <v>190</v>
      </c>
      <c r="H1369" t="str">
        <f t="shared" si="85"/>
        <v>Cuiabá - MT</v>
      </c>
      <c r="I1369" s="1" t="s">
        <v>400</v>
      </c>
      <c r="J1369" s="3">
        <v>96</v>
      </c>
      <c r="K1369" s="4">
        <f t="shared" si="86"/>
        <v>29.629629629629626</v>
      </c>
      <c r="L1369" s="1" t="str">
        <f t="shared" si="87"/>
        <v>Levemente acima do peso</v>
      </c>
      <c r="M1369" t="s">
        <v>20</v>
      </c>
    </row>
    <row r="1370" spans="1:13" x14ac:dyDescent="0.25">
      <c r="A1370">
        <v>1369</v>
      </c>
      <c r="B1370" t="s">
        <v>1775</v>
      </c>
      <c r="C1370" s="2" t="s">
        <v>1776</v>
      </c>
      <c r="D1370" s="2">
        <f t="shared" ca="1" si="84"/>
        <v>42</v>
      </c>
      <c r="E1370" t="s">
        <v>10</v>
      </c>
      <c r="F1370" t="s">
        <v>733</v>
      </c>
      <c r="G1370" t="s">
        <v>310</v>
      </c>
      <c r="H1370" t="str">
        <f t="shared" si="85"/>
        <v>Porto Alegre - RS</v>
      </c>
      <c r="I1370" s="1" t="s">
        <v>166</v>
      </c>
      <c r="J1370" s="3">
        <v>68</v>
      </c>
      <c r="K1370" s="4">
        <f t="shared" si="86"/>
        <v>24.092970521541954</v>
      </c>
      <c r="L1370" s="1" t="str">
        <f t="shared" si="87"/>
        <v>Peso ideal - parabéns</v>
      </c>
      <c r="M1370" t="s">
        <v>14</v>
      </c>
    </row>
    <row r="1371" spans="1:13" x14ac:dyDescent="0.25">
      <c r="A1371">
        <v>1370</v>
      </c>
      <c r="B1371" t="s">
        <v>3322</v>
      </c>
      <c r="C1371" s="2" t="s">
        <v>3323</v>
      </c>
      <c r="D1371" s="2">
        <f t="shared" ca="1" si="84"/>
        <v>55</v>
      </c>
      <c r="E1371" t="s">
        <v>10</v>
      </c>
      <c r="F1371" t="s">
        <v>158</v>
      </c>
      <c r="G1371" t="s">
        <v>159</v>
      </c>
      <c r="H1371" t="str">
        <f t="shared" si="85"/>
        <v>Brasília - DF</v>
      </c>
      <c r="I1371" s="1" t="s">
        <v>86</v>
      </c>
      <c r="J1371" s="3">
        <v>108</v>
      </c>
      <c r="K1371" s="4">
        <f t="shared" si="86"/>
        <v>32.966026678062327</v>
      </c>
      <c r="L1371" s="1" t="str">
        <f t="shared" si="87"/>
        <v>Obesidade grau I</v>
      </c>
      <c r="M1371" t="s">
        <v>14</v>
      </c>
    </row>
    <row r="1372" spans="1:13" x14ac:dyDescent="0.25">
      <c r="A1372">
        <v>1371</v>
      </c>
      <c r="B1372" t="s">
        <v>3531</v>
      </c>
      <c r="C1372" s="2" t="s">
        <v>3192</v>
      </c>
      <c r="D1372" s="2">
        <f t="shared" ca="1" si="84"/>
        <v>74</v>
      </c>
      <c r="E1372" t="s">
        <v>10</v>
      </c>
      <c r="F1372" t="s">
        <v>89</v>
      </c>
      <c r="G1372" t="s">
        <v>12</v>
      </c>
      <c r="H1372" t="str">
        <f t="shared" si="85"/>
        <v>Fortaleza - CE</v>
      </c>
      <c r="I1372" s="1" t="s">
        <v>639</v>
      </c>
      <c r="J1372" s="3">
        <v>99</v>
      </c>
      <c r="K1372" s="4">
        <f t="shared" si="86"/>
        <v>24.75</v>
      </c>
      <c r="L1372" s="1" t="str">
        <f t="shared" si="87"/>
        <v>Peso ideal - parabéns</v>
      </c>
      <c r="M1372" t="s">
        <v>14</v>
      </c>
    </row>
    <row r="1373" spans="1:13" x14ac:dyDescent="0.25">
      <c r="A1373">
        <v>1372</v>
      </c>
      <c r="B1373" t="s">
        <v>2744</v>
      </c>
      <c r="C1373" s="2" t="s">
        <v>2745</v>
      </c>
      <c r="D1373" s="2">
        <f t="shared" ca="1" si="84"/>
        <v>44</v>
      </c>
      <c r="E1373" t="s">
        <v>10</v>
      </c>
      <c r="F1373" t="s">
        <v>169</v>
      </c>
      <c r="G1373" t="s">
        <v>170</v>
      </c>
      <c r="H1373" t="str">
        <f t="shared" si="85"/>
        <v>Maceió - AL</v>
      </c>
      <c r="I1373" s="1" t="s">
        <v>71</v>
      </c>
      <c r="J1373" s="3">
        <v>64</v>
      </c>
      <c r="K1373" s="4">
        <f t="shared" si="86"/>
        <v>19.110752784496398</v>
      </c>
      <c r="L1373" s="1" t="str">
        <f t="shared" si="87"/>
        <v>Peso ideal - parabéns</v>
      </c>
      <c r="M1373" t="s">
        <v>32</v>
      </c>
    </row>
    <row r="1374" spans="1:13" x14ac:dyDescent="0.25">
      <c r="A1374">
        <v>1373</v>
      </c>
      <c r="B1374" t="s">
        <v>2968</v>
      </c>
      <c r="C1374" s="2" t="s">
        <v>2969</v>
      </c>
      <c r="D1374" s="2">
        <f t="shared" ca="1" si="84"/>
        <v>54</v>
      </c>
      <c r="E1374" t="s">
        <v>10</v>
      </c>
      <c r="F1374" t="s">
        <v>2970</v>
      </c>
      <c r="G1374" t="s">
        <v>273</v>
      </c>
      <c r="H1374" t="str">
        <f t="shared" si="85"/>
        <v>Alfredo Chaves - ES</v>
      </c>
      <c r="I1374" s="1" t="s">
        <v>99</v>
      </c>
      <c r="J1374" s="3">
        <v>97</v>
      </c>
      <c r="K1374" s="4">
        <f t="shared" si="86"/>
        <v>25.773195876288661</v>
      </c>
      <c r="L1374" s="1" t="str">
        <f t="shared" si="87"/>
        <v>Levemente acima do peso</v>
      </c>
      <c r="M1374" t="s">
        <v>76</v>
      </c>
    </row>
    <row r="1375" spans="1:13" x14ac:dyDescent="0.25">
      <c r="A1375">
        <v>1374</v>
      </c>
      <c r="B1375" t="s">
        <v>3330</v>
      </c>
      <c r="C1375" s="2" t="s">
        <v>3172</v>
      </c>
      <c r="D1375" s="2">
        <f t="shared" ca="1" si="84"/>
        <v>26</v>
      </c>
      <c r="E1375" t="s">
        <v>10</v>
      </c>
      <c r="F1375" t="s">
        <v>74</v>
      </c>
      <c r="G1375" t="s">
        <v>75</v>
      </c>
      <c r="H1375" t="str">
        <f t="shared" si="85"/>
        <v>Macapá - AP</v>
      </c>
      <c r="I1375" s="1" t="s">
        <v>148</v>
      </c>
      <c r="J1375" s="3">
        <v>104</v>
      </c>
      <c r="K1375" s="4">
        <f t="shared" si="86"/>
        <v>27.350427350427353</v>
      </c>
      <c r="L1375" s="1" t="str">
        <f t="shared" si="87"/>
        <v>Levemente acima do peso</v>
      </c>
      <c r="M1375" t="s">
        <v>83</v>
      </c>
    </row>
    <row r="1376" spans="1:13" x14ac:dyDescent="0.25">
      <c r="A1376">
        <v>1375</v>
      </c>
      <c r="B1376" t="s">
        <v>347</v>
      </c>
      <c r="C1376" s="2" t="s">
        <v>348</v>
      </c>
      <c r="D1376" s="2">
        <f t="shared" ca="1" si="84"/>
        <v>80</v>
      </c>
      <c r="E1376" t="s">
        <v>10</v>
      </c>
      <c r="F1376" t="s">
        <v>349</v>
      </c>
      <c r="G1376" t="s">
        <v>55</v>
      </c>
      <c r="H1376" t="str">
        <f t="shared" si="85"/>
        <v>Colombo - PR</v>
      </c>
      <c r="I1376" s="1" t="s">
        <v>179</v>
      </c>
      <c r="J1376" s="3">
        <v>56</v>
      </c>
      <c r="K1376" s="4">
        <f t="shared" si="86"/>
        <v>18.496498876998281</v>
      </c>
      <c r="L1376" s="1" t="str">
        <f t="shared" si="87"/>
        <v>Abaixo do peso</v>
      </c>
      <c r="M1376" t="s">
        <v>20</v>
      </c>
    </row>
    <row r="1377" spans="1:13" x14ac:dyDescent="0.25">
      <c r="A1377">
        <v>1376</v>
      </c>
      <c r="B1377" t="s">
        <v>1720</v>
      </c>
      <c r="C1377" s="2" t="s">
        <v>1721</v>
      </c>
      <c r="D1377" s="2">
        <f t="shared" ca="1" si="84"/>
        <v>67</v>
      </c>
      <c r="E1377" t="s">
        <v>10</v>
      </c>
      <c r="F1377" t="s">
        <v>59</v>
      </c>
      <c r="G1377" t="s">
        <v>60</v>
      </c>
      <c r="H1377" t="str">
        <f t="shared" si="85"/>
        <v>Palmas - TO</v>
      </c>
      <c r="I1377" s="1" t="s">
        <v>123</v>
      </c>
      <c r="J1377" s="3">
        <v>80</v>
      </c>
      <c r="K1377" s="4">
        <f t="shared" si="86"/>
        <v>25.826446280991735</v>
      </c>
      <c r="L1377" s="1" t="str">
        <f t="shared" si="87"/>
        <v>Levemente acima do peso</v>
      </c>
      <c r="M1377" t="s">
        <v>32</v>
      </c>
    </row>
    <row r="1378" spans="1:13" x14ac:dyDescent="0.25">
      <c r="A1378">
        <v>1377</v>
      </c>
      <c r="B1378" t="s">
        <v>3912</v>
      </c>
      <c r="C1378" s="2" t="s">
        <v>3913</v>
      </c>
      <c r="D1378" s="2">
        <f t="shared" ca="1" si="84"/>
        <v>48</v>
      </c>
      <c r="E1378" t="s">
        <v>10</v>
      </c>
      <c r="F1378" t="s">
        <v>45</v>
      </c>
      <c r="G1378" t="s">
        <v>46</v>
      </c>
      <c r="H1378" t="str">
        <f t="shared" si="85"/>
        <v>Goiânia - GO</v>
      </c>
      <c r="I1378" s="1" t="s">
        <v>226</v>
      </c>
      <c r="J1378" s="3">
        <v>81</v>
      </c>
      <c r="K1378" s="4">
        <f t="shared" si="86"/>
        <v>20.66115702479339</v>
      </c>
      <c r="L1378" s="1" t="str">
        <f t="shared" si="87"/>
        <v>Peso ideal - parabéns</v>
      </c>
      <c r="M1378" t="s">
        <v>95</v>
      </c>
    </row>
    <row r="1379" spans="1:13" x14ac:dyDescent="0.25">
      <c r="A1379">
        <v>1378</v>
      </c>
      <c r="B1379" t="s">
        <v>1404</v>
      </c>
      <c r="C1379" s="2" t="s">
        <v>1405</v>
      </c>
      <c r="D1379" s="2">
        <f t="shared" ca="1" si="84"/>
        <v>35</v>
      </c>
      <c r="E1379" t="s">
        <v>10</v>
      </c>
      <c r="F1379" t="s">
        <v>74</v>
      </c>
      <c r="G1379" t="s">
        <v>75</v>
      </c>
      <c r="H1379" t="str">
        <f t="shared" si="85"/>
        <v>Macapá - AP</v>
      </c>
      <c r="I1379" s="1" t="s">
        <v>201</v>
      </c>
      <c r="J1379" s="3">
        <v>77</v>
      </c>
      <c r="K1379" s="4">
        <f t="shared" si="86"/>
        <v>20.043731778425659</v>
      </c>
      <c r="L1379" s="1" t="str">
        <f t="shared" si="87"/>
        <v>Peso ideal - parabéns</v>
      </c>
      <c r="M1379" t="s">
        <v>32</v>
      </c>
    </row>
    <row r="1380" spans="1:13" x14ac:dyDescent="0.25">
      <c r="A1380">
        <v>1379</v>
      </c>
      <c r="B1380" t="s">
        <v>1878</v>
      </c>
      <c r="C1380" s="2" t="s">
        <v>1879</v>
      </c>
      <c r="D1380" s="2">
        <f t="shared" ca="1" si="84"/>
        <v>78</v>
      </c>
      <c r="E1380" t="s">
        <v>10</v>
      </c>
      <c r="F1380" t="s">
        <v>1880</v>
      </c>
      <c r="G1380" t="s">
        <v>18</v>
      </c>
      <c r="H1380" t="str">
        <f t="shared" si="85"/>
        <v>Dourados - MS</v>
      </c>
      <c r="I1380" s="1" t="s">
        <v>94</v>
      </c>
      <c r="J1380" s="3">
        <v>97</v>
      </c>
      <c r="K1380" s="4">
        <f t="shared" si="86"/>
        <v>32.410037087774398</v>
      </c>
      <c r="L1380" s="1" t="str">
        <f t="shared" si="87"/>
        <v>Obesidade grau I</v>
      </c>
      <c r="M1380" t="s">
        <v>47</v>
      </c>
    </row>
    <row r="1381" spans="1:13" x14ac:dyDescent="0.25">
      <c r="A1381">
        <v>1380</v>
      </c>
      <c r="B1381" t="s">
        <v>887</v>
      </c>
      <c r="C1381" s="2" t="s">
        <v>888</v>
      </c>
      <c r="D1381" s="2">
        <f t="shared" ca="1" si="84"/>
        <v>63</v>
      </c>
      <c r="E1381" t="s">
        <v>10</v>
      </c>
      <c r="F1381" t="s">
        <v>158</v>
      </c>
      <c r="G1381" t="s">
        <v>159</v>
      </c>
      <c r="H1381" t="str">
        <f t="shared" si="85"/>
        <v>Brasília - DF</v>
      </c>
      <c r="I1381" s="1" t="s">
        <v>191</v>
      </c>
      <c r="J1381" s="3">
        <v>69</v>
      </c>
      <c r="K1381" s="4">
        <f t="shared" si="86"/>
        <v>26.953124999999996</v>
      </c>
      <c r="L1381" s="1" t="str">
        <f t="shared" si="87"/>
        <v>Levemente acima do peso</v>
      </c>
      <c r="M1381" t="s">
        <v>32</v>
      </c>
    </row>
    <row r="1382" spans="1:13" x14ac:dyDescent="0.25">
      <c r="A1382">
        <v>1381</v>
      </c>
      <c r="B1382" t="s">
        <v>3690</v>
      </c>
      <c r="C1382" s="2" t="s">
        <v>3234</v>
      </c>
      <c r="D1382" s="2">
        <f t="shared" ca="1" si="84"/>
        <v>26</v>
      </c>
      <c r="E1382" t="s">
        <v>10</v>
      </c>
      <c r="F1382" t="s">
        <v>457</v>
      </c>
      <c r="G1382" t="s">
        <v>41</v>
      </c>
      <c r="H1382" t="str">
        <f t="shared" si="85"/>
        <v>João Pessoa - PB</v>
      </c>
      <c r="I1382" s="1" t="s">
        <v>113</v>
      </c>
      <c r="J1382" s="3">
        <v>95</v>
      </c>
      <c r="K1382" s="4">
        <f t="shared" si="86"/>
        <v>35.755956189544207</v>
      </c>
      <c r="L1382" s="1" t="str">
        <f t="shared" si="87"/>
        <v>Obesidade grau II - severa</v>
      </c>
      <c r="M1382" t="s">
        <v>76</v>
      </c>
    </row>
    <row r="1383" spans="1:13" x14ac:dyDescent="0.25">
      <c r="A1383">
        <v>1382</v>
      </c>
      <c r="B1383" t="s">
        <v>3184</v>
      </c>
      <c r="C1383" s="2" t="s">
        <v>2061</v>
      </c>
      <c r="D1383" s="2">
        <f t="shared" ca="1" si="84"/>
        <v>67</v>
      </c>
      <c r="E1383" t="s">
        <v>10</v>
      </c>
      <c r="F1383" t="s">
        <v>169</v>
      </c>
      <c r="G1383" t="s">
        <v>170</v>
      </c>
      <c r="H1383" t="str">
        <f t="shared" si="85"/>
        <v>Maceió - AL</v>
      </c>
      <c r="I1383" s="1" t="s">
        <v>226</v>
      </c>
      <c r="J1383" s="3">
        <v>106</v>
      </c>
      <c r="K1383" s="4">
        <f t="shared" si="86"/>
        <v>27.038057341087644</v>
      </c>
      <c r="L1383" s="1" t="str">
        <f t="shared" si="87"/>
        <v>Levemente acima do peso</v>
      </c>
      <c r="M1383" t="s">
        <v>95</v>
      </c>
    </row>
    <row r="1384" spans="1:13" x14ac:dyDescent="0.25">
      <c r="A1384">
        <v>1383</v>
      </c>
      <c r="B1384" t="s">
        <v>1963</v>
      </c>
      <c r="C1384" s="2" t="s">
        <v>1964</v>
      </c>
      <c r="D1384" s="2">
        <f t="shared" ca="1" si="84"/>
        <v>43</v>
      </c>
      <c r="E1384" t="s">
        <v>10</v>
      </c>
      <c r="F1384" t="s">
        <v>454</v>
      </c>
      <c r="G1384" t="s">
        <v>60</v>
      </c>
      <c r="H1384" t="str">
        <f t="shared" si="85"/>
        <v>Gurupi - TO</v>
      </c>
      <c r="I1384" s="1" t="s">
        <v>31</v>
      </c>
      <c r="J1384" s="3">
        <v>81</v>
      </c>
      <c r="K1384" s="4">
        <f t="shared" si="86"/>
        <v>30.116002379535995</v>
      </c>
      <c r="L1384" s="1" t="str">
        <f t="shared" si="87"/>
        <v>Obesidade grau I</v>
      </c>
      <c r="M1384" t="s">
        <v>76</v>
      </c>
    </row>
    <row r="1385" spans="1:13" x14ac:dyDescent="0.25">
      <c r="A1385">
        <v>1384</v>
      </c>
      <c r="B1385" t="s">
        <v>4076</v>
      </c>
      <c r="C1385" s="2" t="s">
        <v>3860</v>
      </c>
      <c r="D1385" s="2">
        <f t="shared" ca="1" si="84"/>
        <v>54</v>
      </c>
      <c r="E1385" t="s">
        <v>10</v>
      </c>
      <c r="F1385" t="s">
        <v>236</v>
      </c>
      <c r="G1385" t="s">
        <v>237</v>
      </c>
      <c r="H1385" t="str">
        <f t="shared" si="85"/>
        <v>Teresina - PI</v>
      </c>
      <c r="I1385" s="1" t="s">
        <v>179</v>
      </c>
      <c r="J1385" s="3">
        <v>103</v>
      </c>
      <c r="K1385" s="4">
        <f t="shared" si="86"/>
        <v>34.020346148764695</v>
      </c>
      <c r="L1385" s="1" t="str">
        <f t="shared" si="87"/>
        <v>Obesidade grau I</v>
      </c>
      <c r="M1385" t="s">
        <v>83</v>
      </c>
    </row>
    <row r="1386" spans="1:13" x14ac:dyDescent="0.25">
      <c r="A1386">
        <v>1385</v>
      </c>
      <c r="B1386" t="s">
        <v>180</v>
      </c>
      <c r="C1386" s="2" t="s">
        <v>181</v>
      </c>
      <c r="D1386" s="2">
        <f t="shared" ca="1" si="84"/>
        <v>33</v>
      </c>
      <c r="E1386" t="s">
        <v>10</v>
      </c>
      <c r="F1386" t="s">
        <v>182</v>
      </c>
      <c r="G1386" t="s">
        <v>55</v>
      </c>
      <c r="H1386" t="str">
        <f t="shared" si="85"/>
        <v>Curitiba - PR</v>
      </c>
      <c r="I1386" s="1" t="s">
        <v>160</v>
      </c>
      <c r="J1386" s="3">
        <v>85</v>
      </c>
      <c r="K1386" s="4">
        <f t="shared" si="86"/>
        <v>25.10633270321361</v>
      </c>
      <c r="L1386" s="1" t="str">
        <f t="shared" si="87"/>
        <v>Levemente acima do peso</v>
      </c>
      <c r="M1386" t="s">
        <v>83</v>
      </c>
    </row>
    <row r="1387" spans="1:13" x14ac:dyDescent="0.25">
      <c r="A1387">
        <v>1386</v>
      </c>
      <c r="B1387" t="s">
        <v>1604</v>
      </c>
      <c r="C1387" s="2" t="s">
        <v>1605</v>
      </c>
      <c r="D1387" s="2">
        <f t="shared" ca="1" si="84"/>
        <v>31</v>
      </c>
      <c r="E1387" t="s">
        <v>23</v>
      </c>
      <c r="F1387" t="s">
        <v>244</v>
      </c>
      <c r="G1387" t="s">
        <v>60</v>
      </c>
      <c r="H1387" t="str">
        <f t="shared" si="85"/>
        <v>Araguaína - TO</v>
      </c>
      <c r="I1387" s="1" t="s">
        <v>198</v>
      </c>
      <c r="J1387" s="3">
        <v>73</v>
      </c>
      <c r="K1387" s="4">
        <f t="shared" si="86"/>
        <v>29.615805915047261</v>
      </c>
      <c r="L1387" s="1" t="str">
        <f t="shared" si="87"/>
        <v>Levemente acima do peso</v>
      </c>
      <c r="M1387" t="s">
        <v>20</v>
      </c>
    </row>
    <row r="1388" spans="1:13" x14ac:dyDescent="0.25">
      <c r="A1388">
        <v>1387</v>
      </c>
      <c r="B1388" t="s">
        <v>2536</v>
      </c>
      <c r="C1388" s="2" t="s">
        <v>2537</v>
      </c>
      <c r="D1388" s="2">
        <f t="shared" ca="1" si="84"/>
        <v>80</v>
      </c>
      <c r="E1388" t="s">
        <v>23</v>
      </c>
      <c r="F1388" t="s">
        <v>153</v>
      </c>
      <c r="G1388" t="s">
        <v>154</v>
      </c>
      <c r="H1388" t="str">
        <f t="shared" si="85"/>
        <v>Manaus - AM</v>
      </c>
      <c r="I1388" s="1" t="s">
        <v>155</v>
      </c>
      <c r="J1388" s="3">
        <v>88</v>
      </c>
      <c r="K1388" s="4">
        <f t="shared" si="86"/>
        <v>26.566839753652939</v>
      </c>
      <c r="L1388" s="1" t="str">
        <f t="shared" si="87"/>
        <v>Levemente acima do peso</v>
      </c>
      <c r="M1388" t="s">
        <v>47</v>
      </c>
    </row>
    <row r="1389" spans="1:13" x14ac:dyDescent="0.25">
      <c r="A1389">
        <v>1388</v>
      </c>
      <c r="B1389" t="s">
        <v>1692</v>
      </c>
      <c r="C1389" s="2" t="s">
        <v>1693</v>
      </c>
      <c r="D1389" s="2">
        <f t="shared" ca="1" si="84"/>
        <v>21</v>
      </c>
      <c r="E1389" t="s">
        <v>23</v>
      </c>
      <c r="F1389" t="s">
        <v>126</v>
      </c>
      <c r="G1389" t="s">
        <v>127</v>
      </c>
      <c r="H1389" t="str">
        <f t="shared" si="85"/>
        <v>Boa Vista - RR</v>
      </c>
      <c r="I1389" s="1" t="s">
        <v>31</v>
      </c>
      <c r="J1389" s="3">
        <v>88</v>
      </c>
      <c r="K1389" s="4">
        <f t="shared" si="86"/>
        <v>32.718619869125526</v>
      </c>
      <c r="L1389" s="1" t="str">
        <f t="shared" si="87"/>
        <v>Obesidade grau I</v>
      </c>
      <c r="M1389" t="s">
        <v>76</v>
      </c>
    </row>
    <row r="1390" spans="1:13" x14ac:dyDescent="0.25">
      <c r="A1390">
        <v>1389</v>
      </c>
      <c r="B1390" t="s">
        <v>3507</v>
      </c>
      <c r="C1390" s="2" t="s">
        <v>3508</v>
      </c>
      <c r="D1390" s="2">
        <f t="shared" ca="1" si="84"/>
        <v>29</v>
      </c>
      <c r="E1390" t="s">
        <v>23</v>
      </c>
      <c r="F1390" t="s">
        <v>564</v>
      </c>
      <c r="G1390" t="s">
        <v>565</v>
      </c>
      <c r="H1390" t="str">
        <f t="shared" si="85"/>
        <v>Rio Branco - AC</v>
      </c>
      <c r="I1390" s="1" t="s">
        <v>281</v>
      </c>
      <c r="J1390" s="3">
        <v>71</v>
      </c>
      <c r="K1390" s="4">
        <f t="shared" si="86"/>
        <v>27.053802773967377</v>
      </c>
      <c r="L1390" s="1" t="str">
        <f t="shared" si="87"/>
        <v>Levemente acima do peso</v>
      </c>
      <c r="M1390" t="s">
        <v>26</v>
      </c>
    </row>
    <row r="1391" spans="1:13" x14ac:dyDescent="0.25">
      <c r="A1391">
        <v>1390</v>
      </c>
      <c r="B1391" t="s">
        <v>3179</v>
      </c>
      <c r="C1391" s="2" t="s">
        <v>2944</v>
      </c>
      <c r="D1391" s="2">
        <f t="shared" ca="1" si="84"/>
        <v>69</v>
      </c>
      <c r="E1391" t="s">
        <v>23</v>
      </c>
      <c r="F1391" t="s">
        <v>395</v>
      </c>
      <c r="G1391" t="s">
        <v>36</v>
      </c>
      <c r="H1391" t="str">
        <f t="shared" si="85"/>
        <v>Imperatriz - MA</v>
      </c>
      <c r="I1391" s="1" t="s">
        <v>360</v>
      </c>
      <c r="J1391" s="3">
        <v>84</v>
      </c>
      <c r="K1391" s="4">
        <f t="shared" si="86"/>
        <v>33.648453773433737</v>
      </c>
      <c r="L1391" s="1" t="str">
        <f t="shared" si="87"/>
        <v>Obesidade grau I</v>
      </c>
      <c r="M1391" t="s">
        <v>20</v>
      </c>
    </row>
    <row r="1392" spans="1:13" x14ac:dyDescent="0.25">
      <c r="A1392">
        <v>1391</v>
      </c>
      <c r="B1392" t="s">
        <v>3235</v>
      </c>
      <c r="C1392" s="2" t="s">
        <v>2859</v>
      </c>
      <c r="D1392" s="2">
        <f t="shared" ca="1" si="84"/>
        <v>22</v>
      </c>
      <c r="E1392" t="s">
        <v>23</v>
      </c>
      <c r="F1392" t="s">
        <v>153</v>
      </c>
      <c r="G1392" t="s">
        <v>154</v>
      </c>
      <c r="H1392" t="str">
        <f t="shared" si="85"/>
        <v>Manaus - AM</v>
      </c>
      <c r="I1392" s="1" t="s">
        <v>155</v>
      </c>
      <c r="J1392" s="3">
        <v>54</v>
      </c>
      <c r="K1392" s="4">
        <f t="shared" si="86"/>
        <v>16.302378939741576</v>
      </c>
      <c r="L1392" s="1" t="str">
        <f t="shared" si="87"/>
        <v>Muito abaixo do peso</v>
      </c>
      <c r="M1392" t="s">
        <v>76</v>
      </c>
    </row>
    <row r="1393" spans="1:13" x14ac:dyDescent="0.25">
      <c r="A1393">
        <v>1392</v>
      </c>
      <c r="B1393" t="s">
        <v>2064</v>
      </c>
      <c r="C1393" s="2" t="s">
        <v>2065</v>
      </c>
      <c r="D1393" s="2">
        <f t="shared" ca="1" si="84"/>
        <v>64</v>
      </c>
      <c r="E1393" t="s">
        <v>23</v>
      </c>
      <c r="F1393" t="s">
        <v>158</v>
      </c>
      <c r="G1393" t="s">
        <v>159</v>
      </c>
      <c r="H1393" t="str">
        <f t="shared" si="85"/>
        <v>Brasília - DF</v>
      </c>
      <c r="I1393" s="1" t="s">
        <v>179</v>
      </c>
      <c r="J1393" s="3">
        <v>52</v>
      </c>
      <c r="K1393" s="4">
        <f t="shared" si="86"/>
        <v>17.175320385784119</v>
      </c>
      <c r="L1393" s="1" t="str">
        <f t="shared" si="87"/>
        <v>Abaixo do peso</v>
      </c>
      <c r="M1393" t="s">
        <v>83</v>
      </c>
    </row>
    <row r="1394" spans="1:13" x14ac:dyDescent="0.25">
      <c r="A1394">
        <v>1393</v>
      </c>
      <c r="B1394" t="s">
        <v>1936</v>
      </c>
      <c r="C1394" s="2" t="s">
        <v>1937</v>
      </c>
      <c r="D1394" s="2">
        <f t="shared" ca="1" si="84"/>
        <v>54</v>
      </c>
      <c r="E1394" t="s">
        <v>23</v>
      </c>
      <c r="F1394" t="s">
        <v>528</v>
      </c>
      <c r="G1394" t="s">
        <v>51</v>
      </c>
      <c r="H1394" t="str">
        <f t="shared" si="85"/>
        <v>Nova Iguaçu - RJ</v>
      </c>
      <c r="I1394" s="1" t="s">
        <v>386</v>
      </c>
      <c r="J1394" s="3">
        <v>54</v>
      </c>
      <c r="K1394" s="4">
        <f t="shared" si="86"/>
        <v>19.596458121643199</v>
      </c>
      <c r="L1394" s="1" t="str">
        <f t="shared" si="87"/>
        <v>Peso ideal - parabéns</v>
      </c>
      <c r="M1394" t="s">
        <v>47</v>
      </c>
    </row>
    <row r="1395" spans="1:13" x14ac:dyDescent="0.25">
      <c r="A1395">
        <v>1394</v>
      </c>
      <c r="B1395" t="s">
        <v>1330</v>
      </c>
      <c r="C1395" s="2" t="s">
        <v>1331</v>
      </c>
      <c r="D1395" s="2">
        <f t="shared" ca="1" si="84"/>
        <v>22</v>
      </c>
      <c r="E1395" t="s">
        <v>23</v>
      </c>
      <c r="F1395" t="s">
        <v>169</v>
      </c>
      <c r="G1395" t="s">
        <v>170</v>
      </c>
      <c r="H1395" t="str">
        <f t="shared" si="85"/>
        <v>Maceió - AL</v>
      </c>
      <c r="I1395" s="1" t="s">
        <v>194</v>
      </c>
      <c r="J1395" s="3">
        <v>73</v>
      </c>
      <c r="K1395" s="4">
        <f t="shared" si="86"/>
        <v>21.329437545653761</v>
      </c>
      <c r="L1395" s="1" t="str">
        <f t="shared" si="87"/>
        <v>Peso ideal - parabéns</v>
      </c>
      <c r="M1395" t="s">
        <v>83</v>
      </c>
    </row>
    <row r="1396" spans="1:13" x14ac:dyDescent="0.25">
      <c r="A1396">
        <v>1395</v>
      </c>
      <c r="B1396" t="s">
        <v>292</v>
      </c>
      <c r="C1396" s="2" t="s">
        <v>293</v>
      </c>
      <c r="D1396" s="2">
        <f t="shared" ca="1" si="84"/>
        <v>60</v>
      </c>
      <c r="E1396" t="s">
        <v>23</v>
      </c>
      <c r="F1396" t="s">
        <v>294</v>
      </c>
      <c r="G1396" t="s">
        <v>112</v>
      </c>
      <c r="H1396" t="str">
        <f t="shared" si="85"/>
        <v>Santarém - PA</v>
      </c>
      <c r="I1396" s="1" t="s">
        <v>247</v>
      </c>
      <c r="J1396" s="3">
        <v>63</v>
      </c>
      <c r="K1396" s="4">
        <f t="shared" si="86"/>
        <v>28</v>
      </c>
      <c r="L1396" s="1" t="str">
        <f t="shared" si="87"/>
        <v>Levemente acima do peso</v>
      </c>
      <c r="M1396" t="s">
        <v>20</v>
      </c>
    </row>
    <row r="1397" spans="1:13" x14ac:dyDescent="0.25">
      <c r="A1397">
        <v>1396</v>
      </c>
      <c r="B1397" t="s">
        <v>1962</v>
      </c>
      <c r="C1397" s="2" t="s">
        <v>802</v>
      </c>
      <c r="D1397" s="2">
        <f t="shared" ca="1" si="84"/>
        <v>47</v>
      </c>
      <c r="E1397" t="s">
        <v>23</v>
      </c>
      <c r="F1397" t="s">
        <v>126</v>
      </c>
      <c r="G1397" t="s">
        <v>127</v>
      </c>
      <c r="H1397" t="str">
        <f t="shared" si="85"/>
        <v>Boa Vista - RR</v>
      </c>
      <c r="I1397" s="1" t="s">
        <v>113</v>
      </c>
      <c r="J1397" s="3">
        <v>69</v>
      </c>
      <c r="K1397" s="4">
        <f t="shared" si="86"/>
        <v>25.970115548195267</v>
      </c>
      <c r="L1397" s="1" t="str">
        <f t="shared" si="87"/>
        <v>Levemente acima do peso</v>
      </c>
      <c r="M1397" t="s">
        <v>47</v>
      </c>
    </row>
    <row r="1398" spans="1:13" x14ac:dyDescent="0.25">
      <c r="A1398">
        <v>1397</v>
      </c>
      <c r="B1398" t="s">
        <v>3696</v>
      </c>
      <c r="C1398" s="2" t="s">
        <v>3512</v>
      </c>
      <c r="D1398" s="2">
        <f t="shared" ca="1" si="84"/>
        <v>75</v>
      </c>
      <c r="E1398" t="s">
        <v>23</v>
      </c>
      <c r="F1398" t="s">
        <v>3697</v>
      </c>
      <c r="G1398" t="s">
        <v>55</v>
      </c>
      <c r="H1398" t="str">
        <f t="shared" si="85"/>
        <v>Piraquara - PR</v>
      </c>
      <c r="I1398" s="1" t="s">
        <v>247</v>
      </c>
      <c r="J1398" s="3">
        <v>82</v>
      </c>
      <c r="K1398" s="4">
        <f t="shared" si="86"/>
        <v>36.444444444444443</v>
      </c>
      <c r="L1398" s="1" t="str">
        <f t="shared" si="87"/>
        <v>Obesidade grau II - severa</v>
      </c>
      <c r="M1398" t="s">
        <v>26</v>
      </c>
    </row>
    <row r="1399" spans="1:13" x14ac:dyDescent="0.25">
      <c r="A1399">
        <v>1398</v>
      </c>
      <c r="B1399" t="s">
        <v>2765</v>
      </c>
      <c r="C1399" s="2" t="s">
        <v>2766</v>
      </c>
      <c r="D1399" s="2">
        <f t="shared" ca="1" si="84"/>
        <v>24</v>
      </c>
      <c r="E1399" t="s">
        <v>23</v>
      </c>
      <c r="F1399" t="s">
        <v>1612</v>
      </c>
      <c r="G1399" t="s">
        <v>175</v>
      </c>
      <c r="H1399" t="str">
        <f t="shared" si="85"/>
        <v>Petrolina - PE</v>
      </c>
      <c r="I1399" s="1" t="s">
        <v>166</v>
      </c>
      <c r="J1399" s="3">
        <v>69</v>
      </c>
      <c r="K1399" s="4">
        <f t="shared" si="86"/>
        <v>24.447278911564631</v>
      </c>
      <c r="L1399" s="1" t="str">
        <f t="shared" si="87"/>
        <v>Peso ideal - parabéns</v>
      </c>
      <c r="M1399" t="s">
        <v>32</v>
      </c>
    </row>
    <row r="1400" spans="1:13" x14ac:dyDescent="0.25">
      <c r="A1400">
        <v>1399</v>
      </c>
      <c r="B1400" t="s">
        <v>3775</v>
      </c>
      <c r="C1400" s="2" t="s">
        <v>2821</v>
      </c>
      <c r="D1400" s="2">
        <f t="shared" ca="1" si="84"/>
        <v>59</v>
      </c>
      <c r="E1400" t="s">
        <v>23</v>
      </c>
      <c r="F1400" t="s">
        <v>1525</v>
      </c>
      <c r="G1400" t="s">
        <v>12</v>
      </c>
      <c r="H1400" t="str">
        <f t="shared" si="85"/>
        <v>Crato - CE</v>
      </c>
      <c r="I1400" s="1" t="s">
        <v>209</v>
      </c>
      <c r="J1400" s="3">
        <v>89</v>
      </c>
      <c r="K1400" s="4">
        <f t="shared" si="86"/>
        <v>37.527407657277791</v>
      </c>
      <c r="L1400" s="1" t="str">
        <f t="shared" si="87"/>
        <v>Obesidade grau II - severa</v>
      </c>
      <c r="M1400" t="s">
        <v>83</v>
      </c>
    </row>
    <row r="1401" spans="1:13" x14ac:dyDescent="0.25">
      <c r="A1401">
        <v>1400</v>
      </c>
      <c r="B1401" t="s">
        <v>3775</v>
      </c>
      <c r="C1401" s="2" t="s">
        <v>2821</v>
      </c>
      <c r="D1401" s="2">
        <f t="shared" ca="1" si="84"/>
        <v>59</v>
      </c>
      <c r="E1401" t="s">
        <v>23</v>
      </c>
      <c r="F1401" t="s">
        <v>1525</v>
      </c>
      <c r="G1401" t="s">
        <v>12</v>
      </c>
      <c r="H1401" t="str">
        <f t="shared" si="85"/>
        <v>Crato - CE</v>
      </c>
      <c r="I1401" s="1" t="s">
        <v>209</v>
      </c>
      <c r="J1401" s="3">
        <v>89</v>
      </c>
      <c r="K1401" s="4">
        <f t="shared" si="86"/>
        <v>37.527407657277791</v>
      </c>
      <c r="L1401" s="1" t="str">
        <f t="shared" si="87"/>
        <v>Obesidade grau II - severa</v>
      </c>
      <c r="M1401" t="s">
        <v>83</v>
      </c>
    </row>
    <row r="1402" spans="1:13" x14ac:dyDescent="0.25">
      <c r="A1402">
        <v>1401</v>
      </c>
      <c r="B1402" t="s">
        <v>1340</v>
      </c>
      <c r="C1402" s="2" t="s">
        <v>1341</v>
      </c>
      <c r="D1402" s="2">
        <f t="shared" ca="1" si="84"/>
        <v>36</v>
      </c>
      <c r="E1402" t="s">
        <v>10</v>
      </c>
      <c r="F1402" t="s">
        <v>1342</v>
      </c>
      <c r="G1402" t="s">
        <v>273</v>
      </c>
      <c r="H1402" t="str">
        <f t="shared" si="85"/>
        <v>Colatina - ES</v>
      </c>
      <c r="I1402" s="1" t="s">
        <v>31</v>
      </c>
      <c r="J1402" s="3">
        <v>65</v>
      </c>
      <c r="K1402" s="4">
        <f t="shared" si="86"/>
        <v>24.167162403331353</v>
      </c>
      <c r="L1402" s="1" t="str">
        <f t="shared" si="87"/>
        <v>Peso ideal - parabéns</v>
      </c>
      <c r="M1402" t="s">
        <v>20</v>
      </c>
    </row>
    <row r="1403" spans="1:13" x14ac:dyDescent="0.25">
      <c r="A1403">
        <v>1402</v>
      </c>
      <c r="B1403" t="s">
        <v>707</v>
      </c>
      <c r="C1403" s="2" t="s">
        <v>708</v>
      </c>
      <c r="D1403" s="2">
        <f t="shared" ca="1" si="84"/>
        <v>20</v>
      </c>
      <c r="E1403" t="s">
        <v>10</v>
      </c>
      <c r="F1403" t="s">
        <v>64</v>
      </c>
      <c r="G1403" t="s">
        <v>65</v>
      </c>
      <c r="H1403" t="str">
        <f t="shared" si="85"/>
        <v>Salvador - BA</v>
      </c>
      <c r="I1403" s="1" t="s">
        <v>117</v>
      </c>
      <c r="J1403" s="3">
        <v>61</v>
      </c>
      <c r="K1403" s="4">
        <f t="shared" si="86"/>
        <v>19.252619618735007</v>
      </c>
      <c r="L1403" s="1" t="str">
        <f t="shared" si="87"/>
        <v>Peso ideal - parabéns</v>
      </c>
      <c r="M1403" t="s">
        <v>20</v>
      </c>
    </row>
    <row r="1404" spans="1:13" x14ac:dyDescent="0.25">
      <c r="A1404">
        <v>1403</v>
      </c>
      <c r="B1404" t="s">
        <v>373</v>
      </c>
      <c r="C1404" s="2" t="s">
        <v>374</v>
      </c>
      <c r="D1404" s="2">
        <f t="shared" ca="1" si="84"/>
        <v>34</v>
      </c>
      <c r="E1404" t="s">
        <v>10</v>
      </c>
      <c r="F1404" t="s">
        <v>375</v>
      </c>
      <c r="G1404" t="s">
        <v>310</v>
      </c>
      <c r="H1404" t="str">
        <f t="shared" si="85"/>
        <v>Esteio - RS</v>
      </c>
      <c r="I1404" s="1" t="s">
        <v>179</v>
      </c>
      <c r="J1404" s="3">
        <v>58</v>
      </c>
      <c r="K1404" s="4">
        <f t="shared" si="86"/>
        <v>19.157088122605362</v>
      </c>
      <c r="L1404" s="1" t="str">
        <f t="shared" si="87"/>
        <v>Peso ideal - parabéns</v>
      </c>
      <c r="M1404" t="s">
        <v>26</v>
      </c>
    </row>
    <row r="1405" spans="1:13" x14ac:dyDescent="0.25">
      <c r="A1405">
        <v>1404</v>
      </c>
      <c r="B1405" t="s">
        <v>2106</v>
      </c>
      <c r="C1405" s="2" t="s">
        <v>2107</v>
      </c>
      <c r="D1405" s="2">
        <f t="shared" ca="1" si="84"/>
        <v>22</v>
      </c>
      <c r="E1405" t="s">
        <v>10</v>
      </c>
      <c r="F1405" t="s">
        <v>711</v>
      </c>
      <c r="G1405" t="s">
        <v>175</v>
      </c>
      <c r="H1405" t="str">
        <f t="shared" si="85"/>
        <v>Camaragibe - PE</v>
      </c>
      <c r="I1405" s="1" t="s">
        <v>94</v>
      </c>
      <c r="J1405" s="3">
        <v>73</v>
      </c>
      <c r="K1405" s="4">
        <f t="shared" si="86"/>
        <v>24.391058839252899</v>
      </c>
      <c r="L1405" s="1" t="str">
        <f t="shared" si="87"/>
        <v>Peso ideal - parabéns</v>
      </c>
      <c r="M1405" t="s">
        <v>26</v>
      </c>
    </row>
    <row r="1406" spans="1:13" x14ac:dyDescent="0.25">
      <c r="A1406">
        <v>1405</v>
      </c>
      <c r="B1406" t="s">
        <v>709</v>
      </c>
      <c r="C1406" s="2" t="s">
        <v>710</v>
      </c>
      <c r="D1406" s="2">
        <f t="shared" ca="1" si="84"/>
        <v>27</v>
      </c>
      <c r="E1406" t="s">
        <v>10</v>
      </c>
      <c r="F1406" t="s">
        <v>711</v>
      </c>
      <c r="G1406" t="s">
        <v>175</v>
      </c>
      <c r="H1406" t="str">
        <f t="shared" si="85"/>
        <v>Camaragibe - PE</v>
      </c>
      <c r="I1406" s="1" t="s">
        <v>166</v>
      </c>
      <c r="J1406" s="3">
        <v>104</v>
      </c>
      <c r="K1406" s="4">
        <f t="shared" si="86"/>
        <v>36.848072562358283</v>
      </c>
      <c r="L1406" s="1" t="str">
        <f t="shared" si="87"/>
        <v>Obesidade grau II - severa</v>
      </c>
      <c r="M1406" t="s">
        <v>14</v>
      </c>
    </row>
    <row r="1407" spans="1:13" x14ac:dyDescent="0.25">
      <c r="A1407">
        <v>1406</v>
      </c>
      <c r="B1407" t="s">
        <v>305</v>
      </c>
      <c r="C1407" s="2" t="s">
        <v>306</v>
      </c>
      <c r="D1407" s="2">
        <f t="shared" ca="1" si="84"/>
        <v>36</v>
      </c>
      <c r="E1407" t="s">
        <v>10</v>
      </c>
      <c r="F1407" t="s">
        <v>126</v>
      </c>
      <c r="G1407" t="s">
        <v>127</v>
      </c>
      <c r="H1407" t="str">
        <f t="shared" si="85"/>
        <v>Boa Vista - RR</v>
      </c>
      <c r="I1407" s="1" t="s">
        <v>108</v>
      </c>
      <c r="J1407" s="3">
        <v>103</v>
      </c>
      <c r="K1407" s="4">
        <f t="shared" si="86"/>
        <v>28.233875167895619</v>
      </c>
      <c r="L1407" s="1" t="str">
        <f t="shared" si="87"/>
        <v>Levemente acima do peso</v>
      </c>
      <c r="M1407" t="s">
        <v>20</v>
      </c>
    </row>
    <row r="1408" spans="1:13" x14ac:dyDescent="0.25">
      <c r="A1408">
        <v>1407</v>
      </c>
      <c r="B1408" t="s">
        <v>2923</v>
      </c>
      <c r="C1408" s="2" t="s">
        <v>2924</v>
      </c>
      <c r="D1408" s="2">
        <f t="shared" ca="1" si="84"/>
        <v>74</v>
      </c>
      <c r="E1408" t="s">
        <v>10</v>
      </c>
      <c r="F1408" t="s">
        <v>24</v>
      </c>
      <c r="G1408" t="s">
        <v>25</v>
      </c>
      <c r="H1408" t="str">
        <f t="shared" si="85"/>
        <v>Natal - RN</v>
      </c>
      <c r="I1408" s="1" t="s">
        <v>226</v>
      </c>
      <c r="J1408" s="3">
        <v>95</v>
      </c>
      <c r="K1408" s="4">
        <f t="shared" si="86"/>
        <v>24.232221201918172</v>
      </c>
      <c r="L1408" s="1" t="str">
        <f t="shared" si="87"/>
        <v>Peso ideal - parabéns</v>
      </c>
      <c r="M1408" t="s">
        <v>20</v>
      </c>
    </row>
    <row r="1409" spans="1:13" x14ac:dyDescent="0.25">
      <c r="A1409">
        <v>1408</v>
      </c>
      <c r="B1409" t="s">
        <v>3578</v>
      </c>
      <c r="C1409" s="2" t="s">
        <v>3579</v>
      </c>
      <c r="D1409" s="2">
        <f t="shared" ca="1" si="84"/>
        <v>63</v>
      </c>
      <c r="E1409" t="s">
        <v>10</v>
      </c>
      <c r="F1409" t="s">
        <v>313</v>
      </c>
      <c r="G1409" t="s">
        <v>25</v>
      </c>
      <c r="H1409" t="str">
        <f t="shared" si="85"/>
        <v>Parnamirim - RN</v>
      </c>
      <c r="I1409" s="1" t="s">
        <v>155</v>
      </c>
      <c r="J1409" s="3">
        <v>106</v>
      </c>
      <c r="K1409" s="4">
        <f t="shared" si="86"/>
        <v>32.000966066900133</v>
      </c>
      <c r="L1409" s="1" t="str">
        <f t="shared" si="87"/>
        <v>Obesidade grau I</v>
      </c>
      <c r="M1409" t="s">
        <v>76</v>
      </c>
    </row>
    <row r="1410" spans="1:13" x14ac:dyDescent="0.25">
      <c r="A1410">
        <v>1409</v>
      </c>
      <c r="B1410" t="s">
        <v>2481</v>
      </c>
      <c r="C1410" s="2" t="s">
        <v>2482</v>
      </c>
      <c r="D1410" s="2">
        <f t="shared" ca="1" si="84"/>
        <v>29</v>
      </c>
      <c r="E1410" t="s">
        <v>10</v>
      </c>
      <c r="F1410" t="s">
        <v>45</v>
      </c>
      <c r="G1410" t="s">
        <v>46</v>
      </c>
      <c r="H1410" t="str">
        <f t="shared" si="85"/>
        <v>Goiânia - GO</v>
      </c>
      <c r="I1410" s="1" t="s">
        <v>255</v>
      </c>
      <c r="J1410" s="3">
        <v>100</v>
      </c>
      <c r="K1410" s="4">
        <f t="shared" si="86"/>
        <v>25.251887578596499</v>
      </c>
      <c r="L1410" s="1" t="str">
        <f t="shared" si="87"/>
        <v>Levemente acima do peso</v>
      </c>
      <c r="M1410" t="s">
        <v>83</v>
      </c>
    </row>
    <row r="1411" spans="1:13" x14ac:dyDescent="0.25">
      <c r="A1411">
        <v>1410</v>
      </c>
      <c r="B1411" t="s">
        <v>566</v>
      </c>
      <c r="C1411" s="2" t="s">
        <v>567</v>
      </c>
      <c r="D1411" s="2">
        <f t="shared" ref="D1411:D1474" ca="1" si="88">YEAR(TODAY())-YEAR(C1411)</f>
        <v>61</v>
      </c>
      <c r="E1411" t="s">
        <v>10</v>
      </c>
      <c r="F1411" t="s">
        <v>568</v>
      </c>
      <c r="G1411" t="s">
        <v>46</v>
      </c>
      <c r="H1411" t="str">
        <f t="shared" ref="H1411:H1474" si="89">CONCATENATE(F1411," - ",G1411)</f>
        <v>Valparaíso de Goiás - GO</v>
      </c>
      <c r="I1411" s="1" t="s">
        <v>218</v>
      </c>
      <c r="J1411" s="3">
        <v>50</v>
      </c>
      <c r="K1411" s="4">
        <f t="shared" ref="K1411:K1474" si="90">J1411/(I1411*I1411)</f>
        <v>13.423179145748879</v>
      </c>
      <c r="L1411" s="1" t="str">
        <f t="shared" ref="L1411:L1474" si="91">IF(K1411&gt;=40,"Obesidade grau III - mórbida",
IF(K1411&gt;=35,"Obesidade grau II - severa",
IF(K1411&gt;=30,"Obesidade grau I",
IF(K1411&gt;=25,"Levemente acima do peso",
IF(K1411&gt;=18.6,"Peso ideal - parabéns",
IF(K1411&gt;=17,"Abaixo do peso",
"Muito abaixo do peso"))))))</f>
        <v>Muito abaixo do peso</v>
      </c>
      <c r="M1411" t="s">
        <v>76</v>
      </c>
    </row>
    <row r="1412" spans="1:13" x14ac:dyDescent="0.25">
      <c r="A1412">
        <v>1411</v>
      </c>
      <c r="B1412" t="s">
        <v>909</v>
      </c>
      <c r="C1412" s="2" t="s">
        <v>910</v>
      </c>
      <c r="D1412" s="2">
        <f t="shared" ca="1" si="88"/>
        <v>82</v>
      </c>
      <c r="E1412" t="s">
        <v>10</v>
      </c>
      <c r="F1412" t="s">
        <v>89</v>
      </c>
      <c r="G1412" t="s">
        <v>12</v>
      </c>
      <c r="H1412" t="str">
        <f t="shared" si="89"/>
        <v>Fortaleza - CE</v>
      </c>
      <c r="I1412" s="1" t="s">
        <v>171</v>
      </c>
      <c r="J1412" s="3">
        <v>103</v>
      </c>
      <c r="K1412" s="4">
        <f t="shared" si="90"/>
        <v>36.932123776399301</v>
      </c>
      <c r="L1412" s="1" t="str">
        <f t="shared" si="91"/>
        <v>Obesidade grau II - severa</v>
      </c>
      <c r="M1412" t="s">
        <v>83</v>
      </c>
    </row>
    <row r="1413" spans="1:13" x14ac:dyDescent="0.25">
      <c r="A1413">
        <v>1412</v>
      </c>
      <c r="B1413" t="s">
        <v>2701</v>
      </c>
      <c r="C1413" s="2" t="s">
        <v>2702</v>
      </c>
      <c r="D1413" s="2">
        <f t="shared" ca="1" si="88"/>
        <v>26</v>
      </c>
      <c r="E1413" t="s">
        <v>10</v>
      </c>
      <c r="F1413" t="s">
        <v>236</v>
      </c>
      <c r="G1413" t="s">
        <v>237</v>
      </c>
      <c r="H1413" t="str">
        <f t="shared" si="89"/>
        <v>Teresina - PI</v>
      </c>
      <c r="I1413" s="1" t="s">
        <v>171</v>
      </c>
      <c r="J1413" s="3">
        <v>55</v>
      </c>
      <c r="K1413" s="4">
        <f t="shared" si="90"/>
        <v>19.721036967980208</v>
      </c>
      <c r="L1413" s="1" t="str">
        <f t="shared" si="91"/>
        <v>Peso ideal - parabéns</v>
      </c>
      <c r="M1413" t="s">
        <v>20</v>
      </c>
    </row>
    <row r="1414" spans="1:13" x14ac:dyDescent="0.25">
      <c r="A1414">
        <v>1413</v>
      </c>
      <c r="B1414" t="s">
        <v>2927</v>
      </c>
      <c r="C1414" s="2" t="s">
        <v>2891</v>
      </c>
      <c r="D1414" s="2">
        <f t="shared" ca="1" si="88"/>
        <v>44</v>
      </c>
      <c r="E1414" t="s">
        <v>23</v>
      </c>
      <c r="F1414" t="s">
        <v>446</v>
      </c>
      <c r="G1414" t="s">
        <v>170</v>
      </c>
      <c r="H1414" t="str">
        <f t="shared" si="89"/>
        <v>Arapiraca - AL</v>
      </c>
      <c r="I1414" s="1" t="s">
        <v>286</v>
      </c>
      <c r="J1414" s="3">
        <v>65</v>
      </c>
      <c r="K1414" s="4">
        <f t="shared" si="90"/>
        <v>23.875114784205696</v>
      </c>
      <c r="L1414" s="1" t="str">
        <f t="shared" si="91"/>
        <v>Peso ideal - parabéns</v>
      </c>
      <c r="M1414" t="s">
        <v>32</v>
      </c>
    </row>
    <row r="1415" spans="1:13" x14ac:dyDescent="0.25">
      <c r="A1415">
        <v>1414</v>
      </c>
      <c r="B1415" t="s">
        <v>38</v>
      </c>
      <c r="C1415" s="2" t="s">
        <v>39</v>
      </c>
      <c r="D1415" s="2">
        <f t="shared" ca="1" si="88"/>
        <v>34</v>
      </c>
      <c r="E1415" t="s">
        <v>23</v>
      </c>
      <c r="F1415" t="s">
        <v>40</v>
      </c>
      <c r="G1415" t="s">
        <v>41</v>
      </c>
      <c r="H1415" t="str">
        <f t="shared" si="89"/>
        <v>Campina Grande - PB</v>
      </c>
      <c r="I1415" s="1" t="s">
        <v>42</v>
      </c>
      <c r="J1415" s="3">
        <v>52</v>
      </c>
      <c r="K1415" s="4">
        <f t="shared" si="90"/>
        <v>16.229206329390468</v>
      </c>
      <c r="L1415" s="1" t="str">
        <f t="shared" si="91"/>
        <v>Muito abaixo do peso</v>
      </c>
      <c r="M1415" t="s">
        <v>20</v>
      </c>
    </row>
    <row r="1416" spans="1:13" x14ac:dyDescent="0.25">
      <c r="A1416">
        <v>1415</v>
      </c>
      <c r="B1416" t="s">
        <v>3126</v>
      </c>
      <c r="C1416" s="2" t="s">
        <v>2421</v>
      </c>
      <c r="D1416" s="2">
        <f t="shared" ca="1" si="88"/>
        <v>48</v>
      </c>
      <c r="E1416" t="s">
        <v>23</v>
      </c>
      <c r="F1416" t="s">
        <v>204</v>
      </c>
      <c r="G1416" t="s">
        <v>112</v>
      </c>
      <c r="H1416" t="str">
        <f t="shared" si="89"/>
        <v>Belém - PA</v>
      </c>
      <c r="I1416" s="1" t="s">
        <v>198</v>
      </c>
      <c r="J1416" s="3">
        <v>54</v>
      </c>
      <c r="K1416" s="4">
        <f t="shared" si="90"/>
        <v>21.907582457706194</v>
      </c>
      <c r="L1416" s="1" t="str">
        <f t="shared" si="91"/>
        <v>Peso ideal - parabéns</v>
      </c>
      <c r="M1416" t="s">
        <v>32</v>
      </c>
    </row>
    <row r="1417" spans="1:13" x14ac:dyDescent="0.25">
      <c r="A1417">
        <v>1416</v>
      </c>
      <c r="B1417" t="s">
        <v>387</v>
      </c>
      <c r="C1417" s="2" t="s">
        <v>388</v>
      </c>
      <c r="D1417" s="2">
        <f t="shared" ca="1" si="88"/>
        <v>62</v>
      </c>
      <c r="E1417" t="s">
        <v>23</v>
      </c>
      <c r="F1417" t="s">
        <v>321</v>
      </c>
      <c r="G1417" t="s">
        <v>273</v>
      </c>
      <c r="H1417" t="str">
        <f t="shared" si="89"/>
        <v>Cariacica - ES</v>
      </c>
      <c r="I1417" s="1" t="s">
        <v>31</v>
      </c>
      <c r="J1417" s="3">
        <v>45</v>
      </c>
      <c r="K1417" s="4">
        <f t="shared" si="90"/>
        <v>16.731112433075552</v>
      </c>
      <c r="L1417" s="1" t="str">
        <f t="shared" si="91"/>
        <v>Muito abaixo do peso</v>
      </c>
      <c r="M1417" t="s">
        <v>76</v>
      </c>
    </row>
    <row r="1418" spans="1:13" x14ac:dyDescent="0.25">
      <c r="A1418">
        <v>1417</v>
      </c>
      <c r="B1418" t="s">
        <v>2848</v>
      </c>
      <c r="C1418" s="2" t="s">
        <v>2849</v>
      </c>
      <c r="D1418" s="2">
        <f t="shared" ca="1" si="88"/>
        <v>58</v>
      </c>
      <c r="E1418" t="s">
        <v>23</v>
      </c>
      <c r="F1418" t="s">
        <v>236</v>
      </c>
      <c r="G1418" t="s">
        <v>237</v>
      </c>
      <c r="H1418" t="str">
        <f t="shared" si="89"/>
        <v>Teresina - PI</v>
      </c>
      <c r="I1418" s="1" t="s">
        <v>104</v>
      </c>
      <c r="J1418" s="3">
        <v>70</v>
      </c>
      <c r="K1418" s="4">
        <f t="shared" si="90"/>
        <v>24.221453287197235</v>
      </c>
      <c r="L1418" s="1" t="str">
        <f t="shared" si="91"/>
        <v>Peso ideal - parabéns</v>
      </c>
      <c r="M1418" t="s">
        <v>47</v>
      </c>
    </row>
    <row r="1419" spans="1:13" x14ac:dyDescent="0.25">
      <c r="A1419">
        <v>1418</v>
      </c>
      <c r="B1419" t="s">
        <v>1349</v>
      </c>
      <c r="C1419" s="2" t="s">
        <v>1350</v>
      </c>
      <c r="D1419" s="2">
        <f t="shared" ca="1" si="88"/>
        <v>68</v>
      </c>
      <c r="E1419" t="s">
        <v>23</v>
      </c>
      <c r="F1419" t="s">
        <v>169</v>
      </c>
      <c r="G1419" t="s">
        <v>170</v>
      </c>
      <c r="H1419" t="str">
        <f t="shared" si="89"/>
        <v>Maceió - AL</v>
      </c>
      <c r="I1419" s="1" t="s">
        <v>123</v>
      </c>
      <c r="J1419" s="3">
        <v>47</v>
      </c>
      <c r="K1419" s="4">
        <f t="shared" si="90"/>
        <v>15.173037190082646</v>
      </c>
      <c r="L1419" s="1" t="str">
        <f t="shared" si="91"/>
        <v>Muito abaixo do peso</v>
      </c>
      <c r="M1419" t="s">
        <v>47</v>
      </c>
    </row>
    <row r="1420" spans="1:13" x14ac:dyDescent="0.25">
      <c r="A1420">
        <v>1419</v>
      </c>
      <c r="B1420" t="s">
        <v>3580</v>
      </c>
      <c r="C1420" s="2" t="s">
        <v>3581</v>
      </c>
      <c r="D1420" s="2">
        <f t="shared" ca="1" si="88"/>
        <v>65</v>
      </c>
      <c r="E1420" t="s">
        <v>23</v>
      </c>
      <c r="F1420" t="s">
        <v>564</v>
      </c>
      <c r="G1420" t="s">
        <v>565</v>
      </c>
      <c r="H1420" t="str">
        <f t="shared" si="89"/>
        <v>Rio Branco - AC</v>
      </c>
      <c r="I1420" s="1" t="s">
        <v>13</v>
      </c>
      <c r="J1420" s="3">
        <v>90</v>
      </c>
      <c r="K1420" s="4">
        <f t="shared" si="90"/>
        <v>30.778701138811947</v>
      </c>
      <c r="L1420" s="1" t="str">
        <f t="shared" si="91"/>
        <v>Obesidade grau I</v>
      </c>
      <c r="M1420" t="s">
        <v>76</v>
      </c>
    </row>
    <row r="1421" spans="1:13" x14ac:dyDescent="0.25">
      <c r="A1421">
        <v>1420</v>
      </c>
      <c r="B1421" t="s">
        <v>2235</v>
      </c>
      <c r="C1421" s="2" t="s">
        <v>2236</v>
      </c>
      <c r="D1421" s="2">
        <f t="shared" ca="1" si="88"/>
        <v>73</v>
      </c>
      <c r="E1421" t="s">
        <v>23</v>
      </c>
      <c r="F1421" t="s">
        <v>244</v>
      </c>
      <c r="G1421" t="s">
        <v>60</v>
      </c>
      <c r="H1421" t="str">
        <f t="shared" si="89"/>
        <v>Araguaína - TO</v>
      </c>
      <c r="I1421" s="1" t="s">
        <v>94</v>
      </c>
      <c r="J1421" s="3">
        <v>58</v>
      </c>
      <c r="K1421" s="4">
        <f t="shared" si="90"/>
        <v>19.379197433926961</v>
      </c>
      <c r="L1421" s="1" t="str">
        <f t="shared" si="91"/>
        <v>Peso ideal - parabéns</v>
      </c>
      <c r="M1421" t="s">
        <v>14</v>
      </c>
    </row>
    <row r="1422" spans="1:13" x14ac:dyDescent="0.25">
      <c r="A1422">
        <v>1421</v>
      </c>
      <c r="B1422" t="s">
        <v>393</v>
      </c>
      <c r="C1422" s="2" t="s">
        <v>394</v>
      </c>
      <c r="D1422" s="2">
        <f t="shared" ca="1" si="88"/>
        <v>65</v>
      </c>
      <c r="E1422" t="s">
        <v>23</v>
      </c>
      <c r="F1422" t="s">
        <v>395</v>
      </c>
      <c r="G1422" t="s">
        <v>36</v>
      </c>
      <c r="H1422" t="str">
        <f t="shared" si="89"/>
        <v>Imperatriz - MA</v>
      </c>
      <c r="I1422" s="1" t="s">
        <v>155</v>
      </c>
      <c r="J1422" s="3">
        <v>63</v>
      </c>
      <c r="K1422" s="4">
        <f t="shared" si="90"/>
        <v>19.019442096365172</v>
      </c>
      <c r="L1422" s="1" t="str">
        <f t="shared" si="91"/>
        <v>Peso ideal - parabéns</v>
      </c>
      <c r="M1422" t="s">
        <v>83</v>
      </c>
    </row>
    <row r="1423" spans="1:13" x14ac:dyDescent="0.25">
      <c r="A1423">
        <v>1422</v>
      </c>
      <c r="B1423" t="s">
        <v>2542</v>
      </c>
      <c r="C1423" s="2" t="s">
        <v>2543</v>
      </c>
      <c r="D1423" s="2">
        <f t="shared" ca="1" si="88"/>
        <v>38</v>
      </c>
      <c r="E1423" t="s">
        <v>23</v>
      </c>
      <c r="F1423" t="s">
        <v>153</v>
      </c>
      <c r="G1423" t="s">
        <v>154</v>
      </c>
      <c r="H1423" t="str">
        <f t="shared" si="89"/>
        <v>Manaus - AM</v>
      </c>
      <c r="I1423" s="1" t="s">
        <v>179</v>
      </c>
      <c r="J1423" s="3">
        <v>83</v>
      </c>
      <c r="K1423" s="4">
        <f t="shared" si="90"/>
        <v>27.414453692693883</v>
      </c>
      <c r="L1423" s="1" t="str">
        <f t="shared" si="91"/>
        <v>Levemente acima do peso</v>
      </c>
      <c r="M1423" t="s">
        <v>95</v>
      </c>
    </row>
    <row r="1424" spans="1:13" x14ac:dyDescent="0.25">
      <c r="A1424">
        <v>1423</v>
      </c>
      <c r="B1424" t="s">
        <v>2729</v>
      </c>
      <c r="C1424" s="2" t="s">
        <v>2087</v>
      </c>
      <c r="D1424" s="2">
        <f t="shared" ca="1" si="88"/>
        <v>75</v>
      </c>
      <c r="E1424" t="s">
        <v>23</v>
      </c>
      <c r="F1424" t="s">
        <v>681</v>
      </c>
      <c r="G1424" t="s">
        <v>175</v>
      </c>
      <c r="H1424" t="str">
        <f t="shared" si="89"/>
        <v>Jaboatão dos Guararapes - PE</v>
      </c>
      <c r="I1424" s="1" t="s">
        <v>56</v>
      </c>
      <c r="J1424" s="3">
        <v>64</v>
      </c>
      <c r="K1424" s="4">
        <f t="shared" si="90"/>
        <v>22.408178985329648</v>
      </c>
      <c r="L1424" s="1" t="str">
        <f t="shared" si="91"/>
        <v>Peso ideal - parabéns</v>
      </c>
      <c r="M1424" t="s">
        <v>47</v>
      </c>
    </row>
    <row r="1425" spans="1:13" x14ac:dyDescent="0.25">
      <c r="A1425">
        <v>1424</v>
      </c>
      <c r="B1425" t="s">
        <v>2127</v>
      </c>
      <c r="C1425" s="2" t="s">
        <v>2128</v>
      </c>
      <c r="D1425" s="2">
        <f t="shared" ca="1" si="88"/>
        <v>50</v>
      </c>
      <c r="E1425" t="s">
        <v>23</v>
      </c>
      <c r="F1425" t="s">
        <v>40</v>
      </c>
      <c r="G1425" t="s">
        <v>41</v>
      </c>
      <c r="H1425" t="str">
        <f t="shared" si="89"/>
        <v>Campina Grande - PB</v>
      </c>
      <c r="I1425" s="1" t="s">
        <v>155</v>
      </c>
      <c r="J1425" s="3">
        <v>79</v>
      </c>
      <c r="K1425" s="4">
        <f t="shared" si="90"/>
        <v>23.849776597029344</v>
      </c>
      <c r="L1425" s="1" t="str">
        <f t="shared" si="91"/>
        <v>Peso ideal - parabéns</v>
      </c>
      <c r="M1425" t="s">
        <v>20</v>
      </c>
    </row>
    <row r="1426" spans="1:13" x14ac:dyDescent="0.25">
      <c r="A1426">
        <v>1425</v>
      </c>
      <c r="B1426" t="s">
        <v>3598</v>
      </c>
      <c r="C1426" s="2" t="s">
        <v>3293</v>
      </c>
      <c r="D1426" s="2">
        <f t="shared" ca="1" si="88"/>
        <v>44</v>
      </c>
      <c r="E1426" t="s">
        <v>10</v>
      </c>
      <c r="F1426" t="s">
        <v>3599</v>
      </c>
      <c r="G1426" t="s">
        <v>186</v>
      </c>
      <c r="H1426" t="str">
        <f t="shared" si="89"/>
        <v>Caratinga - MG</v>
      </c>
      <c r="I1426" s="1" t="s">
        <v>113</v>
      </c>
      <c r="J1426" s="3">
        <v>73</v>
      </c>
      <c r="K1426" s="4">
        <f t="shared" si="90"/>
        <v>27.475629493018182</v>
      </c>
      <c r="L1426" s="1" t="str">
        <f t="shared" si="91"/>
        <v>Levemente acima do peso</v>
      </c>
      <c r="M1426" t="s">
        <v>26</v>
      </c>
    </row>
    <row r="1427" spans="1:13" x14ac:dyDescent="0.25">
      <c r="A1427">
        <v>1426</v>
      </c>
      <c r="B1427" t="s">
        <v>3977</v>
      </c>
      <c r="C1427" s="2" t="s">
        <v>788</v>
      </c>
      <c r="D1427" s="2">
        <f t="shared" ca="1" si="88"/>
        <v>61</v>
      </c>
      <c r="E1427" t="s">
        <v>10</v>
      </c>
      <c r="F1427" t="s">
        <v>138</v>
      </c>
      <c r="G1427" t="s">
        <v>46</v>
      </c>
      <c r="H1427" t="str">
        <f t="shared" si="89"/>
        <v>Aparecida de Goiânia - GO</v>
      </c>
      <c r="I1427" s="1" t="s">
        <v>218</v>
      </c>
      <c r="J1427" s="3">
        <v>97</v>
      </c>
      <c r="K1427" s="4">
        <f t="shared" si="90"/>
        <v>26.040967542752828</v>
      </c>
      <c r="L1427" s="1" t="str">
        <f t="shared" si="91"/>
        <v>Levemente acima do peso</v>
      </c>
      <c r="M1427" t="s">
        <v>95</v>
      </c>
    </row>
    <row r="1428" spans="1:13" x14ac:dyDescent="0.25">
      <c r="A1428">
        <v>1427</v>
      </c>
      <c r="B1428" t="s">
        <v>2066</v>
      </c>
      <c r="C1428" s="2" t="s">
        <v>2067</v>
      </c>
      <c r="D1428" s="2">
        <f t="shared" ca="1" si="88"/>
        <v>36</v>
      </c>
      <c r="E1428" t="s">
        <v>10</v>
      </c>
      <c r="F1428" t="s">
        <v>2068</v>
      </c>
      <c r="G1428" t="s">
        <v>70</v>
      </c>
      <c r="H1428" t="str">
        <f t="shared" si="89"/>
        <v>Areia Branca - SE</v>
      </c>
      <c r="I1428" s="1" t="s">
        <v>171</v>
      </c>
      <c r="J1428" s="3">
        <v>50</v>
      </c>
      <c r="K1428" s="4">
        <f t="shared" si="90"/>
        <v>17.928215425436552</v>
      </c>
      <c r="L1428" s="1" t="str">
        <f t="shared" si="91"/>
        <v>Abaixo do peso</v>
      </c>
      <c r="M1428" t="s">
        <v>14</v>
      </c>
    </row>
    <row r="1429" spans="1:13" x14ac:dyDescent="0.25">
      <c r="A1429">
        <v>1428</v>
      </c>
      <c r="B1429" t="s">
        <v>268</v>
      </c>
      <c r="C1429" s="2" t="s">
        <v>269</v>
      </c>
      <c r="D1429" s="2">
        <f t="shared" ca="1" si="88"/>
        <v>57</v>
      </c>
      <c r="E1429" t="s">
        <v>10</v>
      </c>
      <c r="F1429" t="s">
        <v>244</v>
      </c>
      <c r="G1429" t="s">
        <v>60</v>
      </c>
      <c r="H1429" t="str">
        <f t="shared" si="89"/>
        <v>Araguaína - TO</v>
      </c>
      <c r="I1429" s="1" t="s">
        <v>113</v>
      </c>
      <c r="J1429" s="3">
        <v>98</v>
      </c>
      <c r="K1429" s="4">
        <f t="shared" si="90"/>
        <v>36.885091648161392</v>
      </c>
      <c r="L1429" s="1" t="str">
        <f t="shared" si="91"/>
        <v>Obesidade grau II - severa</v>
      </c>
      <c r="M1429" t="s">
        <v>26</v>
      </c>
    </row>
    <row r="1430" spans="1:13" x14ac:dyDescent="0.25">
      <c r="A1430">
        <v>1429</v>
      </c>
      <c r="B1430" t="s">
        <v>425</v>
      </c>
      <c r="C1430" s="2" t="s">
        <v>426</v>
      </c>
      <c r="D1430" s="2">
        <f t="shared" ca="1" si="88"/>
        <v>55</v>
      </c>
      <c r="E1430" t="s">
        <v>10</v>
      </c>
      <c r="F1430" t="s">
        <v>141</v>
      </c>
      <c r="G1430" t="s">
        <v>12</v>
      </c>
      <c r="H1430" t="str">
        <f t="shared" si="89"/>
        <v>Iguatu - CE</v>
      </c>
      <c r="I1430" s="1" t="s">
        <v>201</v>
      </c>
      <c r="J1430" s="3">
        <v>57</v>
      </c>
      <c r="K1430" s="4">
        <f t="shared" si="90"/>
        <v>14.837567680133279</v>
      </c>
      <c r="L1430" s="1" t="str">
        <f t="shared" si="91"/>
        <v>Muito abaixo do peso</v>
      </c>
      <c r="M1430" t="s">
        <v>47</v>
      </c>
    </row>
    <row r="1431" spans="1:13" x14ac:dyDescent="0.25">
      <c r="A1431">
        <v>1430</v>
      </c>
      <c r="B1431" t="s">
        <v>3463</v>
      </c>
      <c r="C1431" s="2" t="s">
        <v>3464</v>
      </c>
      <c r="D1431" s="2">
        <f t="shared" ca="1" si="88"/>
        <v>65</v>
      </c>
      <c r="E1431" t="s">
        <v>10</v>
      </c>
      <c r="F1431" t="s">
        <v>45</v>
      </c>
      <c r="G1431" t="s">
        <v>46</v>
      </c>
      <c r="H1431" t="str">
        <f t="shared" si="89"/>
        <v>Goiânia - GO</v>
      </c>
      <c r="I1431" s="1" t="s">
        <v>37</v>
      </c>
      <c r="J1431" s="3">
        <v>71</v>
      </c>
      <c r="K1431" s="4">
        <f t="shared" si="90"/>
        <v>18.294725450282151</v>
      </c>
      <c r="L1431" s="1" t="str">
        <f t="shared" si="91"/>
        <v>Abaixo do peso</v>
      </c>
      <c r="M1431" t="s">
        <v>47</v>
      </c>
    </row>
    <row r="1432" spans="1:13" x14ac:dyDescent="0.25">
      <c r="A1432">
        <v>1431</v>
      </c>
      <c r="B1432" t="s">
        <v>3848</v>
      </c>
      <c r="C1432" s="2" t="s">
        <v>3849</v>
      </c>
      <c r="D1432" s="2">
        <f t="shared" ca="1" si="88"/>
        <v>58</v>
      </c>
      <c r="E1432" t="s">
        <v>10</v>
      </c>
      <c r="F1432" t="s">
        <v>153</v>
      </c>
      <c r="G1432" t="s">
        <v>154</v>
      </c>
      <c r="H1432" t="str">
        <f t="shared" si="89"/>
        <v>Manaus - AM</v>
      </c>
      <c r="I1432" s="1" t="s">
        <v>104</v>
      </c>
      <c r="J1432" s="3">
        <v>53</v>
      </c>
      <c r="K1432" s="4">
        <f t="shared" si="90"/>
        <v>18.339100346020764</v>
      </c>
      <c r="L1432" s="1" t="str">
        <f t="shared" si="91"/>
        <v>Abaixo do peso</v>
      </c>
      <c r="M1432" t="s">
        <v>95</v>
      </c>
    </row>
    <row r="1433" spans="1:13" x14ac:dyDescent="0.25">
      <c r="A1433">
        <v>1432</v>
      </c>
      <c r="B1433" t="s">
        <v>592</v>
      </c>
      <c r="C1433" s="2" t="s">
        <v>593</v>
      </c>
      <c r="D1433" s="2">
        <f t="shared" ca="1" si="88"/>
        <v>81</v>
      </c>
      <c r="E1433" t="s">
        <v>23</v>
      </c>
      <c r="F1433" t="s">
        <v>17</v>
      </c>
      <c r="G1433" t="s">
        <v>18</v>
      </c>
      <c r="H1433" t="str">
        <f t="shared" si="89"/>
        <v>Campo Grande - MS</v>
      </c>
      <c r="I1433" s="1" t="s">
        <v>13</v>
      </c>
      <c r="J1433" s="3">
        <v>47</v>
      </c>
      <c r="K1433" s="4">
        <f t="shared" si="90"/>
        <v>16.073321705824014</v>
      </c>
      <c r="L1433" s="1" t="str">
        <f t="shared" si="91"/>
        <v>Muito abaixo do peso</v>
      </c>
      <c r="M1433" t="s">
        <v>76</v>
      </c>
    </row>
    <row r="1434" spans="1:13" x14ac:dyDescent="0.25">
      <c r="A1434">
        <v>1433</v>
      </c>
      <c r="B1434" t="s">
        <v>1381</v>
      </c>
      <c r="C1434" s="2" t="s">
        <v>1382</v>
      </c>
      <c r="D1434" s="2">
        <f t="shared" ca="1" si="88"/>
        <v>80</v>
      </c>
      <c r="E1434" t="s">
        <v>23</v>
      </c>
      <c r="F1434" t="s">
        <v>59</v>
      </c>
      <c r="G1434" t="s">
        <v>60</v>
      </c>
      <c r="H1434" t="str">
        <f t="shared" si="89"/>
        <v>Palmas - TO</v>
      </c>
      <c r="I1434" s="1" t="s">
        <v>31</v>
      </c>
      <c r="J1434" s="3">
        <v>68</v>
      </c>
      <c r="K1434" s="4">
        <f t="shared" si="90"/>
        <v>25.282569898869724</v>
      </c>
      <c r="L1434" s="1" t="str">
        <f t="shared" si="91"/>
        <v>Levemente acima do peso</v>
      </c>
      <c r="M1434" t="s">
        <v>95</v>
      </c>
    </row>
    <row r="1435" spans="1:13" x14ac:dyDescent="0.25">
      <c r="A1435">
        <v>1434</v>
      </c>
      <c r="B1435" t="s">
        <v>3484</v>
      </c>
      <c r="C1435" s="2" t="s">
        <v>3485</v>
      </c>
      <c r="D1435" s="2">
        <f t="shared" ca="1" si="88"/>
        <v>54</v>
      </c>
      <c r="E1435" t="s">
        <v>23</v>
      </c>
      <c r="F1435" t="s">
        <v>636</v>
      </c>
      <c r="G1435" t="s">
        <v>131</v>
      </c>
      <c r="H1435" t="str">
        <f t="shared" si="89"/>
        <v>Criciúma - SC</v>
      </c>
      <c r="I1435" s="1" t="s">
        <v>56</v>
      </c>
      <c r="J1435" s="3">
        <v>60</v>
      </c>
      <c r="K1435" s="4">
        <f t="shared" si="90"/>
        <v>21.007667798746546</v>
      </c>
      <c r="L1435" s="1" t="str">
        <f t="shared" si="91"/>
        <v>Peso ideal - parabéns</v>
      </c>
      <c r="M1435" t="s">
        <v>20</v>
      </c>
    </row>
    <row r="1436" spans="1:13" x14ac:dyDescent="0.25">
      <c r="A1436">
        <v>1435</v>
      </c>
      <c r="B1436" t="s">
        <v>3898</v>
      </c>
      <c r="C1436" s="2" t="s">
        <v>3186</v>
      </c>
      <c r="D1436" s="2">
        <f t="shared" ca="1" si="88"/>
        <v>23</v>
      </c>
      <c r="E1436" t="s">
        <v>23</v>
      </c>
      <c r="F1436" t="s">
        <v>528</v>
      </c>
      <c r="G1436" t="s">
        <v>51</v>
      </c>
      <c r="H1436" t="str">
        <f t="shared" si="89"/>
        <v>Nova Iguaçu - RJ</v>
      </c>
      <c r="I1436" s="1" t="s">
        <v>360</v>
      </c>
      <c r="J1436" s="3">
        <v>85</v>
      </c>
      <c r="K1436" s="4">
        <f t="shared" si="90"/>
        <v>34.049030604069856</v>
      </c>
      <c r="L1436" s="1" t="str">
        <f t="shared" si="91"/>
        <v>Obesidade grau I</v>
      </c>
      <c r="M1436" t="s">
        <v>47</v>
      </c>
    </row>
    <row r="1437" spans="1:13" x14ac:dyDescent="0.25">
      <c r="A1437">
        <v>1436</v>
      </c>
      <c r="B1437" t="s">
        <v>3840</v>
      </c>
      <c r="C1437" s="2" t="s">
        <v>3403</v>
      </c>
      <c r="D1437" s="2">
        <f t="shared" ca="1" si="88"/>
        <v>54</v>
      </c>
      <c r="E1437" t="s">
        <v>23</v>
      </c>
      <c r="F1437" t="s">
        <v>45</v>
      </c>
      <c r="G1437" t="s">
        <v>46</v>
      </c>
      <c r="H1437" t="str">
        <f t="shared" si="89"/>
        <v>Goiânia - GO</v>
      </c>
      <c r="I1437" s="1" t="s">
        <v>155</v>
      </c>
      <c r="J1437" s="3">
        <v>60</v>
      </c>
      <c r="K1437" s="4">
        <f t="shared" si="90"/>
        <v>18.11375437749064</v>
      </c>
      <c r="L1437" s="1" t="str">
        <f t="shared" si="91"/>
        <v>Abaixo do peso</v>
      </c>
      <c r="M1437" t="s">
        <v>47</v>
      </c>
    </row>
    <row r="1438" spans="1:13" x14ac:dyDescent="0.25">
      <c r="A1438">
        <v>1437</v>
      </c>
      <c r="B1438" t="s">
        <v>322</v>
      </c>
      <c r="C1438" s="2" t="s">
        <v>323</v>
      </c>
      <c r="D1438" s="2">
        <f t="shared" ca="1" si="88"/>
        <v>81</v>
      </c>
      <c r="E1438" t="s">
        <v>23</v>
      </c>
      <c r="F1438" t="s">
        <v>74</v>
      </c>
      <c r="G1438" t="s">
        <v>75</v>
      </c>
      <c r="H1438" t="str">
        <f t="shared" si="89"/>
        <v>Macapá - AP</v>
      </c>
      <c r="I1438" s="1" t="s">
        <v>13</v>
      </c>
      <c r="J1438" s="3">
        <v>55</v>
      </c>
      <c r="K1438" s="4">
        <f t="shared" si="90"/>
        <v>18.809206251496189</v>
      </c>
      <c r="L1438" s="1" t="str">
        <f t="shared" si="91"/>
        <v>Peso ideal - parabéns</v>
      </c>
      <c r="M1438" t="s">
        <v>95</v>
      </c>
    </row>
    <row r="1439" spans="1:13" x14ac:dyDescent="0.25">
      <c r="A1439">
        <v>1438</v>
      </c>
      <c r="B1439" t="s">
        <v>2864</v>
      </c>
      <c r="C1439" s="2" t="s">
        <v>2865</v>
      </c>
      <c r="D1439" s="2">
        <f t="shared" ca="1" si="88"/>
        <v>49</v>
      </c>
      <c r="E1439" t="s">
        <v>23</v>
      </c>
      <c r="F1439" t="s">
        <v>439</v>
      </c>
      <c r="G1439" t="s">
        <v>190</v>
      </c>
      <c r="H1439" t="str">
        <f t="shared" si="89"/>
        <v>Rondonópolis - MT</v>
      </c>
      <c r="I1439" s="1" t="s">
        <v>123</v>
      </c>
      <c r="J1439" s="3">
        <v>82</v>
      </c>
      <c r="K1439" s="4">
        <f t="shared" si="90"/>
        <v>26.472107438016529</v>
      </c>
      <c r="L1439" s="1" t="str">
        <f t="shared" si="91"/>
        <v>Levemente acima do peso</v>
      </c>
      <c r="M1439" t="s">
        <v>14</v>
      </c>
    </row>
    <row r="1440" spans="1:13" x14ac:dyDescent="0.25">
      <c r="A1440">
        <v>1439</v>
      </c>
      <c r="B1440" t="s">
        <v>3719</v>
      </c>
      <c r="C1440" s="2" t="s">
        <v>3720</v>
      </c>
      <c r="D1440" s="2">
        <f t="shared" ca="1" si="88"/>
        <v>28</v>
      </c>
      <c r="E1440" t="s">
        <v>23</v>
      </c>
      <c r="F1440" t="s">
        <v>564</v>
      </c>
      <c r="G1440" t="s">
        <v>565</v>
      </c>
      <c r="H1440" t="str">
        <f t="shared" si="89"/>
        <v>Rio Branco - AC</v>
      </c>
      <c r="I1440" s="1" t="s">
        <v>31</v>
      </c>
      <c r="J1440" s="3">
        <v>83</v>
      </c>
      <c r="K1440" s="4">
        <f t="shared" si="90"/>
        <v>30.859607376561577</v>
      </c>
      <c r="L1440" s="1" t="str">
        <f t="shared" si="91"/>
        <v>Obesidade grau I</v>
      </c>
      <c r="M1440" t="s">
        <v>76</v>
      </c>
    </row>
    <row r="1441" spans="1:13" x14ac:dyDescent="0.25">
      <c r="A1441">
        <v>1440</v>
      </c>
      <c r="B1441" t="s">
        <v>403</v>
      </c>
      <c r="C1441" s="2" t="s">
        <v>404</v>
      </c>
      <c r="D1441" s="2">
        <f t="shared" ca="1" si="88"/>
        <v>39</v>
      </c>
      <c r="E1441" t="s">
        <v>23</v>
      </c>
      <c r="F1441" t="s">
        <v>405</v>
      </c>
      <c r="G1441" t="s">
        <v>170</v>
      </c>
      <c r="H1441" t="str">
        <f t="shared" si="89"/>
        <v>Palmeira dos Índios - AL</v>
      </c>
      <c r="I1441" s="1" t="s">
        <v>281</v>
      </c>
      <c r="J1441" s="3">
        <v>55</v>
      </c>
      <c r="K1441" s="4">
        <f t="shared" si="90"/>
        <v>20.957171162932475</v>
      </c>
      <c r="L1441" s="1" t="str">
        <f t="shared" si="91"/>
        <v>Peso ideal - parabéns</v>
      </c>
      <c r="M1441" t="s">
        <v>83</v>
      </c>
    </row>
    <row r="1442" spans="1:13" x14ac:dyDescent="0.25">
      <c r="A1442">
        <v>1441</v>
      </c>
      <c r="B1442" t="s">
        <v>2721</v>
      </c>
      <c r="C1442" s="2" t="s">
        <v>2722</v>
      </c>
      <c r="D1442" s="2">
        <f t="shared" ca="1" si="88"/>
        <v>72</v>
      </c>
      <c r="E1442" t="s">
        <v>23</v>
      </c>
      <c r="F1442" t="s">
        <v>158</v>
      </c>
      <c r="G1442" t="s">
        <v>159</v>
      </c>
      <c r="H1442" t="str">
        <f t="shared" si="89"/>
        <v>Brasília - DF</v>
      </c>
      <c r="I1442" s="1" t="s">
        <v>31</v>
      </c>
      <c r="J1442" s="3">
        <v>64</v>
      </c>
      <c r="K1442" s="4">
        <f t="shared" si="90"/>
        <v>23.795359904818564</v>
      </c>
      <c r="L1442" s="1" t="str">
        <f t="shared" si="91"/>
        <v>Peso ideal - parabéns</v>
      </c>
      <c r="M1442" t="s">
        <v>32</v>
      </c>
    </row>
    <row r="1443" spans="1:13" x14ac:dyDescent="0.25">
      <c r="A1443">
        <v>1442</v>
      </c>
      <c r="B1443" t="s">
        <v>3784</v>
      </c>
      <c r="C1443" s="2" t="s">
        <v>3785</v>
      </c>
      <c r="D1443" s="2">
        <f t="shared" ca="1" si="88"/>
        <v>49</v>
      </c>
      <c r="E1443" t="s">
        <v>23</v>
      </c>
      <c r="F1443" t="s">
        <v>107</v>
      </c>
      <c r="G1443" t="s">
        <v>36</v>
      </c>
      <c r="H1443" t="str">
        <f t="shared" si="89"/>
        <v>São Luís - MA</v>
      </c>
      <c r="I1443" s="1" t="s">
        <v>166</v>
      </c>
      <c r="J1443" s="3">
        <v>60</v>
      </c>
      <c r="K1443" s="4">
        <f t="shared" si="90"/>
        <v>21.258503401360546</v>
      </c>
      <c r="L1443" s="1" t="str">
        <f t="shared" si="91"/>
        <v>Peso ideal - parabéns</v>
      </c>
      <c r="M1443" t="s">
        <v>20</v>
      </c>
    </row>
    <row r="1444" spans="1:13" x14ac:dyDescent="0.25">
      <c r="A1444">
        <v>1443</v>
      </c>
      <c r="B1444" t="s">
        <v>3784</v>
      </c>
      <c r="C1444" s="2" t="s">
        <v>3785</v>
      </c>
      <c r="D1444" s="2">
        <f t="shared" ca="1" si="88"/>
        <v>49</v>
      </c>
      <c r="E1444" t="s">
        <v>23</v>
      </c>
      <c r="F1444" t="s">
        <v>107</v>
      </c>
      <c r="G1444" t="s">
        <v>36</v>
      </c>
      <c r="H1444" t="str">
        <f t="shared" si="89"/>
        <v>São Luís - MA</v>
      </c>
      <c r="I1444" s="1" t="s">
        <v>166</v>
      </c>
      <c r="J1444" s="3">
        <v>60</v>
      </c>
      <c r="K1444" s="4">
        <f t="shared" si="90"/>
        <v>21.258503401360546</v>
      </c>
      <c r="L1444" s="1" t="str">
        <f t="shared" si="91"/>
        <v>Peso ideal - parabéns</v>
      </c>
      <c r="M1444" t="s">
        <v>20</v>
      </c>
    </row>
    <row r="1445" spans="1:13" x14ac:dyDescent="0.25">
      <c r="A1445">
        <v>1444</v>
      </c>
      <c r="B1445" t="s">
        <v>1379</v>
      </c>
      <c r="C1445" s="2" t="s">
        <v>1380</v>
      </c>
      <c r="D1445" s="2">
        <f t="shared" ca="1" si="88"/>
        <v>41</v>
      </c>
      <c r="E1445" t="s">
        <v>23</v>
      </c>
      <c r="F1445" t="s">
        <v>383</v>
      </c>
      <c r="G1445" t="s">
        <v>237</v>
      </c>
      <c r="H1445" t="str">
        <f t="shared" si="89"/>
        <v>Parnaíba - PI</v>
      </c>
      <c r="I1445" s="1" t="s">
        <v>416</v>
      </c>
      <c r="J1445" s="3">
        <v>83</v>
      </c>
      <c r="K1445" s="4">
        <f t="shared" si="90"/>
        <v>32.020369584506767</v>
      </c>
      <c r="L1445" s="1" t="str">
        <f t="shared" si="91"/>
        <v>Obesidade grau I</v>
      </c>
      <c r="M1445" t="s">
        <v>83</v>
      </c>
    </row>
    <row r="1446" spans="1:13" x14ac:dyDescent="0.25">
      <c r="A1446">
        <v>1445</v>
      </c>
      <c r="B1446" t="s">
        <v>1867</v>
      </c>
      <c r="C1446" s="2" t="s">
        <v>1868</v>
      </c>
      <c r="D1446" s="2">
        <f t="shared" ca="1" si="88"/>
        <v>28</v>
      </c>
      <c r="E1446" t="s">
        <v>23</v>
      </c>
      <c r="F1446" t="s">
        <v>1869</v>
      </c>
      <c r="G1446" t="s">
        <v>310</v>
      </c>
      <c r="H1446" t="str">
        <f t="shared" si="89"/>
        <v>Santana do Livramento - RS</v>
      </c>
      <c r="I1446" s="1" t="s">
        <v>194</v>
      </c>
      <c r="J1446" s="3">
        <v>60</v>
      </c>
      <c r="K1446" s="4">
        <f t="shared" si="90"/>
        <v>17.531044558071585</v>
      </c>
      <c r="L1446" s="1" t="str">
        <f t="shared" si="91"/>
        <v>Abaixo do peso</v>
      </c>
      <c r="M1446" t="s">
        <v>32</v>
      </c>
    </row>
    <row r="1447" spans="1:13" x14ac:dyDescent="0.25">
      <c r="A1447">
        <v>1446</v>
      </c>
      <c r="B1447" t="s">
        <v>2737</v>
      </c>
      <c r="C1447" s="2" t="s">
        <v>2738</v>
      </c>
      <c r="D1447" s="2">
        <f t="shared" ca="1" si="88"/>
        <v>46</v>
      </c>
      <c r="E1447" t="s">
        <v>23</v>
      </c>
      <c r="F1447" t="s">
        <v>564</v>
      </c>
      <c r="G1447" t="s">
        <v>565</v>
      </c>
      <c r="H1447" t="str">
        <f t="shared" si="89"/>
        <v>Rio Branco - AC</v>
      </c>
      <c r="I1447" s="1" t="s">
        <v>360</v>
      </c>
      <c r="J1447" s="3">
        <v>55</v>
      </c>
      <c r="K1447" s="4">
        <f t="shared" si="90"/>
        <v>22.031725684986377</v>
      </c>
      <c r="L1447" s="1" t="str">
        <f t="shared" si="91"/>
        <v>Peso ideal - parabéns</v>
      </c>
      <c r="M1447" t="s">
        <v>26</v>
      </c>
    </row>
    <row r="1448" spans="1:13" x14ac:dyDescent="0.25">
      <c r="A1448">
        <v>1447</v>
      </c>
      <c r="B1448" t="s">
        <v>2910</v>
      </c>
      <c r="C1448" s="2" t="s">
        <v>2911</v>
      </c>
      <c r="D1448" s="2">
        <f t="shared" ca="1" si="88"/>
        <v>45</v>
      </c>
      <c r="E1448" t="s">
        <v>23</v>
      </c>
      <c r="F1448" t="s">
        <v>457</v>
      </c>
      <c r="G1448" t="s">
        <v>41</v>
      </c>
      <c r="H1448" t="str">
        <f t="shared" si="89"/>
        <v>João Pessoa - PB</v>
      </c>
      <c r="I1448" s="1" t="s">
        <v>19</v>
      </c>
      <c r="J1448" s="3">
        <v>79</v>
      </c>
      <c r="K1448" s="4">
        <f t="shared" si="90"/>
        <v>25.216253311628201</v>
      </c>
      <c r="L1448" s="1" t="str">
        <f t="shared" si="91"/>
        <v>Levemente acima do peso</v>
      </c>
      <c r="M1448" t="s">
        <v>26</v>
      </c>
    </row>
    <row r="1449" spans="1:13" x14ac:dyDescent="0.25">
      <c r="A1449">
        <v>1448</v>
      </c>
      <c r="B1449" t="s">
        <v>1071</v>
      </c>
      <c r="C1449" s="2" t="s">
        <v>1072</v>
      </c>
      <c r="D1449" s="2">
        <f t="shared" ca="1" si="88"/>
        <v>58</v>
      </c>
      <c r="E1449" t="s">
        <v>23</v>
      </c>
      <c r="F1449" t="s">
        <v>796</v>
      </c>
      <c r="G1449" t="s">
        <v>131</v>
      </c>
      <c r="H1449" t="str">
        <f t="shared" si="89"/>
        <v>Joinville - SC</v>
      </c>
      <c r="I1449" s="1" t="s">
        <v>90</v>
      </c>
      <c r="J1449" s="3">
        <v>58</v>
      </c>
      <c r="K1449" s="4">
        <f t="shared" si="90"/>
        <v>19.605191995673341</v>
      </c>
      <c r="L1449" s="1" t="str">
        <f t="shared" si="91"/>
        <v>Peso ideal - parabéns</v>
      </c>
      <c r="M1449" t="s">
        <v>83</v>
      </c>
    </row>
    <row r="1450" spans="1:13" x14ac:dyDescent="0.25">
      <c r="A1450">
        <v>1449</v>
      </c>
      <c r="B1450" t="s">
        <v>670</v>
      </c>
      <c r="C1450" s="2" t="s">
        <v>671</v>
      </c>
      <c r="D1450" s="2">
        <f t="shared" ca="1" si="88"/>
        <v>76</v>
      </c>
      <c r="E1450" t="s">
        <v>23</v>
      </c>
      <c r="F1450" t="s">
        <v>69</v>
      </c>
      <c r="G1450" t="s">
        <v>70</v>
      </c>
      <c r="H1450" t="str">
        <f t="shared" si="89"/>
        <v>Aracaju - SE</v>
      </c>
      <c r="I1450" s="1" t="s">
        <v>90</v>
      </c>
      <c r="J1450" s="3">
        <v>64</v>
      </c>
      <c r="K1450" s="4">
        <f t="shared" si="90"/>
        <v>21.63331530557058</v>
      </c>
      <c r="L1450" s="1" t="str">
        <f t="shared" si="91"/>
        <v>Peso ideal - parabéns</v>
      </c>
      <c r="M1450" t="s">
        <v>26</v>
      </c>
    </row>
    <row r="1451" spans="1:13" x14ac:dyDescent="0.25">
      <c r="A1451">
        <v>1450</v>
      </c>
      <c r="B1451" t="s">
        <v>1073</v>
      </c>
      <c r="C1451" s="2" t="s">
        <v>1074</v>
      </c>
      <c r="D1451" s="2">
        <f t="shared" ca="1" si="88"/>
        <v>70</v>
      </c>
      <c r="E1451" t="s">
        <v>10</v>
      </c>
      <c r="F1451" t="s">
        <v>1075</v>
      </c>
      <c r="G1451" t="s">
        <v>65</v>
      </c>
      <c r="H1451" t="str">
        <f t="shared" si="89"/>
        <v>Ilhéus - BA</v>
      </c>
      <c r="I1451" s="1" t="s">
        <v>281</v>
      </c>
      <c r="J1451" s="3">
        <v>89</v>
      </c>
      <c r="K1451" s="4">
        <f t="shared" si="90"/>
        <v>33.912513336381643</v>
      </c>
      <c r="L1451" s="1" t="str">
        <f t="shared" si="91"/>
        <v>Obesidade grau I</v>
      </c>
      <c r="M1451" t="s">
        <v>20</v>
      </c>
    </row>
    <row r="1452" spans="1:13" x14ac:dyDescent="0.25">
      <c r="A1452">
        <v>1451</v>
      </c>
      <c r="B1452" t="s">
        <v>3324</v>
      </c>
      <c r="C1452" s="2" t="s">
        <v>3325</v>
      </c>
      <c r="D1452" s="2">
        <f t="shared" ca="1" si="88"/>
        <v>19</v>
      </c>
      <c r="E1452" t="s">
        <v>10</v>
      </c>
      <c r="F1452" t="s">
        <v>395</v>
      </c>
      <c r="G1452" t="s">
        <v>36</v>
      </c>
      <c r="H1452" t="str">
        <f t="shared" si="89"/>
        <v>Imperatriz - MA</v>
      </c>
      <c r="I1452" s="1" t="s">
        <v>194</v>
      </c>
      <c r="J1452" s="3">
        <v>58</v>
      </c>
      <c r="K1452" s="4">
        <f t="shared" si="90"/>
        <v>16.946676406135865</v>
      </c>
      <c r="L1452" s="1" t="str">
        <f t="shared" si="91"/>
        <v>Muito abaixo do peso</v>
      </c>
      <c r="M1452" t="s">
        <v>95</v>
      </c>
    </row>
    <row r="1453" spans="1:13" x14ac:dyDescent="0.25">
      <c r="A1453">
        <v>1452</v>
      </c>
      <c r="B1453" t="s">
        <v>1389</v>
      </c>
      <c r="C1453" s="2" t="s">
        <v>1390</v>
      </c>
      <c r="D1453" s="2">
        <f t="shared" ca="1" si="88"/>
        <v>76</v>
      </c>
      <c r="E1453" t="s">
        <v>10</v>
      </c>
      <c r="F1453" t="s">
        <v>24</v>
      </c>
      <c r="G1453" t="s">
        <v>25</v>
      </c>
      <c r="H1453" t="str">
        <f t="shared" si="89"/>
        <v>Natal - RN</v>
      </c>
      <c r="I1453" s="1" t="s">
        <v>61</v>
      </c>
      <c r="J1453" s="3">
        <v>54</v>
      </c>
      <c r="K1453" s="4">
        <f t="shared" si="90"/>
        <v>15.117157974300833</v>
      </c>
      <c r="L1453" s="1" t="str">
        <f t="shared" si="91"/>
        <v>Muito abaixo do peso</v>
      </c>
      <c r="M1453" t="s">
        <v>83</v>
      </c>
    </row>
    <row r="1454" spans="1:13" x14ac:dyDescent="0.25">
      <c r="A1454">
        <v>1453</v>
      </c>
      <c r="B1454" t="s">
        <v>3089</v>
      </c>
      <c r="C1454" s="2" t="s">
        <v>3090</v>
      </c>
      <c r="D1454" s="2">
        <f t="shared" ca="1" si="88"/>
        <v>72</v>
      </c>
      <c r="E1454" t="s">
        <v>10</v>
      </c>
      <c r="F1454" t="s">
        <v>236</v>
      </c>
      <c r="G1454" t="s">
        <v>237</v>
      </c>
      <c r="H1454" t="str">
        <f t="shared" si="89"/>
        <v>Teresina - PI</v>
      </c>
      <c r="I1454" s="1" t="s">
        <v>447</v>
      </c>
      <c r="J1454" s="3">
        <v>83</v>
      </c>
      <c r="K1454" s="4">
        <f t="shared" si="90"/>
        <v>27.102040816326532</v>
      </c>
      <c r="L1454" s="1" t="str">
        <f t="shared" si="91"/>
        <v>Levemente acima do peso</v>
      </c>
      <c r="M1454" t="s">
        <v>76</v>
      </c>
    </row>
    <row r="1455" spans="1:13" x14ac:dyDescent="0.25">
      <c r="A1455">
        <v>1454</v>
      </c>
      <c r="B1455" t="s">
        <v>27</v>
      </c>
      <c r="C1455" s="2" t="s">
        <v>28</v>
      </c>
      <c r="D1455" s="2">
        <f t="shared" ca="1" si="88"/>
        <v>22</v>
      </c>
      <c r="E1455" t="s">
        <v>10</v>
      </c>
      <c r="F1455" t="s">
        <v>29</v>
      </c>
      <c r="G1455" t="s">
        <v>30</v>
      </c>
      <c r="H1455" t="str">
        <f t="shared" si="89"/>
        <v>Cacoal - RO</v>
      </c>
      <c r="I1455" s="1" t="s">
        <v>31</v>
      </c>
      <c r="J1455" s="3">
        <v>105</v>
      </c>
      <c r="K1455" s="4">
        <f t="shared" si="90"/>
        <v>39.039262343842957</v>
      </c>
      <c r="L1455" s="1" t="str">
        <f t="shared" si="91"/>
        <v>Obesidade grau II - severa</v>
      </c>
      <c r="M1455" t="s">
        <v>32</v>
      </c>
    </row>
    <row r="1456" spans="1:13" x14ac:dyDescent="0.25">
      <c r="A1456">
        <v>1455</v>
      </c>
      <c r="B1456" t="s">
        <v>1304</v>
      </c>
      <c r="C1456" s="2" t="s">
        <v>1305</v>
      </c>
      <c r="D1456" s="2">
        <f t="shared" ca="1" si="88"/>
        <v>31</v>
      </c>
      <c r="E1456" t="s">
        <v>10</v>
      </c>
      <c r="F1456" t="s">
        <v>244</v>
      </c>
      <c r="G1456" t="s">
        <v>60</v>
      </c>
      <c r="H1456" t="str">
        <f t="shared" si="89"/>
        <v>Araguaína - TO</v>
      </c>
      <c r="I1456" s="1" t="s">
        <v>694</v>
      </c>
      <c r="J1456" s="3">
        <v>80</v>
      </c>
      <c r="K1456" s="4">
        <f t="shared" si="90"/>
        <v>23.12406058503873</v>
      </c>
      <c r="L1456" s="1" t="str">
        <f t="shared" si="91"/>
        <v>Peso ideal - parabéns</v>
      </c>
      <c r="M1456" t="s">
        <v>95</v>
      </c>
    </row>
    <row r="1457" spans="1:13" x14ac:dyDescent="0.25">
      <c r="A1457">
        <v>1456</v>
      </c>
      <c r="B1457" t="s">
        <v>2906</v>
      </c>
      <c r="C1457" s="2" t="s">
        <v>2907</v>
      </c>
      <c r="D1457" s="2">
        <f t="shared" ca="1" si="88"/>
        <v>35</v>
      </c>
      <c r="E1457" t="s">
        <v>10</v>
      </c>
      <c r="F1457" t="s">
        <v>419</v>
      </c>
      <c r="G1457" t="s">
        <v>25</v>
      </c>
      <c r="H1457" t="str">
        <f t="shared" si="89"/>
        <v>Mossoró - RN</v>
      </c>
      <c r="I1457" s="1" t="s">
        <v>155</v>
      </c>
      <c r="J1457" s="3">
        <v>98</v>
      </c>
      <c r="K1457" s="4">
        <f t="shared" si="90"/>
        <v>29.585798816568044</v>
      </c>
      <c r="L1457" s="1" t="str">
        <f t="shared" si="91"/>
        <v>Levemente acima do peso</v>
      </c>
      <c r="M1457" t="s">
        <v>14</v>
      </c>
    </row>
    <row r="1458" spans="1:13" x14ac:dyDescent="0.25">
      <c r="A1458">
        <v>1457</v>
      </c>
      <c r="B1458" t="s">
        <v>697</v>
      </c>
      <c r="C1458" s="2" t="s">
        <v>698</v>
      </c>
      <c r="D1458" s="2">
        <f t="shared" ca="1" si="88"/>
        <v>51</v>
      </c>
      <c r="E1458" t="s">
        <v>10</v>
      </c>
      <c r="F1458" t="s">
        <v>699</v>
      </c>
      <c r="G1458" t="s">
        <v>51</v>
      </c>
      <c r="H1458" t="str">
        <f t="shared" si="89"/>
        <v>Itaboraí - RJ</v>
      </c>
      <c r="I1458" s="1" t="s">
        <v>99</v>
      </c>
      <c r="J1458" s="3">
        <v>77</v>
      </c>
      <c r="K1458" s="4">
        <f t="shared" si="90"/>
        <v>20.459134870868319</v>
      </c>
      <c r="L1458" s="1" t="str">
        <f t="shared" si="91"/>
        <v>Peso ideal - parabéns</v>
      </c>
      <c r="M1458" t="s">
        <v>83</v>
      </c>
    </row>
    <row r="1459" spans="1:13" x14ac:dyDescent="0.25">
      <c r="A1459">
        <v>1458</v>
      </c>
      <c r="B1459" t="s">
        <v>1777</v>
      </c>
      <c r="C1459" s="2" t="s">
        <v>1778</v>
      </c>
      <c r="D1459" s="2">
        <f t="shared" ca="1" si="88"/>
        <v>57</v>
      </c>
      <c r="E1459" t="s">
        <v>10</v>
      </c>
      <c r="F1459" t="s">
        <v>1200</v>
      </c>
      <c r="G1459" t="s">
        <v>41</v>
      </c>
      <c r="H1459" t="str">
        <f t="shared" si="89"/>
        <v>Sousa - PB</v>
      </c>
      <c r="I1459" s="1" t="s">
        <v>171</v>
      </c>
      <c r="J1459" s="3">
        <v>97</v>
      </c>
      <c r="K1459" s="4">
        <f t="shared" si="90"/>
        <v>34.780737925346912</v>
      </c>
      <c r="L1459" s="1" t="str">
        <f t="shared" si="91"/>
        <v>Obesidade grau I</v>
      </c>
      <c r="M1459" t="s">
        <v>26</v>
      </c>
    </row>
    <row r="1460" spans="1:13" x14ac:dyDescent="0.25">
      <c r="A1460">
        <v>1459</v>
      </c>
      <c r="B1460" t="s">
        <v>2038</v>
      </c>
      <c r="C1460" s="2" t="s">
        <v>2039</v>
      </c>
      <c r="D1460" s="2">
        <f t="shared" ca="1" si="88"/>
        <v>80</v>
      </c>
      <c r="E1460" t="s">
        <v>10</v>
      </c>
      <c r="F1460" t="s">
        <v>107</v>
      </c>
      <c r="G1460" t="s">
        <v>36</v>
      </c>
      <c r="H1460" t="str">
        <f t="shared" si="89"/>
        <v>São Luís - MA</v>
      </c>
      <c r="I1460" s="1" t="s">
        <v>86</v>
      </c>
      <c r="J1460" s="3">
        <v>93</v>
      </c>
      <c r="K1460" s="4">
        <f t="shared" si="90"/>
        <v>28.387411861664784</v>
      </c>
      <c r="L1460" s="1" t="str">
        <f t="shared" si="91"/>
        <v>Levemente acima do peso</v>
      </c>
      <c r="M1460" t="s">
        <v>83</v>
      </c>
    </row>
    <row r="1461" spans="1:13" x14ac:dyDescent="0.25">
      <c r="A1461">
        <v>1460</v>
      </c>
      <c r="B1461" t="s">
        <v>2719</v>
      </c>
      <c r="C1461" s="2" t="s">
        <v>2720</v>
      </c>
      <c r="D1461" s="2">
        <f t="shared" ca="1" si="88"/>
        <v>73</v>
      </c>
      <c r="E1461" t="s">
        <v>10</v>
      </c>
      <c r="F1461" t="s">
        <v>1052</v>
      </c>
      <c r="G1461" t="s">
        <v>55</v>
      </c>
      <c r="H1461" t="str">
        <f t="shared" si="89"/>
        <v>Toledo - PR</v>
      </c>
      <c r="I1461" s="1" t="s">
        <v>61</v>
      </c>
      <c r="J1461" s="3">
        <v>86</v>
      </c>
      <c r="K1461" s="4">
        <f t="shared" si="90"/>
        <v>24.075473810923548</v>
      </c>
      <c r="L1461" s="1" t="str">
        <f t="shared" si="91"/>
        <v>Peso ideal - parabéns</v>
      </c>
      <c r="M1461" t="s">
        <v>20</v>
      </c>
    </row>
    <row r="1462" spans="1:13" x14ac:dyDescent="0.25">
      <c r="A1462">
        <v>1461</v>
      </c>
      <c r="B1462" t="s">
        <v>1696</v>
      </c>
      <c r="C1462" s="2" t="s">
        <v>1697</v>
      </c>
      <c r="D1462" s="2">
        <f t="shared" ca="1" si="88"/>
        <v>76</v>
      </c>
      <c r="E1462" t="s">
        <v>10</v>
      </c>
      <c r="F1462" t="s">
        <v>1698</v>
      </c>
      <c r="G1462" t="s">
        <v>186</v>
      </c>
      <c r="H1462" t="str">
        <f t="shared" si="89"/>
        <v>Poços de Caldas - MG</v>
      </c>
      <c r="I1462" s="1" t="s">
        <v>117</v>
      </c>
      <c r="J1462" s="3">
        <v>62</v>
      </c>
      <c r="K1462" s="4">
        <f t="shared" si="90"/>
        <v>19.568236333796236</v>
      </c>
      <c r="L1462" s="1" t="str">
        <f t="shared" si="91"/>
        <v>Peso ideal - parabéns</v>
      </c>
      <c r="M1462" t="s">
        <v>83</v>
      </c>
    </row>
    <row r="1463" spans="1:13" x14ac:dyDescent="0.25">
      <c r="A1463">
        <v>1462</v>
      </c>
      <c r="B1463" t="s">
        <v>2565</v>
      </c>
      <c r="C1463" s="2" t="s">
        <v>2566</v>
      </c>
      <c r="D1463" s="2">
        <f t="shared" ca="1" si="88"/>
        <v>76</v>
      </c>
      <c r="E1463" t="s">
        <v>10</v>
      </c>
      <c r="F1463" t="s">
        <v>29</v>
      </c>
      <c r="G1463" t="s">
        <v>30</v>
      </c>
      <c r="H1463" t="str">
        <f t="shared" si="89"/>
        <v>Cacoal - RO</v>
      </c>
      <c r="I1463" s="1" t="s">
        <v>255</v>
      </c>
      <c r="J1463" s="3">
        <v>109</v>
      </c>
      <c r="K1463" s="4">
        <f t="shared" si="90"/>
        <v>27.524557460670184</v>
      </c>
      <c r="L1463" s="1" t="str">
        <f t="shared" si="91"/>
        <v>Levemente acima do peso</v>
      </c>
      <c r="M1463" t="s">
        <v>76</v>
      </c>
    </row>
    <row r="1464" spans="1:13" x14ac:dyDescent="0.25">
      <c r="A1464">
        <v>1463</v>
      </c>
      <c r="B1464" t="s">
        <v>3460</v>
      </c>
      <c r="C1464" s="2" t="s">
        <v>1933</v>
      </c>
      <c r="D1464" s="2">
        <f t="shared" ca="1" si="88"/>
        <v>56</v>
      </c>
      <c r="E1464" t="s">
        <v>10</v>
      </c>
      <c r="F1464" t="s">
        <v>69</v>
      </c>
      <c r="G1464" t="s">
        <v>70</v>
      </c>
      <c r="H1464" t="str">
        <f t="shared" si="89"/>
        <v>Aracaju - SE</v>
      </c>
      <c r="I1464" s="1" t="s">
        <v>155</v>
      </c>
      <c r="J1464" s="3">
        <v>84</v>
      </c>
      <c r="K1464" s="4">
        <f t="shared" si="90"/>
        <v>25.359256128486894</v>
      </c>
      <c r="L1464" s="1" t="str">
        <f t="shared" si="91"/>
        <v>Levemente acima do peso</v>
      </c>
      <c r="M1464" t="s">
        <v>14</v>
      </c>
    </row>
    <row r="1465" spans="1:13" x14ac:dyDescent="0.25">
      <c r="A1465">
        <v>1464</v>
      </c>
      <c r="B1465" t="s">
        <v>801</v>
      </c>
      <c r="C1465" s="2" t="s">
        <v>802</v>
      </c>
      <c r="D1465" s="2">
        <f t="shared" ca="1" si="88"/>
        <v>47</v>
      </c>
      <c r="E1465" t="s">
        <v>10</v>
      </c>
      <c r="F1465" t="s">
        <v>803</v>
      </c>
      <c r="G1465" t="s">
        <v>310</v>
      </c>
      <c r="H1465" t="str">
        <f t="shared" si="89"/>
        <v>Cruz Alta - RS</v>
      </c>
      <c r="I1465" s="1" t="s">
        <v>191</v>
      </c>
      <c r="J1465" s="3">
        <v>69</v>
      </c>
      <c r="K1465" s="4">
        <f t="shared" si="90"/>
        <v>26.953124999999996</v>
      </c>
      <c r="L1465" s="1" t="str">
        <f t="shared" si="91"/>
        <v>Levemente acima do peso</v>
      </c>
      <c r="M1465" t="s">
        <v>32</v>
      </c>
    </row>
    <row r="1466" spans="1:13" x14ac:dyDescent="0.25">
      <c r="A1466">
        <v>1465</v>
      </c>
      <c r="B1466" t="s">
        <v>2081</v>
      </c>
      <c r="C1466" s="2" t="s">
        <v>807</v>
      </c>
      <c r="D1466" s="2">
        <f t="shared" ca="1" si="88"/>
        <v>78</v>
      </c>
      <c r="E1466" t="s">
        <v>10</v>
      </c>
      <c r="F1466" t="s">
        <v>1055</v>
      </c>
      <c r="G1466" t="s">
        <v>30</v>
      </c>
      <c r="H1466" t="str">
        <f t="shared" si="89"/>
        <v>Ariquemes - RO</v>
      </c>
      <c r="I1466" s="1" t="s">
        <v>191</v>
      </c>
      <c r="J1466" s="3">
        <v>91</v>
      </c>
      <c r="K1466" s="4">
        <f t="shared" si="90"/>
        <v>35.546874999999993</v>
      </c>
      <c r="L1466" s="1" t="str">
        <f t="shared" si="91"/>
        <v>Obesidade grau II - severa</v>
      </c>
      <c r="M1466" t="s">
        <v>83</v>
      </c>
    </row>
    <row r="1467" spans="1:13" x14ac:dyDescent="0.25">
      <c r="A1467">
        <v>1466</v>
      </c>
      <c r="B1467" t="s">
        <v>3058</v>
      </c>
      <c r="C1467" s="2" t="s">
        <v>3059</v>
      </c>
      <c r="D1467" s="2">
        <f t="shared" ca="1" si="88"/>
        <v>78</v>
      </c>
      <c r="E1467" t="s">
        <v>10</v>
      </c>
      <c r="F1467" t="s">
        <v>383</v>
      </c>
      <c r="G1467" t="s">
        <v>237</v>
      </c>
      <c r="H1467" t="str">
        <f t="shared" si="89"/>
        <v>Parnaíba - PI</v>
      </c>
      <c r="I1467" s="1" t="s">
        <v>42</v>
      </c>
      <c r="J1467" s="3">
        <v>81</v>
      </c>
      <c r="K1467" s="4">
        <f t="shared" si="90"/>
        <v>25.280109859242845</v>
      </c>
      <c r="L1467" s="1" t="str">
        <f t="shared" si="91"/>
        <v>Levemente acima do peso</v>
      </c>
      <c r="M1467" t="s">
        <v>95</v>
      </c>
    </row>
    <row r="1468" spans="1:13" x14ac:dyDescent="0.25">
      <c r="A1468">
        <v>1467</v>
      </c>
      <c r="B1468" t="s">
        <v>3739</v>
      </c>
      <c r="C1468" s="2" t="s">
        <v>3740</v>
      </c>
      <c r="D1468" s="2">
        <f t="shared" ca="1" si="88"/>
        <v>61</v>
      </c>
      <c r="E1468" t="s">
        <v>10</v>
      </c>
      <c r="F1468" t="s">
        <v>74</v>
      </c>
      <c r="G1468" t="s">
        <v>75</v>
      </c>
      <c r="H1468" t="str">
        <f t="shared" si="89"/>
        <v>Macapá - AP</v>
      </c>
      <c r="I1468" s="1" t="s">
        <v>400</v>
      </c>
      <c r="J1468" s="3">
        <v>70</v>
      </c>
      <c r="K1468" s="4">
        <f t="shared" si="90"/>
        <v>21.604938271604937</v>
      </c>
      <c r="L1468" s="1" t="str">
        <f t="shared" si="91"/>
        <v>Peso ideal - parabéns</v>
      </c>
      <c r="M1468" t="s">
        <v>47</v>
      </c>
    </row>
    <row r="1469" spans="1:13" x14ac:dyDescent="0.25">
      <c r="A1469">
        <v>1468</v>
      </c>
      <c r="B1469" t="s">
        <v>3626</v>
      </c>
      <c r="C1469" s="2" t="s">
        <v>3627</v>
      </c>
      <c r="D1469" s="2">
        <f t="shared" ca="1" si="88"/>
        <v>81</v>
      </c>
      <c r="E1469" t="s">
        <v>10</v>
      </c>
      <c r="F1469" t="s">
        <v>158</v>
      </c>
      <c r="G1469" t="s">
        <v>159</v>
      </c>
      <c r="H1469" t="str">
        <f t="shared" si="89"/>
        <v>Brasília - DF</v>
      </c>
      <c r="I1469" s="1" t="s">
        <v>179</v>
      </c>
      <c r="J1469" s="3">
        <v>107</v>
      </c>
      <c r="K1469" s="4">
        <f t="shared" si="90"/>
        <v>35.341524639978857</v>
      </c>
      <c r="L1469" s="1" t="str">
        <f t="shared" si="91"/>
        <v>Obesidade grau II - severa</v>
      </c>
      <c r="M1469" t="s">
        <v>14</v>
      </c>
    </row>
    <row r="1470" spans="1:13" x14ac:dyDescent="0.25">
      <c r="A1470">
        <v>1469</v>
      </c>
      <c r="B1470" t="s">
        <v>3576</v>
      </c>
      <c r="C1470" s="2" t="s">
        <v>3524</v>
      </c>
      <c r="D1470" s="2">
        <f t="shared" ca="1" si="88"/>
        <v>81</v>
      </c>
      <c r="E1470" t="s">
        <v>10</v>
      </c>
      <c r="F1470" t="s">
        <v>3577</v>
      </c>
      <c r="G1470" t="s">
        <v>103</v>
      </c>
      <c r="H1470" t="str">
        <f t="shared" si="89"/>
        <v>Santana de Parnaíba - SP</v>
      </c>
      <c r="I1470" s="1" t="s">
        <v>104</v>
      </c>
      <c r="J1470" s="3">
        <v>110</v>
      </c>
      <c r="K1470" s="4">
        <f t="shared" si="90"/>
        <v>38.062283737024224</v>
      </c>
      <c r="L1470" s="1" t="str">
        <f t="shared" si="91"/>
        <v>Obesidade grau II - severa</v>
      </c>
      <c r="M1470" t="s">
        <v>76</v>
      </c>
    </row>
    <row r="1471" spans="1:13" x14ac:dyDescent="0.25">
      <c r="A1471">
        <v>1470</v>
      </c>
      <c r="B1471" t="s">
        <v>3952</v>
      </c>
      <c r="C1471" s="2" t="s">
        <v>3953</v>
      </c>
      <c r="D1471" s="2">
        <f t="shared" ca="1" si="88"/>
        <v>47</v>
      </c>
      <c r="E1471" t="s">
        <v>10</v>
      </c>
      <c r="F1471" t="s">
        <v>69</v>
      </c>
      <c r="G1471" t="s">
        <v>70</v>
      </c>
      <c r="H1471" t="str">
        <f t="shared" si="89"/>
        <v>Aracaju - SE</v>
      </c>
      <c r="I1471" s="1" t="s">
        <v>37</v>
      </c>
      <c r="J1471" s="3">
        <v>110</v>
      </c>
      <c r="K1471" s="4">
        <f t="shared" si="90"/>
        <v>28.343940838465304</v>
      </c>
      <c r="L1471" s="1" t="str">
        <f t="shared" si="91"/>
        <v>Levemente acima do peso</v>
      </c>
      <c r="M1471" t="s">
        <v>20</v>
      </c>
    </row>
    <row r="1472" spans="1:13" x14ac:dyDescent="0.25">
      <c r="A1472">
        <v>1471</v>
      </c>
      <c r="B1472" t="s">
        <v>1617</v>
      </c>
      <c r="C1472" s="2" t="s">
        <v>1618</v>
      </c>
      <c r="D1472" s="2">
        <f t="shared" ca="1" si="88"/>
        <v>38</v>
      </c>
      <c r="E1472" t="s">
        <v>10</v>
      </c>
      <c r="F1472" t="s">
        <v>126</v>
      </c>
      <c r="G1472" t="s">
        <v>127</v>
      </c>
      <c r="H1472" t="str">
        <f t="shared" si="89"/>
        <v>Boa Vista - RR</v>
      </c>
      <c r="I1472" s="1" t="s">
        <v>255</v>
      </c>
      <c r="J1472" s="3">
        <v>102</v>
      </c>
      <c r="K1472" s="4">
        <f t="shared" si="90"/>
        <v>25.756925330168428</v>
      </c>
      <c r="L1472" s="1" t="str">
        <f t="shared" si="91"/>
        <v>Levemente acima do peso</v>
      </c>
      <c r="M1472" t="s">
        <v>83</v>
      </c>
    </row>
    <row r="1473" spans="1:13" x14ac:dyDescent="0.25">
      <c r="A1473">
        <v>1472</v>
      </c>
      <c r="B1473" t="s">
        <v>3285</v>
      </c>
      <c r="C1473" s="2" t="s">
        <v>3286</v>
      </c>
      <c r="D1473" s="2">
        <f t="shared" ca="1" si="88"/>
        <v>52</v>
      </c>
      <c r="E1473" t="s">
        <v>10</v>
      </c>
      <c r="F1473" t="s">
        <v>1335</v>
      </c>
      <c r="G1473" t="s">
        <v>51</v>
      </c>
      <c r="H1473" t="str">
        <f t="shared" si="89"/>
        <v>Japeri - RJ</v>
      </c>
      <c r="I1473" s="1" t="s">
        <v>201</v>
      </c>
      <c r="J1473" s="3">
        <v>53</v>
      </c>
      <c r="K1473" s="4">
        <f t="shared" si="90"/>
        <v>13.796334860474804</v>
      </c>
      <c r="L1473" s="1" t="str">
        <f t="shared" si="91"/>
        <v>Muito abaixo do peso</v>
      </c>
      <c r="M1473" t="s">
        <v>20</v>
      </c>
    </row>
    <row r="1474" spans="1:13" x14ac:dyDescent="0.25">
      <c r="A1474">
        <v>1473</v>
      </c>
      <c r="B1474" t="s">
        <v>1187</v>
      </c>
      <c r="C1474" s="2" t="s">
        <v>1188</v>
      </c>
      <c r="D1474" s="2">
        <f t="shared" ca="1" si="88"/>
        <v>49</v>
      </c>
      <c r="E1474" t="s">
        <v>10</v>
      </c>
      <c r="F1474" t="s">
        <v>40</v>
      </c>
      <c r="G1474" t="s">
        <v>41</v>
      </c>
      <c r="H1474" t="str">
        <f t="shared" si="89"/>
        <v>Campina Grande - PB</v>
      </c>
      <c r="I1474" s="1" t="s">
        <v>255</v>
      </c>
      <c r="J1474" s="3">
        <v>75</v>
      </c>
      <c r="K1474" s="4">
        <f t="shared" si="90"/>
        <v>18.938915683947375</v>
      </c>
      <c r="L1474" s="1" t="str">
        <f t="shared" si="91"/>
        <v>Peso ideal - parabéns</v>
      </c>
      <c r="M1474" t="s">
        <v>20</v>
      </c>
    </row>
    <row r="1475" spans="1:13" x14ac:dyDescent="0.25">
      <c r="A1475">
        <v>1474</v>
      </c>
      <c r="B1475" t="s">
        <v>156</v>
      </c>
      <c r="C1475" s="2" t="s">
        <v>157</v>
      </c>
      <c r="D1475" s="2">
        <f t="shared" ref="D1475:D1538" ca="1" si="92">YEAR(TODAY())-YEAR(C1475)</f>
        <v>49</v>
      </c>
      <c r="E1475" t="s">
        <v>10</v>
      </c>
      <c r="F1475" t="s">
        <v>158</v>
      </c>
      <c r="G1475" t="s">
        <v>159</v>
      </c>
      <c r="H1475" t="str">
        <f t="shared" ref="H1475:H1538" si="93">CONCATENATE(F1475," - ",G1475)</f>
        <v>Brasília - DF</v>
      </c>
      <c r="I1475" s="1" t="s">
        <v>160</v>
      </c>
      <c r="J1475" s="3">
        <v>88</v>
      </c>
      <c r="K1475" s="4">
        <f t="shared" ref="K1475:K1538" si="94">J1475/(I1475*I1475)</f>
        <v>25.992438563327031</v>
      </c>
      <c r="L1475" s="1" t="str">
        <f t="shared" ref="L1475:L1538" si="95">IF(K1475&gt;=40,"Obesidade grau III - mórbida",
IF(K1475&gt;=35,"Obesidade grau II - severa",
IF(K1475&gt;=30,"Obesidade grau I",
IF(K1475&gt;=25,"Levemente acima do peso",
IF(K1475&gt;=18.6,"Peso ideal - parabéns",
IF(K1475&gt;=17,"Abaixo do peso",
"Muito abaixo do peso"))))))</f>
        <v>Levemente acima do peso</v>
      </c>
      <c r="M1475" t="s">
        <v>14</v>
      </c>
    </row>
    <row r="1476" spans="1:13" x14ac:dyDescent="0.25">
      <c r="A1476">
        <v>1475</v>
      </c>
      <c r="B1476" t="s">
        <v>2469</v>
      </c>
      <c r="C1476" s="2" t="s">
        <v>2470</v>
      </c>
      <c r="D1476" s="2">
        <f t="shared" ca="1" si="92"/>
        <v>35</v>
      </c>
      <c r="E1476" t="s">
        <v>10</v>
      </c>
      <c r="F1476" t="s">
        <v>236</v>
      </c>
      <c r="G1476" t="s">
        <v>237</v>
      </c>
      <c r="H1476" t="str">
        <f t="shared" si="93"/>
        <v>Teresina - PI</v>
      </c>
      <c r="I1476" s="1" t="s">
        <v>400</v>
      </c>
      <c r="J1476" s="3">
        <v>55</v>
      </c>
      <c r="K1476" s="4">
        <f t="shared" si="94"/>
        <v>16.975308641975307</v>
      </c>
      <c r="L1476" s="1" t="str">
        <f t="shared" si="95"/>
        <v>Muito abaixo do peso</v>
      </c>
      <c r="M1476" t="s">
        <v>76</v>
      </c>
    </row>
    <row r="1477" spans="1:13" x14ac:dyDescent="0.25">
      <c r="A1477">
        <v>1476</v>
      </c>
      <c r="B1477" t="s">
        <v>1579</v>
      </c>
      <c r="C1477" s="2" t="s">
        <v>1580</v>
      </c>
      <c r="D1477" s="2">
        <f t="shared" ca="1" si="92"/>
        <v>62</v>
      </c>
      <c r="E1477" t="s">
        <v>10</v>
      </c>
      <c r="F1477" t="s">
        <v>89</v>
      </c>
      <c r="G1477" t="s">
        <v>12</v>
      </c>
      <c r="H1477" t="str">
        <f t="shared" si="93"/>
        <v>Fortaleza - CE</v>
      </c>
      <c r="I1477" s="1" t="s">
        <v>281</v>
      </c>
      <c r="J1477" s="3">
        <v>67</v>
      </c>
      <c r="K1477" s="4">
        <f t="shared" si="94"/>
        <v>25.529644871208653</v>
      </c>
      <c r="L1477" s="1" t="str">
        <f t="shared" si="95"/>
        <v>Levemente acima do peso</v>
      </c>
      <c r="M1477" t="s">
        <v>47</v>
      </c>
    </row>
    <row r="1478" spans="1:13" x14ac:dyDescent="0.25">
      <c r="A1478">
        <v>1477</v>
      </c>
      <c r="B1478" t="s">
        <v>4120</v>
      </c>
      <c r="C1478" s="2" t="s">
        <v>3575</v>
      </c>
      <c r="D1478" s="2">
        <f t="shared" ca="1" si="92"/>
        <v>40</v>
      </c>
      <c r="E1478" t="s">
        <v>10</v>
      </c>
      <c r="F1478" t="s">
        <v>24</v>
      </c>
      <c r="G1478" t="s">
        <v>25</v>
      </c>
      <c r="H1478" t="str">
        <f t="shared" si="93"/>
        <v>Natal - RN</v>
      </c>
      <c r="I1478" s="1" t="s">
        <v>42</v>
      </c>
      <c r="J1478" s="3">
        <v>69</v>
      </c>
      <c r="K1478" s="4">
        <f t="shared" si="94"/>
        <v>21.534908398614277</v>
      </c>
      <c r="L1478" s="1" t="str">
        <f t="shared" si="95"/>
        <v>Peso ideal - parabéns</v>
      </c>
      <c r="M1478" t="s">
        <v>95</v>
      </c>
    </row>
    <row r="1479" spans="1:13" x14ac:dyDescent="0.25">
      <c r="A1479">
        <v>1478</v>
      </c>
      <c r="B1479" t="s">
        <v>1328</v>
      </c>
      <c r="C1479" s="2" t="s">
        <v>1329</v>
      </c>
      <c r="D1479" s="2">
        <f t="shared" ca="1" si="92"/>
        <v>50</v>
      </c>
      <c r="E1479" t="s">
        <v>10</v>
      </c>
      <c r="F1479" t="s">
        <v>241</v>
      </c>
      <c r="G1479" t="s">
        <v>190</v>
      </c>
      <c r="H1479" t="str">
        <f t="shared" si="93"/>
        <v>Várzea Grande - MT</v>
      </c>
      <c r="I1479" s="1" t="s">
        <v>56</v>
      </c>
      <c r="J1479" s="3">
        <v>62</v>
      </c>
      <c r="K1479" s="4">
        <f t="shared" si="94"/>
        <v>21.707923392038097</v>
      </c>
      <c r="L1479" s="1" t="str">
        <f t="shared" si="95"/>
        <v>Peso ideal - parabéns</v>
      </c>
      <c r="M1479" t="s">
        <v>14</v>
      </c>
    </row>
    <row r="1480" spans="1:13" x14ac:dyDescent="0.25">
      <c r="A1480">
        <v>1479</v>
      </c>
      <c r="B1480" t="s">
        <v>761</v>
      </c>
      <c r="C1480" s="2" t="s">
        <v>461</v>
      </c>
      <c r="D1480" s="2">
        <f t="shared" ca="1" si="92"/>
        <v>50</v>
      </c>
      <c r="E1480" t="s">
        <v>10</v>
      </c>
      <c r="F1480" t="s">
        <v>762</v>
      </c>
      <c r="G1480" t="s">
        <v>273</v>
      </c>
      <c r="H1480" t="str">
        <f t="shared" si="93"/>
        <v>João Neiva - ES</v>
      </c>
      <c r="I1480" s="1" t="s">
        <v>66</v>
      </c>
      <c r="J1480" s="3">
        <v>53</v>
      </c>
      <c r="K1480" s="4">
        <f t="shared" si="94"/>
        <v>14.995473064735176</v>
      </c>
      <c r="L1480" s="1" t="str">
        <f t="shared" si="95"/>
        <v>Muito abaixo do peso</v>
      </c>
      <c r="M1480" t="s">
        <v>95</v>
      </c>
    </row>
    <row r="1481" spans="1:13" x14ac:dyDescent="0.25">
      <c r="A1481">
        <v>1480</v>
      </c>
      <c r="B1481" t="s">
        <v>3382</v>
      </c>
      <c r="C1481" s="2" t="s">
        <v>3383</v>
      </c>
      <c r="D1481" s="2">
        <f t="shared" ca="1" si="92"/>
        <v>24</v>
      </c>
      <c r="E1481" t="s">
        <v>10</v>
      </c>
      <c r="F1481" t="s">
        <v>564</v>
      </c>
      <c r="G1481" t="s">
        <v>565</v>
      </c>
      <c r="H1481" t="str">
        <f t="shared" si="93"/>
        <v>Rio Branco - AC</v>
      </c>
      <c r="I1481" s="1" t="s">
        <v>94</v>
      </c>
      <c r="J1481" s="3">
        <v>89</v>
      </c>
      <c r="K1481" s="4">
        <f t="shared" si="94"/>
        <v>29.737044338267232</v>
      </c>
      <c r="L1481" s="1" t="str">
        <f t="shared" si="95"/>
        <v>Levemente acima do peso</v>
      </c>
      <c r="M1481" t="s">
        <v>32</v>
      </c>
    </row>
    <row r="1482" spans="1:13" x14ac:dyDescent="0.25">
      <c r="A1482">
        <v>1481</v>
      </c>
      <c r="B1482" t="s">
        <v>282</v>
      </c>
      <c r="C1482" s="2" t="s">
        <v>283</v>
      </c>
      <c r="D1482" s="2">
        <f t="shared" ca="1" si="92"/>
        <v>42</v>
      </c>
      <c r="E1482" t="s">
        <v>10</v>
      </c>
      <c r="F1482" t="s">
        <v>17</v>
      </c>
      <c r="G1482" t="s">
        <v>18</v>
      </c>
      <c r="H1482" t="str">
        <f t="shared" si="93"/>
        <v>Campo Grande - MS</v>
      </c>
      <c r="I1482" s="1" t="s">
        <v>218</v>
      </c>
      <c r="J1482" s="3">
        <v>61</v>
      </c>
      <c r="K1482" s="4">
        <f t="shared" si="94"/>
        <v>16.376278557813635</v>
      </c>
      <c r="L1482" s="1" t="str">
        <f t="shared" si="95"/>
        <v>Muito abaixo do peso</v>
      </c>
      <c r="M1482" t="s">
        <v>32</v>
      </c>
    </row>
    <row r="1483" spans="1:13" x14ac:dyDescent="0.25">
      <c r="A1483">
        <v>1482</v>
      </c>
      <c r="B1483" t="s">
        <v>2077</v>
      </c>
      <c r="C1483" s="2" t="s">
        <v>2078</v>
      </c>
      <c r="D1483" s="2">
        <f t="shared" ca="1" si="92"/>
        <v>27</v>
      </c>
      <c r="E1483" t="s">
        <v>10</v>
      </c>
      <c r="F1483" t="s">
        <v>29</v>
      </c>
      <c r="G1483" t="s">
        <v>30</v>
      </c>
      <c r="H1483" t="str">
        <f t="shared" si="93"/>
        <v>Cacoal - RO</v>
      </c>
      <c r="I1483" s="1" t="s">
        <v>108</v>
      </c>
      <c r="J1483" s="3">
        <v>86</v>
      </c>
      <c r="K1483" s="4">
        <f t="shared" si="94"/>
        <v>23.573915188728378</v>
      </c>
      <c r="L1483" s="1" t="str">
        <f t="shared" si="95"/>
        <v>Peso ideal - parabéns</v>
      </c>
      <c r="M1483" t="s">
        <v>14</v>
      </c>
    </row>
    <row r="1484" spans="1:13" x14ac:dyDescent="0.25">
      <c r="A1484">
        <v>1483</v>
      </c>
      <c r="B1484" t="s">
        <v>1831</v>
      </c>
      <c r="C1484" s="2" t="s">
        <v>1832</v>
      </c>
      <c r="D1484" s="2">
        <f t="shared" ca="1" si="92"/>
        <v>31</v>
      </c>
      <c r="E1484" t="s">
        <v>10</v>
      </c>
      <c r="F1484" t="s">
        <v>1525</v>
      </c>
      <c r="G1484" t="s">
        <v>12</v>
      </c>
      <c r="H1484" t="str">
        <f t="shared" si="93"/>
        <v>Crato - CE</v>
      </c>
      <c r="I1484" s="1" t="s">
        <v>262</v>
      </c>
      <c r="J1484" s="3">
        <v>97</v>
      </c>
      <c r="K1484" s="4">
        <f t="shared" si="94"/>
        <v>26.869806094182827</v>
      </c>
      <c r="L1484" s="1" t="str">
        <f t="shared" si="95"/>
        <v>Levemente acima do peso</v>
      </c>
      <c r="M1484" t="s">
        <v>47</v>
      </c>
    </row>
    <row r="1485" spans="1:13" x14ac:dyDescent="0.25">
      <c r="A1485">
        <v>1484</v>
      </c>
      <c r="B1485" t="s">
        <v>3583</v>
      </c>
      <c r="C1485" s="2" t="s">
        <v>3584</v>
      </c>
      <c r="D1485" s="2">
        <f t="shared" ca="1" si="92"/>
        <v>28</v>
      </c>
      <c r="E1485" t="s">
        <v>23</v>
      </c>
      <c r="F1485" t="s">
        <v>272</v>
      </c>
      <c r="G1485" t="s">
        <v>273</v>
      </c>
      <c r="H1485" t="str">
        <f t="shared" si="93"/>
        <v>Vitória - ES</v>
      </c>
      <c r="I1485" s="1" t="s">
        <v>209</v>
      </c>
      <c r="J1485" s="3">
        <v>55</v>
      </c>
      <c r="K1485" s="4">
        <f t="shared" si="94"/>
        <v>23.19109461966605</v>
      </c>
      <c r="L1485" s="1" t="str">
        <f t="shared" si="95"/>
        <v>Peso ideal - parabéns</v>
      </c>
      <c r="M1485" t="s">
        <v>20</v>
      </c>
    </row>
    <row r="1486" spans="1:13" x14ac:dyDescent="0.25">
      <c r="A1486">
        <v>1485</v>
      </c>
      <c r="B1486" t="s">
        <v>2693</v>
      </c>
      <c r="C1486" s="2" t="s">
        <v>2694</v>
      </c>
      <c r="D1486" s="2">
        <f t="shared" ca="1" si="92"/>
        <v>22</v>
      </c>
      <c r="E1486" t="s">
        <v>23</v>
      </c>
      <c r="F1486" t="s">
        <v>158</v>
      </c>
      <c r="G1486" t="s">
        <v>159</v>
      </c>
      <c r="H1486" t="str">
        <f t="shared" si="93"/>
        <v>Brasília - DF</v>
      </c>
      <c r="I1486" s="1" t="s">
        <v>198</v>
      </c>
      <c r="J1486" s="3">
        <v>74</v>
      </c>
      <c r="K1486" s="4">
        <f t="shared" si="94"/>
        <v>30.021501886486266</v>
      </c>
      <c r="L1486" s="1" t="str">
        <f t="shared" si="95"/>
        <v>Obesidade grau I</v>
      </c>
      <c r="M1486" t="s">
        <v>14</v>
      </c>
    </row>
    <row r="1487" spans="1:13" x14ac:dyDescent="0.25">
      <c r="A1487">
        <v>1486</v>
      </c>
      <c r="B1487" t="s">
        <v>4152</v>
      </c>
      <c r="C1487" s="2" t="s">
        <v>1719</v>
      </c>
      <c r="D1487" s="2">
        <f t="shared" ca="1" si="92"/>
        <v>40</v>
      </c>
      <c r="E1487" t="s">
        <v>23</v>
      </c>
      <c r="F1487" t="s">
        <v>158</v>
      </c>
      <c r="G1487" t="s">
        <v>159</v>
      </c>
      <c r="H1487" t="str">
        <f t="shared" si="93"/>
        <v>Brasília - DF</v>
      </c>
      <c r="I1487" s="1" t="s">
        <v>281</v>
      </c>
      <c r="J1487" s="3">
        <v>75</v>
      </c>
      <c r="K1487" s="4">
        <f t="shared" si="94"/>
        <v>28.577960676726104</v>
      </c>
      <c r="L1487" s="1" t="str">
        <f t="shared" si="95"/>
        <v>Levemente acima do peso</v>
      </c>
      <c r="M1487" t="s">
        <v>83</v>
      </c>
    </row>
    <row r="1488" spans="1:13" x14ac:dyDescent="0.25">
      <c r="A1488">
        <v>1487</v>
      </c>
      <c r="B1488" t="s">
        <v>3875</v>
      </c>
      <c r="C1488" s="2" t="s">
        <v>3876</v>
      </c>
      <c r="D1488" s="2">
        <f t="shared" ca="1" si="92"/>
        <v>51</v>
      </c>
      <c r="E1488" t="s">
        <v>23</v>
      </c>
      <c r="F1488" t="s">
        <v>126</v>
      </c>
      <c r="G1488" t="s">
        <v>127</v>
      </c>
      <c r="H1488" t="str">
        <f t="shared" si="93"/>
        <v>Boa Vista - RR</v>
      </c>
      <c r="I1488" s="1" t="s">
        <v>213</v>
      </c>
      <c r="J1488" s="3">
        <v>58</v>
      </c>
      <c r="K1488" s="4">
        <f t="shared" si="94"/>
        <v>25.103878116343491</v>
      </c>
      <c r="L1488" s="1" t="str">
        <f t="shared" si="95"/>
        <v>Levemente acima do peso</v>
      </c>
      <c r="M1488" t="s">
        <v>20</v>
      </c>
    </row>
    <row r="1489" spans="1:13" x14ac:dyDescent="0.25">
      <c r="A1489">
        <v>1488</v>
      </c>
      <c r="B1489" t="s">
        <v>1523</v>
      </c>
      <c r="C1489" s="2" t="s">
        <v>1524</v>
      </c>
      <c r="D1489" s="2">
        <f t="shared" ca="1" si="92"/>
        <v>73</v>
      </c>
      <c r="E1489" t="s">
        <v>23</v>
      </c>
      <c r="F1489" t="s">
        <v>1525</v>
      </c>
      <c r="G1489" t="s">
        <v>12</v>
      </c>
      <c r="H1489" t="str">
        <f t="shared" si="93"/>
        <v>Crato - CE</v>
      </c>
      <c r="I1489" s="1" t="s">
        <v>205</v>
      </c>
      <c r="J1489" s="3">
        <v>55</v>
      </c>
      <c r="K1489" s="4">
        <f t="shared" si="94"/>
        <v>23.495236874706311</v>
      </c>
      <c r="L1489" s="1" t="str">
        <f t="shared" si="95"/>
        <v>Peso ideal - parabéns</v>
      </c>
      <c r="M1489" t="s">
        <v>20</v>
      </c>
    </row>
    <row r="1490" spans="1:13" x14ac:dyDescent="0.25">
      <c r="A1490">
        <v>1489</v>
      </c>
      <c r="B1490" t="s">
        <v>1850</v>
      </c>
      <c r="C1490" s="2" t="s">
        <v>1851</v>
      </c>
      <c r="D1490" s="2">
        <f t="shared" ca="1" si="92"/>
        <v>72</v>
      </c>
      <c r="E1490" t="s">
        <v>23</v>
      </c>
      <c r="F1490" t="s">
        <v>564</v>
      </c>
      <c r="G1490" t="s">
        <v>565</v>
      </c>
      <c r="H1490" t="str">
        <f t="shared" si="93"/>
        <v>Rio Branco - AC</v>
      </c>
      <c r="I1490" s="1" t="s">
        <v>575</v>
      </c>
      <c r="J1490" s="3">
        <v>58</v>
      </c>
      <c r="K1490" s="4">
        <f t="shared" si="94"/>
        <v>22.942130453700404</v>
      </c>
      <c r="L1490" s="1" t="str">
        <f t="shared" si="95"/>
        <v>Peso ideal - parabéns</v>
      </c>
      <c r="M1490" t="s">
        <v>32</v>
      </c>
    </row>
    <row r="1491" spans="1:13" x14ac:dyDescent="0.25">
      <c r="A1491">
        <v>1490</v>
      </c>
      <c r="B1491" t="s">
        <v>758</v>
      </c>
      <c r="C1491" s="2" t="s">
        <v>759</v>
      </c>
      <c r="D1491" s="2">
        <f t="shared" ca="1" si="92"/>
        <v>71</v>
      </c>
      <c r="E1491" t="s">
        <v>23</v>
      </c>
      <c r="F1491" t="s">
        <v>760</v>
      </c>
      <c r="G1491" t="s">
        <v>310</v>
      </c>
      <c r="H1491" t="str">
        <f t="shared" si="93"/>
        <v>São Leopoldo - RS</v>
      </c>
      <c r="I1491" s="1" t="s">
        <v>205</v>
      </c>
      <c r="J1491" s="3">
        <v>69</v>
      </c>
      <c r="K1491" s="4">
        <f t="shared" si="94"/>
        <v>29.475842624631554</v>
      </c>
      <c r="L1491" s="1" t="str">
        <f t="shared" si="95"/>
        <v>Levemente acima do peso</v>
      </c>
      <c r="M1491" t="s">
        <v>32</v>
      </c>
    </row>
    <row r="1492" spans="1:13" x14ac:dyDescent="0.25">
      <c r="A1492">
        <v>1491</v>
      </c>
      <c r="B1492" t="s">
        <v>3729</v>
      </c>
      <c r="C1492" s="2" t="s">
        <v>3730</v>
      </c>
      <c r="D1492" s="2">
        <f t="shared" ca="1" si="92"/>
        <v>40</v>
      </c>
      <c r="E1492" t="s">
        <v>23</v>
      </c>
      <c r="F1492" t="s">
        <v>74</v>
      </c>
      <c r="G1492" t="s">
        <v>75</v>
      </c>
      <c r="H1492" t="str">
        <f t="shared" si="93"/>
        <v>Macapá - AP</v>
      </c>
      <c r="I1492" s="1" t="s">
        <v>198</v>
      </c>
      <c r="J1492" s="3">
        <v>78</v>
      </c>
      <c r="K1492" s="4">
        <f t="shared" si="94"/>
        <v>31.644285772242281</v>
      </c>
      <c r="L1492" s="1" t="str">
        <f t="shared" si="95"/>
        <v>Obesidade grau I</v>
      </c>
      <c r="M1492" t="s">
        <v>20</v>
      </c>
    </row>
    <row r="1493" spans="1:13" x14ac:dyDescent="0.25">
      <c r="A1493">
        <v>1492</v>
      </c>
      <c r="B1493" t="s">
        <v>3620</v>
      </c>
      <c r="C1493" s="2" t="s">
        <v>1502</v>
      </c>
      <c r="D1493" s="2">
        <f t="shared" ca="1" si="92"/>
        <v>65</v>
      </c>
      <c r="E1493" t="s">
        <v>23</v>
      </c>
      <c r="F1493" t="s">
        <v>3621</v>
      </c>
      <c r="G1493" t="s">
        <v>112</v>
      </c>
      <c r="H1493" t="str">
        <f t="shared" si="93"/>
        <v>Bonito - PA</v>
      </c>
      <c r="I1493" s="1" t="s">
        <v>90</v>
      </c>
      <c r="J1493" s="3">
        <v>72</v>
      </c>
      <c r="K1493" s="4">
        <f t="shared" si="94"/>
        <v>24.337479718766904</v>
      </c>
      <c r="L1493" s="1" t="str">
        <f t="shared" si="95"/>
        <v>Peso ideal - parabéns</v>
      </c>
      <c r="M1493" t="s">
        <v>32</v>
      </c>
    </row>
    <row r="1494" spans="1:13" x14ac:dyDescent="0.25">
      <c r="A1494">
        <v>1493</v>
      </c>
      <c r="B1494" t="s">
        <v>1763</v>
      </c>
      <c r="C1494" s="2" t="s">
        <v>1764</v>
      </c>
      <c r="D1494" s="2">
        <f t="shared" ca="1" si="92"/>
        <v>47</v>
      </c>
      <c r="E1494" t="s">
        <v>23</v>
      </c>
      <c r="F1494" t="s">
        <v>126</v>
      </c>
      <c r="G1494" t="s">
        <v>127</v>
      </c>
      <c r="H1494" t="str">
        <f t="shared" si="93"/>
        <v>Boa Vista - RR</v>
      </c>
      <c r="I1494" s="1" t="s">
        <v>90</v>
      </c>
      <c r="J1494" s="3">
        <v>62</v>
      </c>
      <c r="K1494" s="4">
        <f t="shared" si="94"/>
        <v>20.957274202271499</v>
      </c>
      <c r="L1494" s="1" t="str">
        <f t="shared" si="95"/>
        <v>Peso ideal - parabéns</v>
      </c>
      <c r="M1494" t="s">
        <v>14</v>
      </c>
    </row>
    <row r="1495" spans="1:13" x14ac:dyDescent="0.25">
      <c r="A1495">
        <v>1494</v>
      </c>
      <c r="B1495" t="s">
        <v>3104</v>
      </c>
      <c r="C1495" s="2" t="s">
        <v>2871</v>
      </c>
      <c r="D1495" s="2">
        <f t="shared" ca="1" si="92"/>
        <v>53</v>
      </c>
      <c r="E1495" t="s">
        <v>23</v>
      </c>
      <c r="F1495" t="s">
        <v>3105</v>
      </c>
      <c r="G1495" t="s">
        <v>55</v>
      </c>
      <c r="H1495" t="str">
        <f t="shared" si="93"/>
        <v>Umuarama - PR</v>
      </c>
      <c r="I1495" s="1" t="s">
        <v>71</v>
      </c>
      <c r="J1495" s="3">
        <v>53</v>
      </c>
      <c r="K1495" s="4">
        <f t="shared" si="94"/>
        <v>15.826092149661081</v>
      </c>
      <c r="L1495" s="1" t="str">
        <f t="shared" si="95"/>
        <v>Muito abaixo do peso</v>
      </c>
      <c r="M1495" t="s">
        <v>14</v>
      </c>
    </row>
    <row r="1496" spans="1:13" x14ac:dyDescent="0.25">
      <c r="A1496">
        <v>1495</v>
      </c>
      <c r="B1496" t="s">
        <v>1222</v>
      </c>
      <c r="C1496" s="2" t="s">
        <v>1223</v>
      </c>
      <c r="D1496" s="2">
        <f t="shared" ca="1" si="92"/>
        <v>62</v>
      </c>
      <c r="E1496" t="s">
        <v>23</v>
      </c>
      <c r="F1496" t="s">
        <v>169</v>
      </c>
      <c r="G1496" t="s">
        <v>170</v>
      </c>
      <c r="H1496" t="str">
        <f t="shared" si="93"/>
        <v>Maceió - AL</v>
      </c>
      <c r="I1496" s="1" t="s">
        <v>171</v>
      </c>
      <c r="J1496" s="3">
        <v>73</v>
      </c>
      <c r="K1496" s="4">
        <f t="shared" si="94"/>
        <v>26.175194521137367</v>
      </c>
      <c r="L1496" s="1" t="str">
        <f t="shared" si="95"/>
        <v>Levemente acima do peso</v>
      </c>
      <c r="M1496" t="s">
        <v>32</v>
      </c>
    </row>
    <row r="1497" spans="1:13" x14ac:dyDescent="0.25">
      <c r="A1497">
        <v>1496</v>
      </c>
      <c r="B1497" t="s">
        <v>505</v>
      </c>
      <c r="C1497" s="2" t="s">
        <v>506</v>
      </c>
      <c r="D1497" s="2">
        <f t="shared" ca="1" si="92"/>
        <v>42</v>
      </c>
      <c r="E1497" t="s">
        <v>23</v>
      </c>
      <c r="F1497" t="s">
        <v>454</v>
      </c>
      <c r="G1497" t="s">
        <v>60</v>
      </c>
      <c r="H1497" t="str">
        <f t="shared" si="93"/>
        <v>Gurupi - TO</v>
      </c>
      <c r="I1497" s="1" t="s">
        <v>194</v>
      </c>
      <c r="J1497" s="3">
        <v>71</v>
      </c>
      <c r="K1497" s="4">
        <f t="shared" si="94"/>
        <v>20.74506939371804</v>
      </c>
      <c r="L1497" s="1" t="str">
        <f t="shared" si="95"/>
        <v>Peso ideal - parabéns</v>
      </c>
      <c r="M1497" t="s">
        <v>14</v>
      </c>
    </row>
    <row r="1498" spans="1:13" x14ac:dyDescent="0.25">
      <c r="A1498">
        <v>1497</v>
      </c>
      <c r="B1498" t="s">
        <v>3832</v>
      </c>
      <c r="C1498" s="2" t="s">
        <v>3833</v>
      </c>
      <c r="D1498" s="2">
        <f t="shared" ca="1" si="92"/>
        <v>58</v>
      </c>
      <c r="E1498" t="s">
        <v>23</v>
      </c>
      <c r="F1498" t="s">
        <v>564</v>
      </c>
      <c r="G1498" t="s">
        <v>565</v>
      </c>
      <c r="H1498" t="str">
        <f t="shared" si="93"/>
        <v>Rio Branco - AC</v>
      </c>
      <c r="I1498" s="1" t="s">
        <v>400</v>
      </c>
      <c r="J1498" s="3">
        <v>48</v>
      </c>
      <c r="K1498" s="4">
        <f t="shared" si="94"/>
        <v>14.814814814814813</v>
      </c>
      <c r="L1498" s="1" t="str">
        <f t="shared" si="95"/>
        <v>Muito abaixo do peso</v>
      </c>
      <c r="M1498" t="s">
        <v>14</v>
      </c>
    </row>
    <row r="1499" spans="1:13" x14ac:dyDescent="0.25">
      <c r="A1499">
        <v>1498</v>
      </c>
      <c r="B1499" t="s">
        <v>1563</v>
      </c>
      <c r="C1499" s="2" t="s">
        <v>407</v>
      </c>
      <c r="D1499" s="2">
        <f t="shared" ca="1" si="92"/>
        <v>28</v>
      </c>
      <c r="E1499" t="s">
        <v>10</v>
      </c>
      <c r="F1499" t="s">
        <v>1274</v>
      </c>
      <c r="G1499" t="s">
        <v>51</v>
      </c>
      <c r="H1499" t="str">
        <f t="shared" si="93"/>
        <v>Belford Roxo - RJ</v>
      </c>
      <c r="I1499" s="1" t="s">
        <v>42</v>
      </c>
      <c r="J1499" s="3">
        <v>54</v>
      </c>
      <c r="K1499" s="4">
        <f t="shared" si="94"/>
        <v>16.853406572828565</v>
      </c>
      <c r="L1499" s="1" t="str">
        <f t="shared" si="95"/>
        <v>Muito abaixo do peso</v>
      </c>
      <c r="M1499" t="s">
        <v>14</v>
      </c>
    </row>
    <row r="1500" spans="1:13" x14ac:dyDescent="0.25">
      <c r="A1500">
        <v>1499</v>
      </c>
      <c r="B1500" t="s">
        <v>3961</v>
      </c>
      <c r="C1500" s="2" t="s">
        <v>3520</v>
      </c>
      <c r="D1500" s="2">
        <f t="shared" ca="1" si="92"/>
        <v>47</v>
      </c>
      <c r="E1500" t="s">
        <v>10</v>
      </c>
      <c r="F1500" t="s">
        <v>2295</v>
      </c>
      <c r="G1500" t="s">
        <v>175</v>
      </c>
      <c r="H1500" t="str">
        <f t="shared" si="93"/>
        <v>Paulista - PE</v>
      </c>
      <c r="I1500" s="1" t="s">
        <v>56</v>
      </c>
      <c r="J1500" s="3">
        <v>110</v>
      </c>
      <c r="K1500" s="4">
        <f t="shared" si="94"/>
        <v>38.514057631035335</v>
      </c>
      <c r="L1500" s="1" t="str">
        <f t="shared" si="95"/>
        <v>Obesidade grau II - severa</v>
      </c>
      <c r="M1500" t="s">
        <v>26</v>
      </c>
    </row>
    <row r="1501" spans="1:13" x14ac:dyDescent="0.25">
      <c r="A1501">
        <v>1500</v>
      </c>
      <c r="B1501" t="s">
        <v>3924</v>
      </c>
      <c r="C1501" s="2" t="s">
        <v>3925</v>
      </c>
      <c r="D1501" s="2">
        <f t="shared" ca="1" si="92"/>
        <v>65</v>
      </c>
      <c r="E1501" t="s">
        <v>10</v>
      </c>
      <c r="F1501" t="s">
        <v>158</v>
      </c>
      <c r="G1501" t="s">
        <v>159</v>
      </c>
      <c r="H1501" t="str">
        <f t="shared" si="93"/>
        <v>Brasília - DF</v>
      </c>
      <c r="I1501" s="1" t="s">
        <v>286</v>
      </c>
      <c r="J1501" s="3">
        <v>67</v>
      </c>
      <c r="K1501" s="4">
        <f t="shared" si="94"/>
        <v>24.609733700642796</v>
      </c>
      <c r="L1501" s="1" t="str">
        <f t="shared" si="95"/>
        <v>Peso ideal - parabéns</v>
      </c>
      <c r="M1501" t="s">
        <v>83</v>
      </c>
    </row>
    <row r="1502" spans="1:13" x14ac:dyDescent="0.25">
      <c r="A1502">
        <v>1501</v>
      </c>
      <c r="B1502" t="s">
        <v>1515</v>
      </c>
      <c r="C1502" s="2" t="s">
        <v>1516</v>
      </c>
      <c r="D1502" s="2">
        <f t="shared" ca="1" si="92"/>
        <v>81</v>
      </c>
      <c r="E1502" t="s">
        <v>10</v>
      </c>
      <c r="F1502" t="s">
        <v>64</v>
      </c>
      <c r="G1502" t="s">
        <v>65</v>
      </c>
      <c r="H1502" t="str">
        <f t="shared" si="93"/>
        <v>Salvador - BA</v>
      </c>
      <c r="I1502" s="1" t="s">
        <v>123</v>
      </c>
      <c r="J1502" s="3">
        <v>73</v>
      </c>
      <c r="K1502" s="4">
        <f t="shared" si="94"/>
        <v>23.566632231404959</v>
      </c>
      <c r="L1502" s="1" t="str">
        <f t="shared" si="95"/>
        <v>Peso ideal - parabéns</v>
      </c>
      <c r="M1502" t="s">
        <v>14</v>
      </c>
    </row>
    <row r="1503" spans="1:13" x14ac:dyDescent="0.25">
      <c r="A1503">
        <v>1502</v>
      </c>
      <c r="B1503" t="s">
        <v>3587</v>
      </c>
      <c r="C1503" s="2" t="s">
        <v>2893</v>
      </c>
      <c r="D1503" s="2">
        <f t="shared" ca="1" si="92"/>
        <v>81</v>
      </c>
      <c r="E1503" t="s">
        <v>10</v>
      </c>
      <c r="F1503" t="s">
        <v>564</v>
      </c>
      <c r="G1503" t="s">
        <v>565</v>
      </c>
      <c r="H1503" t="str">
        <f t="shared" si="93"/>
        <v>Rio Branco - AC</v>
      </c>
      <c r="I1503" s="1" t="s">
        <v>639</v>
      </c>
      <c r="J1503" s="3">
        <v>56</v>
      </c>
      <c r="K1503" s="4">
        <f t="shared" si="94"/>
        <v>14</v>
      </c>
      <c r="L1503" s="1" t="str">
        <f t="shared" si="95"/>
        <v>Muito abaixo do peso</v>
      </c>
      <c r="M1503" t="s">
        <v>76</v>
      </c>
    </row>
    <row r="1504" spans="1:13" x14ac:dyDescent="0.25">
      <c r="A1504">
        <v>1503</v>
      </c>
      <c r="B1504" t="s">
        <v>2652</v>
      </c>
      <c r="C1504" s="2" t="s">
        <v>2653</v>
      </c>
      <c r="D1504" s="2">
        <f t="shared" ca="1" si="92"/>
        <v>76</v>
      </c>
      <c r="E1504" t="s">
        <v>10</v>
      </c>
      <c r="F1504" t="s">
        <v>564</v>
      </c>
      <c r="G1504" t="s">
        <v>565</v>
      </c>
      <c r="H1504" t="str">
        <f t="shared" si="93"/>
        <v>Rio Branco - AC</v>
      </c>
      <c r="I1504" s="1" t="s">
        <v>123</v>
      </c>
      <c r="J1504" s="3">
        <v>65</v>
      </c>
      <c r="K1504" s="4">
        <f t="shared" si="94"/>
        <v>20.983987603305785</v>
      </c>
      <c r="L1504" s="1" t="str">
        <f t="shared" si="95"/>
        <v>Peso ideal - parabéns</v>
      </c>
      <c r="M1504" t="s">
        <v>14</v>
      </c>
    </row>
    <row r="1505" spans="1:13" x14ac:dyDescent="0.25">
      <c r="A1505">
        <v>1504</v>
      </c>
      <c r="B1505" t="s">
        <v>1011</v>
      </c>
      <c r="C1505" s="2" t="s">
        <v>1012</v>
      </c>
      <c r="D1505" s="2">
        <f t="shared" ca="1" si="92"/>
        <v>46</v>
      </c>
      <c r="E1505" t="s">
        <v>10</v>
      </c>
      <c r="F1505" t="s">
        <v>354</v>
      </c>
      <c r="G1505" t="s">
        <v>30</v>
      </c>
      <c r="H1505" t="str">
        <f t="shared" si="93"/>
        <v>Porto Velho - RO</v>
      </c>
      <c r="I1505" s="1" t="s">
        <v>191</v>
      </c>
      <c r="J1505" s="3">
        <v>92</v>
      </c>
      <c r="K1505" s="4">
        <f t="shared" si="94"/>
        <v>35.937499999999993</v>
      </c>
      <c r="L1505" s="1" t="str">
        <f t="shared" si="95"/>
        <v>Obesidade grau II - severa</v>
      </c>
      <c r="M1505" t="s">
        <v>20</v>
      </c>
    </row>
    <row r="1506" spans="1:13" x14ac:dyDescent="0.25">
      <c r="A1506">
        <v>1505</v>
      </c>
      <c r="B1506" t="s">
        <v>2567</v>
      </c>
      <c r="C1506" s="2" t="s">
        <v>2568</v>
      </c>
      <c r="D1506" s="2">
        <f t="shared" ca="1" si="92"/>
        <v>38</v>
      </c>
      <c r="E1506" t="s">
        <v>10</v>
      </c>
      <c r="F1506" t="s">
        <v>64</v>
      </c>
      <c r="G1506" t="s">
        <v>65</v>
      </c>
      <c r="H1506" t="str">
        <f t="shared" si="93"/>
        <v>Salvador - BA</v>
      </c>
      <c r="I1506" s="1" t="s">
        <v>386</v>
      </c>
      <c r="J1506" s="3">
        <v>90</v>
      </c>
      <c r="K1506" s="4">
        <f t="shared" si="94"/>
        <v>32.660763536072004</v>
      </c>
      <c r="L1506" s="1" t="str">
        <f t="shared" si="95"/>
        <v>Obesidade grau I</v>
      </c>
      <c r="M1506" t="s">
        <v>76</v>
      </c>
    </row>
    <row r="1507" spans="1:13" x14ac:dyDescent="0.25">
      <c r="A1507">
        <v>1506</v>
      </c>
      <c r="B1507" t="s">
        <v>1679</v>
      </c>
      <c r="C1507" s="2" t="s">
        <v>1680</v>
      </c>
      <c r="D1507" s="2">
        <f t="shared" ca="1" si="92"/>
        <v>74</v>
      </c>
      <c r="E1507" t="s">
        <v>10</v>
      </c>
      <c r="F1507" t="s">
        <v>775</v>
      </c>
      <c r="G1507" t="s">
        <v>51</v>
      </c>
      <c r="H1507" t="str">
        <f t="shared" si="93"/>
        <v>Rio de Janeiro - RJ</v>
      </c>
      <c r="I1507" s="1" t="s">
        <v>201</v>
      </c>
      <c r="J1507" s="3">
        <v>68</v>
      </c>
      <c r="K1507" s="4">
        <f t="shared" si="94"/>
        <v>17.700957934194086</v>
      </c>
      <c r="L1507" s="1" t="str">
        <f t="shared" si="95"/>
        <v>Abaixo do peso</v>
      </c>
      <c r="M1507" t="s">
        <v>83</v>
      </c>
    </row>
    <row r="1508" spans="1:13" x14ac:dyDescent="0.25">
      <c r="A1508">
        <v>1507</v>
      </c>
      <c r="B1508" t="s">
        <v>334</v>
      </c>
      <c r="C1508" s="2" t="s">
        <v>335</v>
      </c>
      <c r="D1508" s="2">
        <f t="shared" ca="1" si="92"/>
        <v>81</v>
      </c>
      <c r="E1508" t="s">
        <v>10</v>
      </c>
      <c r="F1508" t="s">
        <v>336</v>
      </c>
      <c r="G1508" t="s">
        <v>12</v>
      </c>
      <c r="H1508" t="str">
        <f t="shared" si="93"/>
        <v>Juazeiro do Norte - CE</v>
      </c>
      <c r="I1508" s="1" t="s">
        <v>31</v>
      </c>
      <c r="J1508" s="3">
        <v>104</v>
      </c>
      <c r="K1508" s="4">
        <f t="shared" si="94"/>
        <v>38.667459845330164</v>
      </c>
      <c r="L1508" s="1" t="str">
        <f t="shared" si="95"/>
        <v>Obesidade grau II - severa</v>
      </c>
      <c r="M1508" t="s">
        <v>14</v>
      </c>
    </row>
    <row r="1509" spans="1:13" x14ac:dyDescent="0.25">
      <c r="A1509">
        <v>1508</v>
      </c>
      <c r="B1509" t="s">
        <v>734</v>
      </c>
      <c r="C1509" s="2" t="s">
        <v>735</v>
      </c>
      <c r="D1509" s="2">
        <f t="shared" ca="1" si="92"/>
        <v>45</v>
      </c>
      <c r="E1509" t="s">
        <v>10</v>
      </c>
      <c r="F1509" t="s">
        <v>736</v>
      </c>
      <c r="G1509" t="s">
        <v>190</v>
      </c>
      <c r="H1509" t="str">
        <f t="shared" si="93"/>
        <v>Sinop - MT</v>
      </c>
      <c r="I1509" s="1" t="s">
        <v>56</v>
      </c>
      <c r="J1509" s="3">
        <v>75</v>
      </c>
      <c r="K1509" s="4">
        <f t="shared" si="94"/>
        <v>26.259584748433181</v>
      </c>
      <c r="L1509" s="1" t="str">
        <f t="shared" si="95"/>
        <v>Levemente acima do peso</v>
      </c>
      <c r="M1509" t="s">
        <v>20</v>
      </c>
    </row>
    <row r="1510" spans="1:13" x14ac:dyDescent="0.25">
      <c r="A1510">
        <v>1509</v>
      </c>
      <c r="B1510" t="s">
        <v>997</v>
      </c>
      <c r="C1510" s="2" t="s">
        <v>998</v>
      </c>
      <c r="D1510" s="2">
        <f t="shared" ca="1" si="92"/>
        <v>52</v>
      </c>
      <c r="E1510" t="s">
        <v>10</v>
      </c>
      <c r="F1510" t="s">
        <v>54</v>
      </c>
      <c r="G1510" t="s">
        <v>55</v>
      </c>
      <c r="H1510" t="str">
        <f t="shared" si="93"/>
        <v>Ponta Grossa - PR</v>
      </c>
      <c r="I1510" s="1" t="s">
        <v>191</v>
      </c>
      <c r="J1510" s="3">
        <v>62</v>
      </c>
      <c r="K1510" s="4">
        <f t="shared" si="94"/>
        <v>24.218749999999996</v>
      </c>
      <c r="L1510" s="1" t="str">
        <f t="shared" si="95"/>
        <v>Peso ideal - parabéns</v>
      </c>
      <c r="M1510" t="s">
        <v>47</v>
      </c>
    </row>
    <row r="1511" spans="1:13" x14ac:dyDescent="0.25">
      <c r="A1511">
        <v>1510</v>
      </c>
      <c r="B1511" t="s">
        <v>355</v>
      </c>
      <c r="C1511" s="2" t="s">
        <v>356</v>
      </c>
      <c r="D1511" s="2">
        <f t="shared" ca="1" si="92"/>
        <v>21</v>
      </c>
      <c r="E1511" t="s">
        <v>10</v>
      </c>
      <c r="F1511" t="s">
        <v>357</v>
      </c>
      <c r="G1511" t="s">
        <v>131</v>
      </c>
      <c r="H1511" t="str">
        <f t="shared" si="93"/>
        <v>São José - SC</v>
      </c>
      <c r="I1511" s="1" t="s">
        <v>166</v>
      </c>
      <c r="J1511" s="3">
        <v>79</v>
      </c>
      <c r="K1511" s="4">
        <f t="shared" si="94"/>
        <v>27.990362811791389</v>
      </c>
      <c r="L1511" s="1" t="str">
        <f t="shared" si="95"/>
        <v>Levemente acima do peso</v>
      </c>
      <c r="M1511" t="s">
        <v>26</v>
      </c>
    </row>
    <row r="1512" spans="1:13" x14ac:dyDescent="0.25">
      <c r="A1512">
        <v>1511</v>
      </c>
      <c r="B1512" t="s">
        <v>793</v>
      </c>
      <c r="C1512" s="2" t="s">
        <v>794</v>
      </c>
      <c r="D1512" s="2">
        <f t="shared" ca="1" si="92"/>
        <v>56</v>
      </c>
      <c r="E1512" t="s">
        <v>10</v>
      </c>
      <c r="F1512" t="s">
        <v>69</v>
      </c>
      <c r="G1512" t="s">
        <v>70</v>
      </c>
      <c r="H1512" t="str">
        <f t="shared" si="93"/>
        <v>Aracaju - SE</v>
      </c>
      <c r="I1512" s="1" t="s">
        <v>255</v>
      </c>
      <c r="J1512" s="3">
        <v>101</v>
      </c>
      <c r="K1512" s="4">
        <f t="shared" si="94"/>
        <v>25.504406454382465</v>
      </c>
      <c r="L1512" s="1" t="str">
        <f t="shared" si="95"/>
        <v>Levemente acima do peso</v>
      </c>
      <c r="M1512" t="s">
        <v>20</v>
      </c>
    </row>
    <row r="1513" spans="1:13" x14ac:dyDescent="0.25">
      <c r="A1513">
        <v>1512</v>
      </c>
      <c r="B1513" t="s">
        <v>2748</v>
      </c>
      <c r="C1513" s="2" t="s">
        <v>2749</v>
      </c>
      <c r="D1513" s="2">
        <f t="shared" ca="1" si="92"/>
        <v>45</v>
      </c>
      <c r="E1513" t="s">
        <v>23</v>
      </c>
      <c r="F1513" t="s">
        <v>74</v>
      </c>
      <c r="G1513" t="s">
        <v>75</v>
      </c>
      <c r="H1513" t="str">
        <f t="shared" si="93"/>
        <v>Macapá - AP</v>
      </c>
      <c r="I1513" s="1" t="s">
        <v>56</v>
      </c>
      <c r="J1513" s="3">
        <v>72</v>
      </c>
      <c r="K1513" s="4">
        <f t="shared" si="94"/>
        <v>25.209201358495854</v>
      </c>
      <c r="L1513" s="1" t="str">
        <f t="shared" si="95"/>
        <v>Levemente acima do peso</v>
      </c>
      <c r="M1513" t="s">
        <v>76</v>
      </c>
    </row>
    <row r="1514" spans="1:13" x14ac:dyDescent="0.25">
      <c r="A1514">
        <v>1513</v>
      </c>
      <c r="B1514" t="s">
        <v>2705</v>
      </c>
      <c r="C1514" s="2" t="s">
        <v>2706</v>
      </c>
      <c r="D1514" s="2">
        <f t="shared" ca="1" si="92"/>
        <v>30</v>
      </c>
      <c r="E1514" t="s">
        <v>23</v>
      </c>
      <c r="F1514" t="s">
        <v>158</v>
      </c>
      <c r="G1514" t="s">
        <v>159</v>
      </c>
      <c r="H1514" t="str">
        <f t="shared" si="93"/>
        <v>Brasília - DF</v>
      </c>
      <c r="I1514" s="1" t="s">
        <v>94</v>
      </c>
      <c r="J1514" s="3">
        <v>60</v>
      </c>
      <c r="K1514" s="4">
        <f t="shared" si="94"/>
        <v>20.047445621303751</v>
      </c>
      <c r="L1514" s="1" t="str">
        <f t="shared" si="95"/>
        <v>Peso ideal - parabéns</v>
      </c>
      <c r="M1514" t="s">
        <v>83</v>
      </c>
    </row>
    <row r="1515" spans="1:13" x14ac:dyDescent="0.25">
      <c r="A1515">
        <v>1514</v>
      </c>
      <c r="B1515" t="s">
        <v>1716</v>
      </c>
      <c r="C1515" s="2" t="s">
        <v>606</v>
      </c>
      <c r="D1515" s="2">
        <f t="shared" ca="1" si="92"/>
        <v>32</v>
      </c>
      <c r="E1515" t="s">
        <v>23</v>
      </c>
      <c r="F1515" t="s">
        <v>158</v>
      </c>
      <c r="G1515" t="s">
        <v>159</v>
      </c>
      <c r="H1515" t="str">
        <f t="shared" si="93"/>
        <v>Brasília - DF</v>
      </c>
      <c r="I1515" s="1" t="s">
        <v>386</v>
      </c>
      <c r="J1515" s="3">
        <v>89</v>
      </c>
      <c r="K1515" s="4">
        <f t="shared" si="94"/>
        <v>32.29786616344898</v>
      </c>
      <c r="L1515" s="1" t="str">
        <f t="shared" si="95"/>
        <v>Obesidade grau I</v>
      </c>
      <c r="M1515" t="s">
        <v>14</v>
      </c>
    </row>
    <row r="1516" spans="1:13" x14ac:dyDescent="0.25">
      <c r="A1516">
        <v>1515</v>
      </c>
      <c r="B1516" t="s">
        <v>1979</v>
      </c>
      <c r="C1516" s="2" t="s">
        <v>1980</v>
      </c>
      <c r="D1516" s="2">
        <f t="shared" ca="1" si="92"/>
        <v>38</v>
      </c>
      <c r="E1516" t="s">
        <v>23</v>
      </c>
      <c r="F1516" t="s">
        <v>126</v>
      </c>
      <c r="G1516" t="s">
        <v>127</v>
      </c>
      <c r="H1516" t="str">
        <f t="shared" si="93"/>
        <v>Boa Vista - RR</v>
      </c>
      <c r="I1516" s="1" t="s">
        <v>71</v>
      </c>
      <c r="J1516" s="3">
        <v>89</v>
      </c>
      <c r="K1516" s="4">
        <f t="shared" si="94"/>
        <v>26.575890590940304</v>
      </c>
      <c r="L1516" s="1" t="str">
        <f t="shared" si="95"/>
        <v>Levemente acima do peso</v>
      </c>
      <c r="M1516" t="s">
        <v>20</v>
      </c>
    </row>
    <row r="1517" spans="1:13" x14ac:dyDescent="0.25">
      <c r="A1517">
        <v>1516</v>
      </c>
      <c r="B1517" t="s">
        <v>195</v>
      </c>
      <c r="C1517" s="2" t="s">
        <v>196</v>
      </c>
      <c r="D1517" s="2">
        <f t="shared" ca="1" si="92"/>
        <v>66</v>
      </c>
      <c r="E1517" t="s">
        <v>23</v>
      </c>
      <c r="F1517" t="s">
        <v>197</v>
      </c>
      <c r="G1517" t="s">
        <v>46</v>
      </c>
      <c r="H1517" t="str">
        <f t="shared" si="93"/>
        <v>Anápolis - GO</v>
      </c>
      <c r="I1517" s="1" t="s">
        <v>198</v>
      </c>
      <c r="J1517" s="3">
        <v>52</v>
      </c>
      <c r="K1517" s="4">
        <f t="shared" si="94"/>
        <v>21.096190514828187</v>
      </c>
      <c r="L1517" s="1" t="str">
        <f t="shared" si="95"/>
        <v>Peso ideal - parabéns</v>
      </c>
      <c r="M1517" t="s">
        <v>26</v>
      </c>
    </row>
    <row r="1518" spans="1:13" x14ac:dyDescent="0.25">
      <c r="A1518">
        <v>1517</v>
      </c>
      <c r="B1518" t="s">
        <v>2418</v>
      </c>
      <c r="C1518" s="2" t="s">
        <v>2419</v>
      </c>
      <c r="D1518" s="2">
        <f t="shared" ca="1" si="92"/>
        <v>22</v>
      </c>
      <c r="E1518" t="s">
        <v>10</v>
      </c>
      <c r="F1518" t="s">
        <v>24</v>
      </c>
      <c r="G1518" t="s">
        <v>25</v>
      </c>
      <c r="H1518" t="str">
        <f t="shared" si="93"/>
        <v>Natal - RN</v>
      </c>
      <c r="I1518" s="1" t="s">
        <v>191</v>
      </c>
      <c r="J1518" s="3">
        <v>78</v>
      </c>
      <c r="K1518" s="4">
        <f t="shared" si="94"/>
        <v>30.468749999999993</v>
      </c>
      <c r="L1518" s="1" t="str">
        <f t="shared" si="95"/>
        <v>Obesidade grau I</v>
      </c>
      <c r="M1518" t="s">
        <v>32</v>
      </c>
    </row>
    <row r="1519" spans="1:13" x14ac:dyDescent="0.25">
      <c r="A1519">
        <v>1518</v>
      </c>
      <c r="B1519" t="s">
        <v>2727</v>
      </c>
      <c r="C1519" s="2" t="s">
        <v>2728</v>
      </c>
      <c r="D1519" s="2">
        <f t="shared" ca="1" si="92"/>
        <v>81</v>
      </c>
      <c r="E1519" t="s">
        <v>10</v>
      </c>
      <c r="F1519" t="s">
        <v>153</v>
      </c>
      <c r="G1519" t="s">
        <v>154</v>
      </c>
      <c r="H1519" t="str">
        <f t="shared" si="93"/>
        <v>Manaus - AM</v>
      </c>
      <c r="I1519" s="1" t="s">
        <v>262</v>
      </c>
      <c r="J1519" s="3">
        <v>79</v>
      </c>
      <c r="K1519" s="4">
        <f t="shared" si="94"/>
        <v>21.883656509695292</v>
      </c>
      <c r="L1519" s="1" t="str">
        <f t="shared" si="95"/>
        <v>Peso ideal - parabéns</v>
      </c>
      <c r="M1519" t="s">
        <v>95</v>
      </c>
    </row>
    <row r="1520" spans="1:13" x14ac:dyDescent="0.25">
      <c r="A1520">
        <v>1519</v>
      </c>
      <c r="B1520" t="s">
        <v>2587</v>
      </c>
      <c r="C1520" s="2" t="s">
        <v>2588</v>
      </c>
      <c r="D1520" s="2">
        <f t="shared" ca="1" si="92"/>
        <v>48</v>
      </c>
      <c r="E1520" t="s">
        <v>10</v>
      </c>
      <c r="F1520" t="s">
        <v>1178</v>
      </c>
      <c r="G1520" t="s">
        <v>46</v>
      </c>
      <c r="H1520" t="str">
        <f t="shared" si="93"/>
        <v>Luziânia - GO</v>
      </c>
      <c r="I1520" s="1" t="s">
        <v>155</v>
      </c>
      <c r="J1520" s="3">
        <v>110</v>
      </c>
      <c r="K1520" s="4">
        <f t="shared" si="94"/>
        <v>33.208549692066171</v>
      </c>
      <c r="L1520" s="1" t="str">
        <f t="shared" si="95"/>
        <v>Obesidade grau I</v>
      </c>
      <c r="M1520" t="s">
        <v>20</v>
      </c>
    </row>
    <row r="1521" spans="1:13" x14ac:dyDescent="0.25">
      <c r="A1521">
        <v>1520</v>
      </c>
      <c r="B1521" t="s">
        <v>3413</v>
      </c>
      <c r="C1521" s="2" t="s">
        <v>3414</v>
      </c>
      <c r="D1521" s="2">
        <f t="shared" ca="1" si="92"/>
        <v>52</v>
      </c>
      <c r="E1521" t="s">
        <v>10</v>
      </c>
      <c r="F1521" t="s">
        <v>291</v>
      </c>
      <c r="G1521" t="s">
        <v>131</v>
      </c>
      <c r="H1521" t="str">
        <f t="shared" si="93"/>
        <v>Blumenau - SC</v>
      </c>
      <c r="I1521" s="1" t="s">
        <v>113</v>
      </c>
      <c r="J1521" s="3">
        <v>74</v>
      </c>
      <c r="K1521" s="4">
        <f t="shared" si="94"/>
        <v>27.852007979223909</v>
      </c>
      <c r="L1521" s="1" t="str">
        <f t="shared" si="95"/>
        <v>Levemente acima do peso</v>
      </c>
      <c r="M1521" t="s">
        <v>32</v>
      </c>
    </row>
    <row r="1522" spans="1:13" x14ac:dyDescent="0.25">
      <c r="A1522">
        <v>1521</v>
      </c>
      <c r="B1522" t="s">
        <v>3877</v>
      </c>
      <c r="C1522" s="2" t="s">
        <v>3878</v>
      </c>
      <c r="D1522" s="2">
        <f t="shared" ca="1" si="92"/>
        <v>26</v>
      </c>
      <c r="E1522" t="s">
        <v>10</v>
      </c>
      <c r="F1522" t="s">
        <v>153</v>
      </c>
      <c r="G1522" t="s">
        <v>154</v>
      </c>
      <c r="H1522" t="str">
        <f t="shared" si="93"/>
        <v>Manaus - AM</v>
      </c>
      <c r="I1522" s="1" t="s">
        <v>171</v>
      </c>
      <c r="J1522" s="3">
        <v>79</v>
      </c>
      <c r="K1522" s="4">
        <f t="shared" si="94"/>
        <v>28.326580372189753</v>
      </c>
      <c r="L1522" s="1" t="str">
        <f t="shared" si="95"/>
        <v>Levemente acima do peso</v>
      </c>
      <c r="M1522" t="s">
        <v>95</v>
      </c>
    </row>
    <row r="1523" spans="1:13" x14ac:dyDescent="0.25">
      <c r="A1523">
        <v>1522</v>
      </c>
      <c r="B1523" t="s">
        <v>1478</v>
      </c>
      <c r="C1523" s="2" t="s">
        <v>1479</v>
      </c>
      <c r="D1523" s="2">
        <f t="shared" ca="1" si="92"/>
        <v>69</v>
      </c>
      <c r="E1523" t="s">
        <v>10</v>
      </c>
      <c r="F1523" t="s">
        <v>24</v>
      </c>
      <c r="G1523" t="s">
        <v>25</v>
      </c>
      <c r="H1523" t="str">
        <f t="shared" si="93"/>
        <v>Natal - RN</v>
      </c>
      <c r="I1523" s="1" t="s">
        <v>104</v>
      </c>
      <c r="J1523" s="3">
        <v>62</v>
      </c>
      <c r="K1523" s="4">
        <f t="shared" si="94"/>
        <v>21.453287197231838</v>
      </c>
      <c r="L1523" s="1" t="str">
        <f t="shared" si="95"/>
        <v>Peso ideal - parabéns</v>
      </c>
      <c r="M1523" t="s">
        <v>26</v>
      </c>
    </row>
    <row r="1524" spans="1:13" x14ac:dyDescent="0.25">
      <c r="A1524">
        <v>1523</v>
      </c>
      <c r="B1524" t="s">
        <v>2777</v>
      </c>
      <c r="C1524" s="2" t="s">
        <v>2778</v>
      </c>
      <c r="D1524" s="2">
        <f t="shared" ca="1" si="92"/>
        <v>70</v>
      </c>
      <c r="E1524" t="s">
        <v>10</v>
      </c>
      <c r="F1524" t="s">
        <v>354</v>
      </c>
      <c r="G1524" t="s">
        <v>30</v>
      </c>
      <c r="H1524" t="str">
        <f t="shared" si="93"/>
        <v>Porto Velho - RO</v>
      </c>
      <c r="I1524" s="1" t="s">
        <v>171</v>
      </c>
      <c r="J1524" s="3">
        <v>58</v>
      </c>
      <c r="K1524" s="4">
        <f t="shared" si="94"/>
        <v>20.796729893506402</v>
      </c>
      <c r="L1524" s="1" t="str">
        <f t="shared" si="95"/>
        <v>Peso ideal - parabéns</v>
      </c>
      <c r="M1524" t="s">
        <v>95</v>
      </c>
    </row>
    <row r="1525" spans="1:13" x14ac:dyDescent="0.25">
      <c r="A1525">
        <v>1524</v>
      </c>
      <c r="B1525" t="s">
        <v>934</v>
      </c>
      <c r="C1525" s="2" t="s">
        <v>275</v>
      </c>
      <c r="D1525" s="2">
        <f t="shared" ca="1" si="92"/>
        <v>75</v>
      </c>
      <c r="E1525" t="s">
        <v>10</v>
      </c>
      <c r="F1525" t="s">
        <v>439</v>
      </c>
      <c r="G1525" t="s">
        <v>190</v>
      </c>
      <c r="H1525" t="str">
        <f t="shared" si="93"/>
        <v>Rondonópolis - MT</v>
      </c>
      <c r="I1525" s="1" t="s">
        <v>37</v>
      </c>
      <c r="J1525" s="3">
        <v>95</v>
      </c>
      <c r="K1525" s="4">
        <f t="shared" si="94"/>
        <v>24.478857996856398</v>
      </c>
      <c r="L1525" s="1" t="str">
        <f t="shared" si="95"/>
        <v>Peso ideal - parabéns</v>
      </c>
      <c r="M1525" t="s">
        <v>76</v>
      </c>
    </row>
    <row r="1526" spans="1:13" x14ac:dyDescent="0.25">
      <c r="A1526">
        <v>1525</v>
      </c>
      <c r="B1526" t="s">
        <v>2051</v>
      </c>
      <c r="C1526" s="2" t="s">
        <v>2052</v>
      </c>
      <c r="D1526" s="2">
        <f t="shared" ca="1" si="92"/>
        <v>24</v>
      </c>
      <c r="E1526" t="s">
        <v>10</v>
      </c>
      <c r="F1526" t="s">
        <v>89</v>
      </c>
      <c r="G1526" t="s">
        <v>12</v>
      </c>
      <c r="H1526" t="str">
        <f t="shared" si="93"/>
        <v>Fortaleza - CE</v>
      </c>
      <c r="I1526" s="1" t="s">
        <v>148</v>
      </c>
      <c r="J1526" s="3">
        <v>50</v>
      </c>
      <c r="K1526" s="4">
        <f t="shared" si="94"/>
        <v>13.149243918474689</v>
      </c>
      <c r="L1526" s="1" t="str">
        <f t="shared" si="95"/>
        <v>Muito abaixo do peso</v>
      </c>
      <c r="M1526" t="s">
        <v>32</v>
      </c>
    </row>
    <row r="1527" spans="1:13" x14ac:dyDescent="0.25">
      <c r="A1527">
        <v>1526</v>
      </c>
      <c r="B1527" t="s">
        <v>3651</v>
      </c>
      <c r="C1527" s="2" t="s">
        <v>3403</v>
      </c>
      <c r="D1527" s="2">
        <f t="shared" ca="1" si="92"/>
        <v>54</v>
      </c>
      <c r="E1527" t="s">
        <v>10</v>
      </c>
      <c r="F1527" t="s">
        <v>354</v>
      </c>
      <c r="G1527" t="s">
        <v>30</v>
      </c>
      <c r="H1527" t="str">
        <f t="shared" si="93"/>
        <v>Porto Velho - RO</v>
      </c>
      <c r="I1527" s="1" t="s">
        <v>400</v>
      </c>
      <c r="J1527" s="3">
        <v>62</v>
      </c>
      <c r="K1527" s="4">
        <f t="shared" si="94"/>
        <v>19.1358024691358</v>
      </c>
      <c r="L1527" s="1" t="str">
        <f t="shared" si="95"/>
        <v>Peso ideal - parabéns</v>
      </c>
      <c r="M1527" t="s">
        <v>20</v>
      </c>
    </row>
    <row r="1528" spans="1:13" x14ac:dyDescent="0.25">
      <c r="A1528">
        <v>1527</v>
      </c>
      <c r="B1528" t="s">
        <v>3517</v>
      </c>
      <c r="C1528" s="2" t="s">
        <v>3518</v>
      </c>
      <c r="D1528" s="2">
        <f t="shared" ca="1" si="92"/>
        <v>55</v>
      </c>
      <c r="E1528" t="s">
        <v>10</v>
      </c>
      <c r="F1528" t="s">
        <v>1342</v>
      </c>
      <c r="G1528" t="s">
        <v>273</v>
      </c>
      <c r="H1528" t="str">
        <f t="shared" si="93"/>
        <v>Colatina - ES</v>
      </c>
      <c r="I1528" s="1" t="s">
        <v>61</v>
      </c>
      <c r="J1528" s="3">
        <v>67</v>
      </c>
      <c r="K1528" s="4">
        <f t="shared" si="94"/>
        <v>18.756473782928811</v>
      </c>
      <c r="L1528" s="1" t="str">
        <f t="shared" si="95"/>
        <v>Peso ideal - parabéns</v>
      </c>
      <c r="M1528" t="s">
        <v>47</v>
      </c>
    </row>
    <row r="1529" spans="1:13" x14ac:dyDescent="0.25">
      <c r="A1529">
        <v>1528</v>
      </c>
      <c r="B1529" t="s">
        <v>1773</v>
      </c>
      <c r="C1529" s="2" t="s">
        <v>1774</v>
      </c>
      <c r="D1529" s="2">
        <f t="shared" ca="1" si="92"/>
        <v>68</v>
      </c>
      <c r="E1529" t="s">
        <v>10</v>
      </c>
      <c r="F1529" t="s">
        <v>169</v>
      </c>
      <c r="G1529" t="s">
        <v>170</v>
      </c>
      <c r="H1529" t="str">
        <f t="shared" si="93"/>
        <v>Maceió - AL</v>
      </c>
      <c r="I1529" s="1" t="s">
        <v>37</v>
      </c>
      <c r="J1529" s="3">
        <v>86</v>
      </c>
      <c r="K1529" s="4">
        <f t="shared" si="94"/>
        <v>22.159808291891057</v>
      </c>
      <c r="L1529" s="1" t="str">
        <f t="shared" si="95"/>
        <v>Peso ideal - parabéns</v>
      </c>
      <c r="M1529" t="s">
        <v>47</v>
      </c>
    </row>
    <row r="1530" spans="1:13" x14ac:dyDescent="0.25">
      <c r="A1530">
        <v>1529</v>
      </c>
      <c r="B1530" t="s">
        <v>657</v>
      </c>
      <c r="C1530" s="2" t="s">
        <v>658</v>
      </c>
      <c r="D1530" s="2">
        <f t="shared" ca="1" si="92"/>
        <v>66</v>
      </c>
      <c r="E1530" t="s">
        <v>10</v>
      </c>
      <c r="F1530" t="s">
        <v>659</v>
      </c>
      <c r="G1530" t="s">
        <v>51</v>
      </c>
      <c r="H1530" t="str">
        <f t="shared" si="93"/>
        <v>Rio das Ostras - RJ</v>
      </c>
      <c r="I1530" s="1" t="s">
        <v>13</v>
      </c>
      <c r="J1530" s="3">
        <v>84</v>
      </c>
      <c r="K1530" s="4">
        <f t="shared" si="94"/>
        <v>28.726787729557817</v>
      </c>
      <c r="L1530" s="1" t="str">
        <f t="shared" si="95"/>
        <v>Levemente acima do peso</v>
      </c>
      <c r="M1530" t="s">
        <v>20</v>
      </c>
    </row>
    <row r="1531" spans="1:13" x14ac:dyDescent="0.25">
      <c r="A1531">
        <v>1530</v>
      </c>
      <c r="B1531" t="s">
        <v>2471</v>
      </c>
      <c r="C1531" s="2" t="s">
        <v>2472</v>
      </c>
      <c r="D1531" s="2">
        <f t="shared" ca="1" si="92"/>
        <v>22</v>
      </c>
      <c r="E1531" t="s">
        <v>10</v>
      </c>
      <c r="F1531" t="s">
        <v>852</v>
      </c>
      <c r="G1531" t="s">
        <v>186</v>
      </c>
      <c r="H1531" t="str">
        <f t="shared" si="93"/>
        <v>Belo Horizonte - MG</v>
      </c>
      <c r="I1531" s="1" t="s">
        <v>132</v>
      </c>
      <c r="J1531" s="3">
        <v>57</v>
      </c>
      <c r="K1531" s="4">
        <f t="shared" si="94"/>
        <v>16.300151562812776</v>
      </c>
      <c r="L1531" s="1" t="str">
        <f t="shared" si="95"/>
        <v>Muito abaixo do peso</v>
      </c>
      <c r="M1531" t="s">
        <v>14</v>
      </c>
    </row>
    <row r="1532" spans="1:13" x14ac:dyDescent="0.25">
      <c r="A1532">
        <v>1531</v>
      </c>
      <c r="B1532" t="s">
        <v>1357</v>
      </c>
      <c r="C1532" s="2" t="s">
        <v>1358</v>
      </c>
      <c r="D1532" s="2">
        <f t="shared" ca="1" si="92"/>
        <v>26</v>
      </c>
      <c r="E1532" t="s">
        <v>10</v>
      </c>
      <c r="F1532" t="s">
        <v>446</v>
      </c>
      <c r="G1532" t="s">
        <v>170</v>
      </c>
      <c r="H1532" t="str">
        <f t="shared" si="93"/>
        <v>Arapiraca - AL</v>
      </c>
      <c r="I1532" s="1" t="s">
        <v>94</v>
      </c>
      <c r="J1532" s="3">
        <v>85</v>
      </c>
      <c r="K1532" s="4">
        <f t="shared" si="94"/>
        <v>28.400547963513649</v>
      </c>
      <c r="L1532" s="1" t="str">
        <f t="shared" si="95"/>
        <v>Levemente acima do peso</v>
      </c>
      <c r="M1532" t="s">
        <v>83</v>
      </c>
    </row>
    <row r="1533" spans="1:13" x14ac:dyDescent="0.25">
      <c r="A1533">
        <v>1532</v>
      </c>
      <c r="B1533" t="s">
        <v>1031</v>
      </c>
      <c r="C1533" s="2" t="s">
        <v>1032</v>
      </c>
      <c r="D1533" s="2">
        <f t="shared" ca="1" si="92"/>
        <v>61</v>
      </c>
      <c r="E1533" t="s">
        <v>10</v>
      </c>
      <c r="F1533" t="s">
        <v>446</v>
      </c>
      <c r="G1533" t="s">
        <v>170</v>
      </c>
      <c r="H1533" t="str">
        <f t="shared" si="93"/>
        <v>Arapiraca - AL</v>
      </c>
      <c r="I1533" s="1" t="s">
        <v>94</v>
      </c>
      <c r="J1533" s="3">
        <v>106</v>
      </c>
      <c r="K1533" s="4">
        <f t="shared" si="94"/>
        <v>35.41715393096996</v>
      </c>
      <c r="L1533" s="1" t="str">
        <f t="shared" si="95"/>
        <v>Obesidade grau II - severa</v>
      </c>
      <c r="M1533" t="s">
        <v>32</v>
      </c>
    </row>
    <row r="1534" spans="1:13" x14ac:dyDescent="0.25">
      <c r="A1534">
        <v>1533</v>
      </c>
      <c r="B1534" t="s">
        <v>3204</v>
      </c>
      <c r="C1534" s="2" t="s">
        <v>3205</v>
      </c>
      <c r="D1534" s="2">
        <f t="shared" ca="1" si="92"/>
        <v>57</v>
      </c>
      <c r="E1534" t="s">
        <v>10</v>
      </c>
      <c r="F1534" t="s">
        <v>59</v>
      </c>
      <c r="G1534" t="s">
        <v>60</v>
      </c>
      <c r="H1534" t="str">
        <f t="shared" si="93"/>
        <v>Palmas - TO</v>
      </c>
      <c r="I1534" s="1" t="s">
        <v>42</v>
      </c>
      <c r="J1534" s="3">
        <v>62</v>
      </c>
      <c r="K1534" s="4">
        <f t="shared" si="94"/>
        <v>19.350207546580943</v>
      </c>
      <c r="L1534" s="1" t="str">
        <f t="shared" si="95"/>
        <v>Peso ideal - parabéns</v>
      </c>
      <c r="M1534" t="s">
        <v>14</v>
      </c>
    </row>
    <row r="1535" spans="1:13" x14ac:dyDescent="0.25">
      <c r="A1535">
        <v>1534</v>
      </c>
      <c r="B1535" t="s">
        <v>2416</v>
      </c>
      <c r="C1535" s="2" t="s">
        <v>2417</v>
      </c>
      <c r="D1535" s="2">
        <f t="shared" ca="1" si="92"/>
        <v>29</v>
      </c>
      <c r="E1535" t="s">
        <v>10</v>
      </c>
      <c r="F1535" t="s">
        <v>405</v>
      </c>
      <c r="G1535" t="s">
        <v>170</v>
      </c>
      <c r="H1535" t="str">
        <f t="shared" si="93"/>
        <v>Palmeira dos Índios - AL</v>
      </c>
      <c r="I1535" s="1" t="s">
        <v>286</v>
      </c>
      <c r="J1535" s="3">
        <v>106</v>
      </c>
      <c r="K1535" s="4">
        <f t="shared" si="94"/>
        <v>38.934802571166209</v>
      </c>
      <c r="L1535" s="1" t="str">
        <f t="shared" si="95"/>
        <v>Obesidade grau II - severa</v>
      </c>
      <c r="M1535" t="s">
        <v>14</v>
      </c>
    </row>
    <row r="1536" spans="1:13" x14ac:dyDescent="0.25">
      <c r="A1536">
        <v>1535</v>
      </c>
      <c r="B1536" t="s">
        <v>1315</v>
      </c>
      <c r="C1536" s="2" t="s">
        <v>1316</v>
      </c>
      <c r="D1536" s="2">
        <f t="shared" ca="1" si="92"/>
        <v>63</v>
      </c>
      <c r="E1536" t="s">
        <v>10</v>
      </c>
      <c r="F1536" t="s">
        <v>126</v>
      </c>
      <c r="G1536" t="s">
        <v>127</v>
      </c>
      <c r="H1536" t="str">
        <f t="shared" si="93"/>
        <v>Boa Vista - RR</v>
      </c>
      <c r="I1536" s="1" t="s">
        <v>179</v>
      </c>
      <c r="J1536" s="3">
        <v>65</v>
      </c>
      <c r="K1536" s="4">
        <f t="shared" si="94"/>
        <v>21.469150482230148</v>
      </c>
      <c r="L1536" s="1" t="str">
        <f t="shared" si="95"/>
        <v>Peso ideal - parabéns</v>
      </c>
      <c r="M1536" t="s">
        <v>26</v>
      </c>
    </row>
    <row r="1537" spans="1:13" x14ac:dyDescent="0.25">
      <c r="A1537">
        <v>1536</v>
      </c>
      <c r="B1537" t="s">
        <v>2872</v>
      </c>
      <c r="C1537" s="2" t="s">
        <v>2873</v>
      </c>
      <c r="D1537" s="2">
        <f t="shared" ca="1" si="92"/>
        <v>33</v>
      </c>
      <c r="E1537" t="s">
        <v>10</v>
      </c>
      <c r="F1537" t="s">
        <v>457</v>
      </c>
      <c r="G1537" t="s">
        <v>41</v>
      </c>
      <c r="H1537" t="str">
        <f t="shared" si="93"/>
        <v>João Pessoa - PB</v>
      </c>
      <c r="I1537" s="1" t="s">
        <v>318</v>
      </c>
      <c r="J1537" s="3">
        <v>87</v>
      </c>
      <c r="K1537" s="4">
        <f t="shared" si="94"/>
        <v>23.600260416666668</v>
      </c>
      <c r="L1537" s="1" t="str">
        <f t="shared" si="95"/>
        <v>Peso ideal - parabéns</v>
      </c>
      <c r="M1537" t="s">
        <v>95</v>
      </c>
    </row>
    <row r="1538" spans="1:13" x14ac:dyDescent="0.25">
      <c r="A1538">
        <v>1537</v>
      </c>
      <c r="B1538" t="s">
        <v>654</v>
      </c>
      <c r="C1538" s="2" t="s">
        <v>655</v>
      </c>
      <c r="D1538" s="2">
        <f t="shared" ca="1" si="92"/>
        <v>31</v>
      </c>
      <c r="E1538" t="s">
        <v>10</v>
      </c>
      <c r="F1538" t="s">
        <v>656</v>
      </c>
      <c r="G1538" t="s">
        <v>237</v>
      </c>
      <c r="H1538" t="str">
        <f t="shared" si="93"/>
        <v>Picos - PI</v>
      </c>
      <c r="I1538" s="1" t="s">
        <v>218</v>
      </c>
      <c r="J1538" s="3">
        <v>55</v>
      </c>
      <c r="K1538" s="4">
        <f t="shared" si="94"/>
        <v>14.765497060323767</v>
      </c>
      <c r="L1538" s="1" t="str">
        <f t="shared" si="95"/>
        <v>Muito abaixo do peso</v>
      </c>
      <c r="M1538" t="s">
        <v>95</v>
      </c>
    </row>
    <row r="1539" spans="1:13" x14ac:dyDescent="0.25">
      <c r="A1539">
        <v>1538</v>
      </c>
      <c r="B1539" t="s">
        <v>1058</v>
      </c>
      <c r="C1539" s="2" t="s">
        <v>1059</v>
      </c>
      <c r="D1539" s="2">
        <f t="shared" ref="D1539:D1602" ca="1" si="96">YEAR(TODAY())-YEAR(C1539)</f>
        <v>46</v>
      </c>
      <c r="E1539" t="s">
        <v>10</v>
      </c>
      <c r="F1539" t="s">
        <v>153</v>
      </c>
      <c r="G1539" t="s">
        <v>154</v>
      </c>
      <c r="H1539" t="str">
        <f t="shared" ref="H1539:H1602" si="97">CONCATENATE(F1539," - ",G1539)</f>
        <v>Manaus - AM</v>
      </c>
      <c r="I1539" s="1" t="s">
        <v>66</v>
      </c>
      <c r="J1539" s="3">
        <v>55</v>
      </c>
      <c r="K1539" s="4">
        <f t="shared" ref="K1539:K1602" si="98">J1539/(I1539*I1539)</f>
        <v>15.56133997283839</v>
      </c>
      <c r="L1539" s="1" t="str">
        <f t="shared" ref="L1539:L1602" si="99">IF(K1539&gt;=40,"Obesidade grau III - mórbida",
IF(K1539&gt;=35,"Obesidade grau II - severa",
IF(K1539&gt;=30,"Obesidade grau I",
IF(K1539&gt;=25,"Levemente acima do peso",
IF(K1539&gt;=18.6,"Peso ideal - parabéns",
IF(K1539&gt;=17,"Abaixo do peso",
"Muito abaixo do peso"))))))</f>
        <v>Muito abaixo do peso</v>
      </c>
      <c r="M1539" t="s">
        <v>95</v>
      </c>
    </row>
    <row r="1540" spans="1:13" x14ac:dyDescent="0.25">
      <c r="A1540">
        <v>1539</v>
      </c>
      <c r="B1540" t="s">
        <v>3928</v>
      </c>
      <c r="C1540" s="2" t="s">
        <v>3533</v>
      </c>
      <c r="D1540" s="2">
        <f t="shared" ca="1" si="96"/>
        <v>24</v>
      </c>
      <c r="E1540" t="s">
        <v>10</v>
      </c>
      <c r="F1540" t="s">
        <v>3929</v>
      </c>
      <c r="G1540" t="s">
        <v>12</v>
      </c>
      <c r="H1540" t="str">
        <f t="shared" si="97"/>
        <v>Morrinhos - CE</v>
      </c>
      <c r="I1540" s="1" t="s">
        <v>262</v>
      </c>
      <c r="J1540" s="3">
        <v>80</v>
      </c>
      <c r="K1540" s="4">
        <f t="shared" si="98"/>
        <v>22.1606648199446</v>
      </c>
      <c r="L1540" s="1" t="str">
        <f t="shared" si="99"/>
        <v>Peso ideal - parabéns</v>
      </c>
      <c r="M1540" t="s">
        <v>32</v>
      </c>
    </row>
    <row r="1541" spans="1:13" x14ac:dyDescent="0.25">
      <c r="A1541">
        <v>1540</v>
      </c>
      <c r="B1541" t="s">
        <v>690</v>
      </c>
      <c r="C1541" s="2" t="s">
        <v>691</v>
      </c>
      <c r="D1541" s="2">
        <f t="shared" ca="1" si="96"/>
        <v>79</v>
      </c>
      <c r="E1541" t="s">
        <v>10</v>
      </c>
      <c r="F1541" t="s">
        <v>74</v>
      </c>
      <c r="G1541" t="s">
        <v>75</v>
      </c>
      <c r="H1541" t="str">
        <f t="shared" si="97"/>
        <v>Macapá - AP</v>
      </c>
      <c r="I1541" s="1" t="s">
        <v>31</v>
      </c>
      <c r="J1541" s="3">
        <v>78</v>
      </c>
      <c r="K1541" s="4">
        <f t="shared" si="98"/>
        <v>29.000594883997625</v>
      </c>
      <c r="L1541" s="1" t="str">
        <f t="shared" si="99"/>
        <v>Levemente acima do peso</v>
      </c>
      <c r="M1541" t="s">
        <v>47</v>
      </c>
    </row>
    <row r="1542" spans="1:13" x14ac:dyDescent="0.25">
      <c r="A1542">
        <v>1541</v>
      </c>
      <c r="B1542" t="s">
        <v>3155</v>
      </c>
      <c r="C1542" s="2" t="s">
        <v>3156</v>
      </c>
      <c r="D1542" s="2">
        <f t="shared" ca="1" si="96"/>
        <v>20</v>
      </c>
      <c r="E1542" t="s">
        <v>10</v>
      </c>
      <c r="F1542" t="s">
        <v>236</v>
      </c>
      <c r="G1542" t="s">
        <v>237</v>
      </c>
      <c r="H1542" t="str">
        <f t="shared" si="97"/>
        <v>Teresina - PI</v>
      </c>
      <c r="I1542" s="1" t="s">
        <v>99</v>
      </c>
      <c r="J1542" s="3">
        <v>89</v>
      </c>
      <c r="K1542" s="4">
        <f t="shared" si="98"/>
        <v>23.647571474120525</v>
      </c>
      <c r="L1542" s="1" t="str">
        <f t="shared" si="99"/>
        <v>Peso ideal - parabéns</v>
      </c>
      <c r="M1542" t="s">
        <v>47</v>
      </c>
    </row>
    <row r="1543" spans="1:13" x14ac:dyDescent="0.25">
      <c r="A1543">
        <v>1542</v>
      </c>
      <c r="B1543" t="s">
        <v>3045</v>
      </c>
      <c r="C1543" s="2" t="s">
        <v>2938</v>
      </c>
      <c r="D1543" s="2">
        <f t="shared" ca="1" si="96"/>
        <v>71</v>
      </c>
      <c r="E1543" t="s">
        <v>10</v>
      </c>
      <c r="F1543" t="s">
        <v>24</v>
      </c>
      <c r="G1543" t="s">
        <v>25</v>
      </c>
      <c r="H1543" t="str">
        <f t="shared" si="97"/>
        <v>Natal - RN</v>
      </c>
      <c r="I1543" s="1" t="s">
        <v>71</v>
      </c>
      <c r="J1543" s="3">
        <v>50</v>
      </c>
      <c r="K1543" s="4">
        <f t="shared" si="98"/>
        <v>14.930275612887812</v>
      </c>
      <c r="L1543" s="1" t="str">
        <f t="shared" si="99"/>
        <v>Muito abaixo do peso</v>
      </c>
      <c r="M1543" t="s">
        <v>95</v>
      </c>
    </row>
    <row r="1544" spans="1:13" x14ac:dyDescent="0.25">
      <c r="A1544">
        <v>1543</v>
      </c>
      <c r="B1544" t="s">
        <v>1686</v>
      </c>
      <c r="C1544" s="2" t="s">
        <v>1687</v>
      </c>
      <c r="D1544" s="2">
        <f t="shared" ca="1" si="96"/>
        <v>48</v>
      </c>
      <c r="E1544" t="s">
        <v>23</v>
      </c>
      <c r="F1544" t="s">
        <v>40</v>
      </c>
      <c r="G1544" t="s">
        <v>41</v>
      </c>
      <c r="H1544" t="str">
        <f t="shared" si="97"/>
        <v>Campina Grande - PB</v>
      </c>
      <c r="I1544" s="1" t="s">
        <v>171</v>
      </c>
      <c r="J1544" s="3">
        <v>86</v>
      </c>
      <c r="K1544" s="4">
        <f t="shared" si="98"/>
        <v>30.836530531750871</v>
      </c>
      <c r="L1544" s="1" t="str">
        <f t="shared" si="99"/>
        <v>Obesidade grau I</v>
      </c>
      <c r="M1544" t="s">
        <v>32</v>
      </c>
    </row>
    <row r="1545" spans="1:13" x14ac:dyDescent="0.25">
      <c r="A1545">
        <v>1544</v>
      </c>
      <c r="B1545" t="s">
        <v>4056</v>
      </c>
      <c r="C1545" s="2" t="s">
        <v>3546</v>
      </c>
      <c r="D1545" s="2">
        <f t="shared" ca="1" si="96"/>
        <v>59</v>
      </c>
      <c r="E1545" t="s">
        <v>23</v>
      </c>
      <c r="F1545" t="s">
        <v>153</v>
      </c>
      <c r="G1545" t="s">
        <v>154</v>
      </c>
      <c r="H1545" t="str">
        <f t="shared" si="97"/>
        <v>Manaus - AM</v>
      </c>
      <c r="I1545" s="1" t="s">
        <v>166</v>
      </c>
      <c r="J1545" s="3">
        <v>46</v>
      </c>
      <c r="K1545" s="4">
        <f t="shared" si="98"/>
        <v>16.298185941043087</v>
      </c>
      <c r="L1545" s="1" t="str">
        <f t="shared" si="99"/>
        <v>Muito abaixo do peso</v>
      </c>
      <c r="M1545" t="s">
        <v>76</v>
      </c>
    </row>
    <row r="1546" spans="1:13" x14ac:dyDescent="0.25">
      <c r="A1546">
        <v>1545</v>
      </c>
      <c r="B1546" t="s">
        <v>1914</v>
      </c>
      <c r="C1546" s="2" t="s">
        <v>1915</v>
      </c>
      <c r="D1546" s="2">
        <f t="shared" ca="1" si="96"/>
        <v>75</v>
      </c>
      <c r="E1546" t="s">
        <v>23</v>
      </c>
      <c r="F1546" t="s">
        <v>736</v>
      </c>
      <c r="G1546" t="s">
        <v>190</v>
      </c>
      <c r="H1546" t="str">
        <f t="shared" si="97"/>
        <v>Sinop - MT</v>
      </c>
      <c r="I1546" s="1" t="s">
        <v>179</v>
      </c>
      <c r="J1546" s="3">
        <v>49</v>
      </c>
      <c r="K1546" s="4">
        <f t="shared" si="98"/>
        <v>16.184436517373499</v>
      </c>
      <c r="L1546" s="1" t="str">
        <f t="shared" si="99"/>
        <v>Muito abaixo do peso</v>
      </c>
      <c r="M1546" t="s">
        <v>83</v>
      </c>
    </row>
    <row r="1547" spans="1:13" x14ac:dyDescent="0.25">
      <c r="A1547">
        <v>1546</v>
      </c>
      <c r="B1547" t="s">
        <v>2015</v>
      </c>
      <c r="C1547" s="2" t="s">
        <v>2016</v>
      </c>
      <c r="D1547" s="2">
        <f t="shared" ca="1" si="96"/>
        <v>59</v>
      </c>
      <c r="E1547" t="s">
        <v>23</v>
      </c>
      <c r="F1547" t="s">
        <v>107</v>
      </c>
      <c r="G1547" t="s">
        <v>36</v>
      </c>
      <c r="H1547" t="str">
        <f t="shared" si="97"/>
        <v>São Luís - MA</v>
      </c>
      <c r="I1547" s="1" t="s">
        <v>484</v>
      </c>
      <c r="J1547" s="3">
        <v>86</v>
      </c>
      <c r="K1547" s="4">
        <f t="shared" si="98"/>
        <v>35.796045785639954</v>
      </c>
      <c r="L1547" s="1" t="str">
        <f t="shared" si="99"/>
        <v>Obesidade grau II - severa</v>
      </c>
      <c r="M1547" t="s">
        <v>26</v>
      </c>
    </row>
    <row r="1548" spans="1:13" x14ac:dyDescent="0.25">
      <c r="A1548">
        <v>1547</v>
      </c>
      <c r="B1548" t="s">
        <v>1007</v>
      </c>
      <c r="C1548" s="2" t="s">
        <v>1008</v>
      </c>
      <c r="D1548" s="2">
        <f t="shared" ca="1" si="96"/>
        <v>24</v>
      </c>
      <c r="E1548" t="s">
        <v>23</v>
      </c>
      <c r="F1548" t="s">
        <v>64</v>
      </c>
      <c r="G1548" t="s">
        <v>65</v>
      </c>
      <c r="H1548" t="str">
        <f t="shared" si="97"/>
        <v>Salvador - BA</v>
      </c>
      <c r="I1548" s="1" t="s">
        <v>19</v>
      </c>
      <c r="J1548" s="3">
        <v>45</v>
      </c>
      <c r="K1548" s="4">
        <f t="shared" si="98"/>
        <v>14.363688595231254</v>
      </c>
      <c r="L1548" s="1" t="str">
        <f t="shared" si="99"/>
        <v>Muito abaixo do peso</v>
      </c>
      <c r="M1548" t="s">
        <v>83</v>
      </c>
    </row>
    <row r="1549" spans="1:13" x14ac:dyDescent="0.25">
      <c r="A1549">
        <v>1548</v>
      </c>
      <c r="B1549" t="s">
        <v>4166</v>
      </c>
      <c r="C1549" s="2" t="s">
        <v>4167</v>
      </c>
      <c r="D1549" s="2">
        <f t="shared" ca="1" si="96"/>
        <v>27</v>
      </c>
      <c r="E1549" t="s">
        <v>23</v>
      </c>
      <c r="F1549" t="s">
        <v>439</v>
      </c>
      <c r="G1549" t="s">
        <v>190</v>
      </c>
      <c r="H1549" t="str">
        <f t="shared" si="97"/>
        <v>Rondonópolis - MT</v>
      </c>
      <c r="I1549" s="1" t="s">
        <v>42</v>
      </c>
      <c r="J1549" s="3">
        <v>88</v>
      </c>
      <c r="K1549" s="4">
        <f t="shared" si="98"/>
        <v>27.464810711276179</v>
      </c>
      <c r="L1549" s="1" t="str">
        <f t="shared" si="99"/>
        <v>Levemente acima do peso</v>
      </c>
      <c r="M1549" t="s">
        <v>20</v>
      </c>
    </row>
    <row r="1550" spans="1:13" x14ac:dyDescent="0.25">
      <c r="A1550">
        <v>1549</v>
      </c>
      <c r="B1550" t="s">
        <v>3326</v>
      </c>
      <c r="C1550" s="2" t="s">
        <v>3327</v>
      </c>
      <c r="D1550" s="2">
        <f t="shared" ca="1" si="96"/>
        <v>21</v>
      </c>
      <c r="E1550" t="s">
        <v>23</v>
      </c>
      <c r="F1550" t="s">
        <v>272</v>
      </c>
      <c r="G1550" t="s">
        <v>273</v>
      </c>
      <c r="H1550" t="str">
        <f t="shared" si="97"/>
        <v>Vitória - ES</v>
      </c>
      <c r="I1550" s="1" t="s">
        <v>31</v>
      </c>
      <c r="J1550" s="3">
        <v>72</v>
      </c>
      <c r="K1550" s="4">
        <f t="shared" si="98"/>
        <v>26.769779892920884</v>
      </c>
      <c r="L1550" s="1" t="str">
        <f t="shared" si="99"/>
        <v>Levemente acima do peso</v>
      </c>
      <c r="M1550" t="s">
        <v>32</v>
      </c>
    </row>
    <row r="1551" spans="1:13" x14ac:dyDescent="0.25">
      <c r="A1551">
        <v>1550</v>
      </c>
      <c r="B1551" t="s">
        <v>1690</v>
      </c>
      <c r="C1551" s="2" t="s">
        <v>1691</v>
      </c>
      <c r="D1551" s="2">
        <f t="shared" ca="1" si="96"/>
        <v>44</v>
      </c>
      <c r="E1551" t="s">
        <v>23</v>
      </c>
      <c r="F1551" t="s">
        <v>158</v>
      </c>
      <c r="G1551" t="s">
        <v>159</v>
      </c>
      <c r="H1551" t="str">
        <f t="shared" si="97"/>
        <v>Brasília - DF</v>
      </c>
      <c r="I1551" s="1" t="s">
        <v>56</v>
      </c>
      <c r="J1551" s="3">
        <v>56</v>
      </c>
      <c r="K1551" s="4">
        <f t="shared" si="98"/>
        <v>19.607156612163443</v>
      </c>
      <c r="L1551" s="1" t="str">
        <f t="shared" si="99"/>
        <v>Peso ideal - parabéns</v>
      </c>
      <c r="M1551" t="s">
        <v>14</v>
      </c>
    </row>
    <row r="1552" spans="1:13" x14ac:dyDescent="0.25">
      <c r="A1552">
        <v>1551</v>
      </c>
      <c r="B1552" t="s">
        <v>720</v>
      </c>
      <c r="C1552" s="2" t="s">
        <v>721</v>
      </c>
      <c r="D1552" s="2">
        <f t="shared" ca="1" si="96"/>
        <v>35</v>
      </c>
      <c r="E1552" t="s">
        <v>10</v>
      </c>
      <c r="F1552" t="s">
        <v>74</v>
      </c>
      <c r="G1552" t="s">
        <v>75</v>
      </c>
      <c r="H1552" t="str">
        <f t="shared" si="97"/>
        <v>Macapá - AP</v>
      </c>
      <c r="I1552" s="1" t="s">
        <v>262</v>
      </c>
      <c r="J1552" s="3">
        <v>105</v>
      </c>
      <c r="K1552" s="4">
        <f t="shared" si="98"/>
        <v>29.085872576177287</v>
      </c>
      <c r="L1552" s="1" t="str">
        <f t="shared" si="99"/>
        <v>Levemente acima do peso</v>
      </c>
      <c r="M1552" t="s">
        <v>95</v>
      </c>
    </row>
    <row r="1553" spans="1:13" x14ac:dyDescent="0.25">
      <c r="A1553">
        <v>1552</v>
      </c>
      <c r="B1553" t="s">
        <v>2613</v>
      </c>
      <c r="C1553" s="2" t="s">
        <v>2614</v>
      </c>
      <c r="D1553" s="2">
        <f t="shared" ca="1" si="96"/>
        <v>52</v>
      </c>
      <c r="E1553" t="s">
        <v>10</v>
      </c>
      <c r="F1553" t="s">
        <v>69</v>
      </c>
      <c r="G1553" t="s">
        <v>70</v>
      </c>
      <c r="H1553" t="str">
        <f t="shared" si="97"/>
        <v>Aracaju - SE</v>
      </c>
      <c r="I1553" s="1" t="s">
        <v>191</v>
      </c>
      <c r="J1553" s="3">
        <v>68</v>
      </c>
      <c r="K1553" s="4">
        <f t="shared" si="98"/>
        <v>26.562499999999996</v>
      </c>
      <c r="L1553" s="1" t="str">
        <f t="shared" si="99"/>
        <v>Levemente acima do peso</v>
      </c>
      <c r="M1553" t="s">
        <v>83</v>
      </c>
    </row>
    <row r="1554" spans="1:13" x14ac:dyDescent="0.25">
      <c r="A1554">
        <v>1553</v>
      </c>
      <c r="B1554" t="s">
        <v>2040</v>
      </c>
      <c r="C1554" s="2" t="s">
        <v>2041</v>
      </c>
      <c r="D1554" s="2">
        <f t="shared" ca="1" si="96"/>
        <v>74</v>
      </c>
      <c r="E1554" t="s">
        <v>10</v>
      </c>
      <c r="F1554" t="s">
        <v>236</v>
      </c>
      <c r="G1554" t="s">
        <v>237</v>
      </c>
      <c r="H1554" t="str">
        <f t="shared" si="97"/>
        <v>Teresina - PI</v>
      </c>
      <c r="I1554" s="1" t="s">
        <v>13</v>
      </c>
      <c r="J1554" s="3">
        <v>52</v>
      </c>
      <c r="K1554" s="4">
        <f t="shared" si="98"/>
        <v>17.783249546869126</v>
      </c>
      <c r="L1554" s="1" t="str">
        <f t="shared" si="99"/>
        <v>Abaixo do peso</v>
      </c>
      <c r="M1554" t="s">
        <v>32</v>
      </c>
    </row>
    <row r="1555" spans="1:13" x14ac:dyDescent="0.25">
      <c r="A1555">
        <v>1554</v>
      </c>
      <c r="B1555" t="s">
        <v>1926</v>
      </c>
      <c r="C1555" s="2" t="s">
        <v>1927</v>
      </c>
      <c r="D1555" s="2">
        <f t="shared" ca="1" si="96"/>
        <v>33</v>
      </c>
      <c r="E1555" t="s">
        <v>10</v>
      </c>
      <c r="F1555" t="s">
        <v>1083</v>
      </c>
      <c r="G1555" t="s">
        <v>65</v>
      </c>
      <c r="H1555" t="str">
        <f t="shared" si="97"/>
        <v>Itabuna - BA</v>
      </c>
      <c r="I1555" s="1" t="s">
        <v>201</v>
      </c>
      <c r="J1555" s="3">
        <v>67</v>
      </c>
      <c r="K1555" s="4">
        <f t="shared" si="98"/>
        <v>17.440649729279468</v>
      </c>
      <c r="L1555" s="1" t="str">
        <f t="shared" si="99"/>
        <v>Abaixo do peso</v>
      </c>
      <c r="M1555" t="s">
        <v>32</v>
      </c>
    </row>
    <row r="1556" spans="1:13" x14ac:dyDescent="0.25">
      <c r="A1556">
        <v>1555</v>
      </c>
      <c r="B1556" t="s">
        <v>4125</v>
      </c>
      <c r="C1556" s="2" t="s">
        <v>3967</v>
      </c>
      <c r="D1556" s="2">
        <f t="shared" ca="1" si="96"/>
        <v>26</v>
      </c>
      <c r="E1556" t="s">
        <v>10</v>
      </c>
      <c r="F1556" t="s">
        <v>1525</v>
      </c>
      <c r="G1556" t="s">
        <v>12</v>
      </c>
      <c r="H1556" t="str">
        <f t="shared" si="97"/>
        <v>Crato - CE</v>
      </c>
      <c r="I1556" s="1" t="s">
        <v>66</v>
      </c>
      <c r="J1556" s="3">
        <v>50</v>
      </c>
      <c r="K1556" s="4">
        <f t="shared" si="98"/>
        <v>14.146672702580354</v>
      </c>
      <c r="L1556" s="1" t="str">
        <f t="shared" si="99"/>
        <v>Muito abaixo do peso</v>
      </c>
      <c r="M1556" t="s">
        <v>20</v>
      </c>
    </row>
    <row r="1557" spans="1:13" x14ac:dyDescent="0.25">
      <c r="A1557">
        <v>1556</v>
      </c>
      <c r="B1557" t="s">
        <v>2556</v>
      </c>
      <c r="C1557" s="2" t="s">
        <v>2557</v>
      </c>
      <c r="D1557" s="2">
        <f t="shared" ca="1" si="96"/>
        <v>38</v>
      </c>
      <c r="E1557" t="s">
        <v>10</v>
      </c>
      <c r="F1557" t="s">
        <v>564</v>
      </c>
      <c r="G1557" t="s">
        <v>565</v>
      </c>
      <c r="H1557" t="str">
        <f t="shared" si="97"/>
        <v>Rio Branco - AC</v>
      </c>
      <c r="I1557" s="1" t="s">
        <v>318</v>
      </c>
      <c r="J1557" s="3">
        <v>52</v>
      </c>
      <c r="K1557" s="4">
        <f t="shared" si="98"/>
        <v>14.105902777777779</v>
      </c>
      <c r="L1557" s="1" t="str">
        <f t="shared" si="99"/>
        <v>Muito abaixo do peso</v>
      </c>
      <c r="M1557" t="s">
        <v>95</v>
      </c>
    </row>
    <row r="1558" spans="1:13" x14ac:dyDescent="0.25">
      <c r="A1558">
        <v>1557</v>
      </c>
      <c r="B1558" t="s">
        <v>423</v>
      </c>
      <c r="C1558" s="2" t="s">
        <v>424</v>
      </c>
      <c r="D1558" s="2">
        <f t="shared" ca="1" si="96"/>
        <v>40</v>
      </c>
      <c r="E1558" t="s">
        <v>10</v>
      </c>
      <c r="F1558" t="s">
        <v>204</v>
      </c>
      <c r="G1558" t="s">
        <v>112</v>
      </c>
      <c r="H1558" t="str">
        <f t="shared" si="97"/>
        <v>Belém - PA</v>
      </c>
      <c r="I1558" s="1" t="s">
        <v>90</v>
      </c>
      <c r="J1558" s="3">
        <v>76</v>
      </c>
      <c r="K1558" s="4">
        <f t="shared" si="98"/>
        <v>25.689561925365066</v>
      </c>
      <c r="L1558" s="1" t="str">
        <f t="shared" si="99"/>
        <v>Levemente acima do peso</v>
      </c>
      <c r="M1558" t="s">
        <v>32</v>
      </c>
    </row>
    <row r="1559" spans="1:13" x14ac:dyDescent="0.25">
      <c r="A1559">
        <v>1558</v>
      </c>
      <c r="B1559" t="s">
        <v>1632</v>
      </c>
      <c r="C1559" s="2" t="s">
        <v>1633</v>
      </c>
      <c r="D1559" s="2">
        <f t="shared" ca="1" si="96"/>
        <v>21</v>
      </c>
      <c r="E1559" t="s">
        <v>10</v>
      </c>
      <c r="F1559" t="s">
        <v>446</v>
      </c>
      <c r="G1559" t="s">
        <v>170</v>
      </c>
      <c r="H1559" t="str">
        <f t="shared" si="97"/>
        <v>Arapiraca - AL</v>
      </c>
      <c r="I1559" s="1" t="s">
        <v>37</v>
      </c>
      <c r="J1559" s="3">
        <v>91</v>
      </c>
      <c r="K1559" s="4">
        <f t="shared" si="98"/>
        <v>23.448169239094025</v>
      </c>
      <c r="L1559" s="1" t="str">
        <f t="shared" si="99"/>
        <v>Peso ideal - parabéns</v>
      </c>
      <c r="M1559" t="s">
        <v>14</v>
      </c>
    </row>
    <row r="1560" spans="1:13" x14ac:dyDescent="0.25">
      <c r="A1560">
        <v>1559</v>
      </c>
      <c r="B1560" t="s">
        <v>1717</v>
      </c>
      <c r="C1560" s="2" t="s">
        <v>1253</v>
      </c>
      <c r="D1560" s="2">
        <f t="shared" ca="1" si="96"/>
        <v>64</v>
      </c>
      <c r="E1560" t="s">
        <v>10</v>
      </c>
      <c r="F1560" t="s">
        <v>40</v>
      </c>
      <c r="G1560" t="s">
        <v>41</v>
      </c>
      <c r="H1560" t="str">
        <f t="shared" si="97"/>
        <v>Campina Grande - PB</v>
      </c>
      <c r="I1560" s="1" t="s">
        <v>31</v>
      </c>
      <c r="J1560" s="3">
        <v>67</v>
      </c>
      <c r="K1560" s="4">
        <f t="shared" si="98"/>
        <v>24.910767400356935</v>
      </c>
      <c r="L1560" s="1" t="str">
        <f t="shared" si="99"/>
        <v>Peso ideal - parabéns</v>
      </c>
      <c r="M1560" t="s">
        <v>20</v>
      </c>
    </row>
    <row r="1561" spans="1:13" x14ac:dyDescent="0.25">
      <c r="A1561">
        <v>1560</v>
      </c>
      <c r="B1561" t="s">
        <v>1414</v>
      </c>
      <c r="C1561" s="2" t="s">
        <v>1415</v>
      </c>
      <c r="D1561" s="2">
        <f t="shared" ca="1" si="96"/>
        <v>33</v>
      </c>
      <c r="E1561" t="s">
        <v>10</v>
      </c>
      <c r="F1561" t="s">
        <v>64</v>
      </c>
      <c r="G1561" t="s">
        <v>65</v>
      </c>
      <c r="H1561" t="str">
        <f t="shared" si="97"/>
        <v>Salvador - BA</v>
      </c>
      <c r="I1561" s="1" t="s">
        <v>386</v>
      </c>
      <c r="J1561" s="3">
        <v>98</v>
      </c>
      <c r="K1561" s="4">
        <f t="shared" si="98"/>
        <v>35.563942517056176</v>
      </c>
      <c r="L1561" s="1" t="str">
        <f t="shared" si="99"/>
        <v>Obesidade grau II - severa</v>
      </c>
      <c r="M1561" t="s">
        <v>20</v>
      </c>
    </row>
    <row r="1562" spans="1:13" x14ac:dyDescent="0.25">
      <c r="A1562">
        <v>1561</v>
      </c>
      <c r="B1562" t="s">
        <v>3954</v>
      </c>
      <c r="C1562" s="2" t="s">
        <v>3955</v>
      </c>
      <c r="D1562" s="2">
        <f t="shared" ca="1" si="96"/>
        <v>50</v>
      </c>
      <c r="E1562" t="s">
        <v>10</v>
      </c>
      <c r="F1562" t="s">
        <v>564</v>
      </c>
      <c r="G1562" t="s">
        <v>565</v>
      </c>
      <c r="H1562" t="str">
        <f t="shared" si="97"/>
        <v>Rio Branco - AC</v>
      </c>
      <c r="I1562" s="1" t="s">
        <v>166</v>
      </c>
      <c r="J1562" s="3">
        <v>54</v>
      </c>
      <c r="K1562" s="4">
        <f t="shared" si="98"/>
        <v>19.132653061224492</v>
      </c>
      <c r="L1562" s="1" t="str">
        <f t="shared" si="99"/>
        <v>Peso ideal - parabéns</v>
      </c>
      <c r="M1562" t="s">
        <v>26</v>
      </c>
    </row>
    <row r="1563" spans="1:13" x14ac:dyDescent="0.25">
      <c r="A1563">
        <v>1562</v>
      </c>
      <c r="B1563" t="s">
        <v>3829</v>
      </c>
      <c r="C1563" s="2" t="s">
        <v>3830</v>
      </c>
      <c r="D1563" s="2">
        <f t="shared" ca="1" si="96"/>
        <v>74</v>
      </c>
      <c r="E1563" t="s">
        <v>10</v>
      </c>
      <c r="F1563" t="s">
        <v>169</v>
      </c>
      <c r="G1563" t="s">
        <v>170</v>
      </c>
      <c r="H1563" t="str">
        <f t="shared" si="97"/>
        <v>Maceió - AL</v>
      </c>
      <c r="I1563" s="1" t="s">
        <v>386</v>
      </c>
      <c r="J1563" s="3">
        <v>89</v>
      </c>
      <c r="K1563" s="4">
        <f t="shared" si="98"/>
        <v>32.29786616344898</v>
      </c>
      <c r="L1563" s="1" t="str">
        <f t="shared" si="99"/>
        <v>Obesidade grau I</v>
      </c>
      <c r="M1563" t="s">
        <v>76</v>
      </c>
    </row>
    <row r="1564" spans="1:13" x14ac:dyDescent="0.25">
      <c r="A1564">
        <v>1563</v>
      </c>
      <c r="B1564" t="s">
        <v>1797</v>
      </c>
      <c r="C1564" s="2" t="s">
        <v>1798</v>
      </c>
      <c r="D1564" s="2">
        <f t="shared" ca="1" si="96"/>
        <v>43</v>
      </c>
      <c r="E1564" t="s">
        <v>10</v>
      </c>
      <c r="F1564" t="s">
        <v>1799</v>
      </c>
      <c r="G1564" t="s">
        <v>51</v>
      </c>
      <c r="H1564" t="str">
        <f t="shared" si="97"/>
        <v>São Francisco de Itabapoana - RJ</v>
      </c>
      <c r="I1564" s="1" t="s">
        <v>218</v>
      </c>
      <c r="J1564" s="3">
        <v>98</v>
      </c>
      <c r="K1564" s="4">
        <f t="shared" si="98"/>
        <v>26.309431125667803</v>
      </c>
      <c r="L1564" s="1" t="str">
        <f t="shared" si="99"/>
        <v>Levemente acima do peso</v>
      </c>
      <c r="M1564" t="s">
        <v>32</v>
      </c>
    </row>
    <row r="1565" spans="1:13" x14ac:dyDescent="0.25">
      <c r="A1565">
        <v>1564</v>
      </c>
      <c r="B1565" t="s">
        <v>1708</v>
      </c>
      <c r="C1565" s="2" t="s">
        <v>1709</v>
      </c>
      <c r="D1565" s="2">
        <f t="shared" ca="1" si="96"/>
        <v>70</v>
      </c>
      <c r="E1565" t="s">
        <v>10</v>
      </c>
      <c r="F1565" t="s">
        <v>208</v>
      </c>
      <c r="G1565" t="s">
        <v>30</v>
      </c>
      <c r="H1565" t="str">
        <f t="shared" si="97"/>
        <v>Ji-Paraná - RO</v>
      </c>
      <c r="I1565" s="1" t="s">
        <v>99</v>
      </c>
      <c r="J1565" s="3">
        <v>100</v>
      </c>
      <c r="K1565" s="4">
        <f t="shared" si="98"/>
        <v>26.570305027101714</v>
      </c>
      <c r="L1565" s="1" t="str">
        <f t="shared" si="99"/>
        <v>Levemente acima do peso</v>
      </c>
      <c r="M1565" t="s">
        <v>20</v>
      </c>
    </row>
    <row r="1566" spans="1:13" x14ac:dyDescent="0.25">
      <c r="A1566">
        <v>1565</v>
      </c>
      <c r="B1566" t="s">
        <v>816</v>
      </c>
      <c r="C1566" s="2" t="s">
        <v>817</v>
      </c>
      <c r="D1566" s="2">
        <f t="shared" ca="1" si="96"/>
        <v>54</v>
      </c>
      <c r="E1566" t="s">
        <v>10</v>
      </c>
      <c r="F1566" t="s">
        <v>818</v>
      </c>
      <c r="G1566" t="s">
        <v>103</v>
      </c>
      <c r="H1566" t="str">
        <f t="shared" si="97"/>
        <v>Barueri - SP</v>
      </c>
      <c r="I1566" s="1" t="s">
        <v>148</v>
      </c>
      <c r="J1566" s="3">
        <v>68</v>
      </c>
      <c r="K1566" s="4">
        <f t="shared" si="98"/>
        <v>17.882971729125575</v>
      </c>
      <c r="L1566" s="1" t="str">
        <f t="shared" si="99"/>
        <v>Abaixo do peso</v>
      </c>
      <c r="M1566" t="s">
        <v>95</v>
      </c>
    </row>
    <row r="1567" spans="1:13" x14ac:dyDescent="0.25">
      <c r="A1567">
        <v>1566</v>
      </c>
      <c r="B1567" t="s">
        <v>4011</v>
      </c>
      <c r="C1567" s="2" t="s">
        <v>3086</v>
      </c>
      <c r="D1567" s="2">
        <f t="shared" ca="1" si="96"/>
        <v>75</v>
      </c>
      <c r="E1567" t="s">
        <v>10</v>
      </c>
      <c r="F1567" t="s">
        <v>208</v>
      </c>
      <c r="G1567" t="s">
        <v>30</v>
      </c>
      <c r="H1567" t="str">
        <f t="shared" si="97"/>
        <v>Ji-Paraná - RO</v>
      </c>
      <c r="I1567" s="1" t="s">
        <v>416</v>
      </c>
      <c r="J1567" s="3">
        <v>69</v>
      </c>
      <c r="K1567" s="4">
        <f t="shared" si="98"/>
        <v>26.619343389529721</v>
      </c>
      <c r="L1567" s="1" t="str">
        <f t="shared" si="99"/>
        <v>Levemente acima do peso</v>
      </c>
      <c r="M1567" t="s">
        <v>32</v>
      </c>
    </row>
    <row r="1568" spans="1:13" x14ac:dyDescent="0.25">
      <c r="A1568">
        <v>1567</v>
      </c>
      <c r="B1568" t="s">
        <v>3669</v>
      </c>
      <c r="C1568" s="2" t="s">
        <v>3351</v>
      </c>
      <c r="D1568" s="2">
        <f t="shared" ca="1" si="96"/>
        <v>68</v>
      </c>
      <c r="E1568" t="s">
        <v>10</v>
      </c>
      <c r="F1568" t="s">
        <v>932</v>
      </c>
      <c r="G1568" t="s">
        <v>46</v>
      </c>
      <c r="H1568" t="str">
        <f t="shared" si="97"/>
        <v>Rio Verde - GO</v>
      </c>
      <c r="I1568" s="1" t="s">
        <v>86</v>
      </c>
      <c r="J1568" s="3">
        <v>54</v>
      </c>
      <c r="K1568" s="4">
        <f t="shared" si="98"/>
        <v>16.483013339031164</v>
      </c>
      <c r="L1568" s="1" t="str">
        <f t="shared" si="99"/>
        <v>Muito abaixo do peso</v>
      </c>
      <c r="M1568" t="s">
        <v>83</v>
      </c>
    </row>
    <row r="1569" spans="1:13" x14ac:dyDescent="0.25">
      <c r="A1569">
        <v>1568</v>
      </c>
      <c r="B1569" t="s">
        <v>8</v>
      </c>
      <c r="C1569" s="2" t="s">
        <v>9</v>
      </c>
      <c r="D1569" s="2">
        <f t="shared" ca="1" si="96"/>
        <v>24</v>
      </c>
      <c r="E1569" t="s">
        <v>10</v>
      </c>
      <c r="F1569" t="s">
        <v>11</v>
      </c>
      <c r="G1569" t="s">
        <v>12</v>
      </c>
      <c r="H1569" t="str">
        <f t="shared" si="97"/>
        <v>Caucaia - CE</v>
      </c>
      <c r="I1569" s="1" t="s">
        <v>13</v>
      </c>
      <c r="J1569" s="3">
        <v>59</v>
      </c>
      <c r="K1569" s="4">
        <f t="shared" si="98"/>
        <v>20.177148524332274</v>
      </c>
      <c r="L1569" s="1" t="str">
        <f t="shared" si="99"/>
        <v>Peso ideal - parabéns</v>
      </c>
      <c r="M1569" t="s">
        <v>14</v>
      </c>
    </row>
    <row r="1570" spans="1:13" x14ac:dyDescent="0.25">
      <c r="A1570">
        <v>1569</v>
      </c>
      <c r="B1570" t="s">
        <v>2801</v>
      </c>
      <c r="C1570" s="2" t="s">
        <v>2802</v>
      </c>
      <c r="D1570" s="2">
        <f t="shared" ca="1" si="96"/>
        <v>42</v>
      </c>
      <c r="E1570" t="s">
        <v>10</v>
      </c>
      <c r="F1570" t="s">
        <v>915</v>
      </c>
      <c r="G1570" t="s">
        <v>175</v>
      </c>
      <c r="H1570" t="str">
        <f t="shared" si="97"/>
        <v>Olinda - PE</v>
      </c>
      <c r="I1570" s="1" t="s">
        <v>191</v>
      </c>
      <c r="J1570" s="3">
        <v>67</v>
      </c>
      <c r="K1570" s="4">
        <f t="shared" si="98"/>
        <v>26.171874999999996</v>
      </c>
      <c r="L1570" s="1" t="str">
        <f t="shared" si="99"/>
        <v>Levemente acima do peso</v>
      </c>
      <c r="M1570" t="s">
        <v>26</v>
      </c>
    </row>
    <row r="1571" spans="1:13" x14ac:dyDescent="0.25">
      <c r="A1571">
        <v>1570</v>
      </c>
      <c r="B1571" t="s">
        <v>1193</v>
      </c>
      <c r="C1571" s="2" t="s">
        <v>1194</v>
      </c>
      <c r="D1571" s="2">
        <f t="shared" ca="1" si="96"/>
        <v>74</v>
      </c>
      <c r="E1571" t="s">
        <v>10</v>
      </c>
      <c r="F1571" t="s">
        <v>204</v>
      </c>
      <c r="G1571" t="s">
        <v>112</v>
      </c>
      <c r="H1571" t="str">
        <f t="shared" si="97"/>
        <v>Belém - PA</v>
      </c>
      <c r="I1571" s="1" t="s">
        <v>56</v>
      </c>
      <c r="J1571" s="3">
        <v>99</v>
      </c>
      <c r="K1571" s="4">
        <f t="shared" si="98"/>
        <v>34.6626518679318</v>
      </c>
      <c r="L1571" s="1" t="str">
        <f t="shared" si="99"/>
        <v>Obesidade grau I</v>
      </c>
      <c r="M1571" t="s">
        <v>20</v>
      </c>
    </row>
    <row r="1572" spans="1:13" x14ac:dyDescent="0.25">
      <c r="A1572">
        <v>1571</v>
      </c>
      <c r="B1572" t="s">
        <v>2803</v>
      </c>
      <c r="C1572" s="2" t="s">
        <v>2804</v>
      </c>
      <c r="D1572" s="2">
        <f t="shared" ca="1" si="96"/>
        <v>68</v>
      </c>
      <c r="E1572" t="s">
        <v>10</v>
      </c>
      <c r="F1572" t="s">
        <v>2805</v>
      </c>
      <c r="G1572" t="s">
        <v>55</v>
      </c>
      <c r="H1572" t="str">
        <f t="shared" si="97"/>
        <v>Paranavaí - PR</v>
      </c>
      <c r="I1572" s="1" t="s">
        <v>99</v>
      </c>
      <c r="J1572" s="3">
        <v>75</v>
      </c>
      <c r="K1572" s="4">
        <f t="shared" si="98"/>
        <v>19.927728770326283</v>
      </c>
      <c r="L1572" s="1" t="str">
        <f t="shared" si="99"/>
        <v>Peso ideal - parabéns</v>
      </c>
      <c r="M1572" t="s">
        <v>14</v>
      </c>
    </row>
    <row r="1573" spans="1:13" x14ac:dyDescent="0.25">
      <c r="A1573">
        <v>1572</v>
      </c>
      <c r="B1573" t="s">
        <v>3676</v>
      </c>
      <c r="C1573" s="2" t="s">
        <v>1301</v>
      </c>
      <c r="D1573" s="2">
        <f t="shared" ca="1" si="96"/>
        <v>23</v>
      </c>
      <c r="E1573" t="s">
        <v>10</v>
      </c>
      <c r="F1573" t="s">
        <v>3677</v>
      </c>
      <c r="G1573" t="s">
        <v>131</v>
      </c>
      <c r="H1573" t="str">
        <f t="shared" si="97"/>
        <v>Araranguá - SC</v>
      </c>
      <c r="I1573" s="1" t="s">
        <v>13</v>
      </c>
      <c r="J1573" s="3">
        <v>62</v>
      </c>
      <c r="K1573" s="4">
        <f t="shared" si="98"/>
        <v>21.203105228959341</v>
      </c>
      <c r="L1573" s="1" t="str">
        <f t="shared" si="99"/>
        <v>Peso ideal - parabéns</v>
      </c>
      <c r="M1573" t="s">
        <v>76</v>
      </c>
    </row>
    <row r="1574" spans="1:13" x14ac:dyDescent="0.25">
      <c r="A1574">
        <v>1573</v>
      </c>
      <c r="B1574" t="s">
        <v>3761</v>
      </c>
      <c r="C1574" s="2" t="s">
        <v>3762</v>
      </c>
      <c r="D1574" s="2">
        <f t="shared" ca="1" si="96"/>
        <v>56</v>
      </c>
      <c r="E1574" t="s">
        <v>10</v>
      </c>
      <c r="F1574" t="s">
        <v>111</v>
      </c>
      <c r="G1574" t="s">
        <v>112</v>
      </c>
      <c r="H1574" t="str">
        <f t="shared" si="97"/>
        <v>Tucuruí - PA</v>
      </c>
      <c r="I1574" s="1" t="s">
        <v>37</v>
      </c>
      <c r="J1574" s="3">
        <v>84</v>
      </c>
      <c r="K1574" s="4">
        <f t="shared" si="98"/>
        <v>21.644463913009869</v>
      </c>
      <c r="L1574" s="1" t="str">
        <f t="shared" si="99"/>
        <v>Peso ideal - parabéns</v>
      </c>
      <c r="M1574" t="s">
        <v>14</v>
      </c>
    </row>
    <row r="1575" spans="1:13" x14ac:dyDescent="0.25">
      <c r="A1575">
        <v>1574</v>
      </c>
      <c r="B1575" t="s">
        <v>3761</v>
      </c>
      <c r="C1575" s="2" t="s">
        <v>3762</v>
      </c>
      <c r="D1575" s="2">
        <f t="shared" ca="1" si="96"/>
        <v>56</v>
      </c>
      <c r="E1575" t="s">
        <v>10</v>
      </c>
      <c r="F1575" t="s">
        <v>111</v>
      </c>
      <c r="G1575" t="s">
        <v>112</v>
      </c>
      <c r="H1575" t="str">
        <f t="shared" si="97"/>
        <v>Tucuruí - PA</v>
      </c>
      <c r="I1575" s="1" t="s">
        <v>37</v>
      </c>
      <c r="J1575" s="3">
        <v>84</v>
      </c>
      <c r="K1575" s="4">
        <f t="shared" si="98"/>
        <v>21.644463913009869</v>
      </c>
      <c r="L1575" s="1" t="str">
        <f t="shared" si="99"/>
        <v>Peso ideal - parabéns</v>
      </c>
      <c r="M1575" t="s">
        <v>14</v>
      </c>
    </row>
    <row r="1576" spans="1:13" x14ac:dyDescent="0.25">
      <c r="A1576">
        <v>1575</v>
      </c>
      <c r="B1576" t="s">
        <v>895</v>
      </c>
      <c r="C1576" s="2" t="s">
        <v>896</v>
      </c>
      <c r="D1576" s="2">
        <f t="shared" ca="1" si="96"/>
        <v>56</v>
      </c>
      <c r="E1576" t="s">
        <v>10</v>
      </c>
      <c r="F1576" t="s">
        <v>897</v>
      </c>
      <c r="G1576" t="s">
        <v>51</v>
      </c>
      <c r="H1576" t="str">
        <f t="shared" si="97"/>
        <v>Angra dos Reis - RJ</v>
      </c>
      <c r="I1576" s="1" t="s">
        <v>386</v>
      </c>
      <c r="J1576" s="3">
        <v>53</v>
      </c>
      <c r="K1576" s="4">
        <f t="shared" si="98"/>
        <v>19.233560749020178</v>
      </c>
      <c r="L1576" s="1" t="str">
        <f t="shared" si="99"/>
        <v>Peso ideal - parabéns</v>
      </c>
      <c r="M1576" t="s">
        <v>47</v>
      </c>
    </row>
    <row r="1577" spans="1:13" x14ac:dyDescent="0.25">
      <c r="A1577">
        <v>1576</v>
      </c>
      <c r="B1577" t="s">
        <v>2265</v>
      </c>
      <c r="C1577" s="2" t="s">
        <v>2266</v>
      </c>
      <c r="D1577" s="2">
        <f t="shared" ca="1" si="96"/>
        <v>71</v>
      </c>
      <c r="E1577" t="s">
        <v>23</v>
      </c>
      <c r="F1577" t="s">
        <v>126</v>
      </c>
      <c r="G1577" t="s">
        <v>127</v>
      </c>
      <c r="H1577" t="str">
        <f t="shared" si="97"/>
        <v>Boa Vista - RR</v>
      </c>
      <c r="I1577" s="1" t="s">
        <v>247</v>
      </c>
      <c r="J1577" s="3">
        <v>53</v>
      </c>
      <c r="K1577" s="4">
        <f t="shared" si="98"/>
        <v>23.555555555555557</v>
      </c>
      <c r="L1577" s="1" t="str">
        <f t="shared" si="99"/>
        <v>Peso ideal - parabéns</v>
      </c>
      <c r="M1577" t="s">
        <v>83</v>
      </c>
    </row>
    <row r="1578" spans="1:13" x14ac:dyDescent="0.25">
      <c r="A1578">
        <v>1577</v>
      </c>
      <c r="B1578" t="s">
        <v>1724</v>
      </c>
      <c r="C1578" s="2" t="s">
        <v>1725</v>
      </c>
      <c r="D1578" s="2">
        <f t="shared" ca="1" si="96"/>
        <v>37</v>
      </c>
      <c r="E1578" t="s">
        <v>23</v>
      </c>
      <c r="F1578" t="s">
        <v>454</v>
      </c>
      <c r="G1578" t="s">
        <v>60</v>
      </c>
      <c r="H1578" t="str">
        <f t="shared" si="97"/>
        <v>Gurupi - TO</v>
      </c>
      <c r="I1578" s="1" t="s">
        <v>386</v>
      </c>
      <c r="J1578" s="3">
        <v>71</v>
      </c>
      <c r="K1578" s="4">
        <f t="shared" si="98"/>
        <v>25.765713456234579</v>
      </c>
      <c r="L1578" s="1" t="str">
        <f t="shared" si="99"/>
        <v>Levemente acima do peso</v>
      </c>
      <c r="M1578" t="s">
        <v>95</v>
      </c>
    </row>
    <row r="1579" spans="1:13" x14ac:dyDescent="0.25">
      <c r="A1579">
        <v>1578</v>
      </c>
      <c r="B1579" t="s">
        <v>3724</v>
      </c>
      <c r="C1579" s="2" t="s">
        <v>3725</v>
      </c>
      <c r="D1579" s="2">
        <f t="shared" ca="1" si="96"/>
        <v>48</v>
      </c>
      <c r="E1579" t="s">
        <v>23</v>
      </c>
      <c r="F1579" t="s">
        <v>45</v>
      </c>
      <c r="G1579" t="s">
        <v>46</v>
      </c>
      <c r="H1579" t="str">
        <f t="shared" si="97"/>
        <v>Goiânia - GO</v>
      </c>
      <c r="I1579" s="1" t="s">
        <v>286</v>
      </c>
      <c r="J1579" s="3">
        <v>51</v>
      </c>
      <c r="K1579" s="4">
        <f t="shared" si="98"/>
        <v>18.732782369146008</v>
      </c>
      <c r="L1579" s="1" t="str">
        <f t="shared" si="99"/>
        <v>Peso ideal - parabéns</v>
      </c>
      <c r="M1579" t="s">
        <v>26</v>
      </c>
    </row>
    <row r="1580" spans="1:13" x14ac:dyDescent="0.25">
      <c r="A1580">
        <v>1579</v>
      </c>
      <c r="B1580" t="s">
        <v>3966</v>
      </c>
      <c r="C1580" s="2" t="s">
        <v>3967</v>
      </c>
      <c r="D1580" s="2">
        <f t="shared" ca="1" si="96"/>
        <v>26</v>
      </c>
      <c r="E1580" t="s">
        <v>23</v>
      </c>
      <c r="F1580" t="s">
        <v>979</v>
      </c>
      <c r="G1580" t="s">
        <v>51</v>
      </c>
      <c r="H1580" t="str">
        <f t="shared" si="97"/>
        <v>São Gonçalo - RJ</v>
      </c>
      <c r="I1580" s="1" t="s">
        <v>160</v>
      </c>
      <c r="J1580" s="3">
        <v>79</v>
      </c>
      <c r="K1580" s="4">
        <f t="shared" si="98"/>
        <v>23.334120982986768</v>
      </c>
      <c r="L1580" s="1" t="str">
        <f t="shared" si="99"/>
        <v>Peso ideal - parabéns</v>
      </c>
      <c r="M1580" t="s">
        <v>32</v>
      </c>
    </row>
    <row r="1581" spans="1:13" x14ac:dyDescent="0.25">
      <c r="A1581">
        <v>1580</v>
      </c>
      <c r="B1581" t="s">
        <v>821</v>
      </c>
      <c r="C1581" s="2" t="s">
        <v>822</v>
      </c>
      <c r="D1581" s="2">
        <f t="shared" ca="1" si="96"/>
        <v>75</v>
      </c>
      <c r="E1581" t="s">
        <v>23</v>
      </c>
      <c r="F1581" t="s">
        <v>733</v>
      </c>
      <c r="G1581" t="s">
        <v>310</v>
      </c>
      <c r="H1581" t="str">
        <f t="shared" si="97"/>
        <v>Porto Alegre - RS</v>
      </c>
      <c r="I1581" s="1" t="s">
        <v>209</v>
      </c>
      <c r="J1581" s="3">
        <v>89</v>
      </c>
      <c r="K1581" s="4">
        <f t="shared" si="98"/>
        <v>37.527407657277791</v>
      </c>
      <c r="L1581" s="1" t="str">
        <f t="shared" si="99"/>
        <v>Obesidade grau II - severa</v>
      </c>
      <c r="M1581" t="s">
        <v>83</v>
      </c>
    </row>
    <row r="1582" spans="1:13" x14ac:dyDescent="0.25">
      <c r="A1582">
        <v>1581</v>
      </c>
      <c r="B1582" t="s">
        <v>2448</v>
      </c>
      <c r="C1582" s="2" t="s">
        <v>2449</v>
      </c>
      <c r="D1582" s="2">
        <f t="shared" ca="1" si="96"/>
        <v>61</v>
      </c>
      <c r="E1582" t="s">
        <v>23</v>
      </c>
      <c r="F1582" t="s">
        <v>89</v>
      </c>
      <c r="G1582" t="s">
        <v>12</v>
      </c>
      <c r="H1582" t="str">
        <f t="shared" si="97"/>
        <v>Fortaleza - CE</v>
      </c>
      <c r="I1582" s="1" t="s">
        <v>416</v>
      </c>
      <c r="J1582" s="3">
        <v>49</v>
      </c>
      <c r="K1582" s="4">
        <f t="shared" si="98"/>
        <v>18.903591682419659</v>
      </c>
      <c r="L1582" s="1" t="str">
        <f t="shared" si="99"/>
        <v>Peso ideal - parabéns</v>
      </c>
      <c r="M1582" t="s">
        <v>76</v>
      </c>
    </row>
    <row r="1583" spans="1:13" x14ac:dyDescent="0.25">
      <c r="A1583">
        <v>1582</v>
      </c>
      <c r="B1583" t="s">
        <v>3430</v>
      </c>
      <c r="C1583" s="2" t="s">
        <v>3431</v>
      </c>
      <c r="D1583" s="2">
        <f t="shared" ca="1" si="96"/>
        <v>32</v>
      </c>
      <c r="E1583" t="s">
        <v>23</v>
      </c>
      <c r="F1583" t="s">
        <v>208</v>
      </c>
      <c r="G1583" t="s">
        <v>30</v>
      </c>
      <c r="H1583" t="str">
        <f t="shared" si="97"/>
        <v>Ji-Paraná - RO</v>
      </c>
      <c r="I1583" s="1" t="s">
        <v>198</v>
      </c>
      <c r="J1583" s="3">
        <v>69</v>
      </c>
      <c r="K1583" s="4">
        <f t="shared" si="98"/>
        <v>27.993022029291247</v>
      </c>
      <c r="L1583" s="1" t="str">
        <f t="shared" si="99"/>
        <v>Levemente acima do peso</v>
      </c>
      <c r="M1583" t="s">
        <v>20</v>
      </c>
    </row>
    <row r="1584" spans="1:13" x14ac:dyDescent="0.25">
      <c r="A1584">
        <v>1583</v>
      </c>
      <c r="B1584" t="s">
        <v>2307</v>
      </c>
      <c r="C1584" s="2" t="s">
        <v>2308</v>
      </c>
      <c r="D1584" s="2">
        <f t="shared" ca="1" si="96"/>
        <v>36</v>
      </c>
      <c r="E1584" t="s">
        <v>23</v>
      </c>
      <c r="F1584" t="s">
        <v>163</v>
      </c>
      <c r="G1584" t="s">
        <v>131</v>
      </c>
      <c r="H1584" t="str">
        <f t="shared" si="97"/>
        <v>Rio do Sul - SC</v>
      </c>
      <c r="I1584" s="1" t="s">
        <v>484</v>
      </c>
      <c r="J1584" s="3">
        <v>60</v>
      </c>
      <c r="K1584" s="4">
        <f t="shared" si="98"/>
        <v>24.973985431841829</v>
      </c>
      <c r="L1584" s="1" t="str">
        <f t="shared" si="99"/>
        <v>Peso ideal - parabéns</v>
      </c>
      <c r="M1584" t="s">
        <v>26</v>
      </c>
    </row>
    <row r="1585" spans="1:13" x14ac:dyDescent="0.25">
      <c r="A1585">
        <v>1584</v>
      </c>
      <c r="B1585" t="s">
        <v>877</v>
      </c>
      <c r="C1585" s="2" t="s">
        <v>878</v>
      </c>
      <c r="D1585" s="2">
        <f t="shared" ca="1" si="96"/>
        <v>28</v>
      </c>
      <c r="E1585" t="s">
        <v>23</v>
      </c>
      <c r="F1585" t="s">
        <v>35</v>
      </c>
      <c r="G1585" t="s">
        <v>36</v>
      </c>
      <c r="H1585" t="str">
        <f t="shared" si="97"/>
        <v>Timon - MA</v>
      </c>
      <c r="I1585" s="1" t="s">
        <v>90</v>
      </c>
      <c r="J1585" s="3">
        <v>85</v>
      </c>
      <c r="K1585" s="4">
        <f t="shared" si="98"/>
        <v>28.731746890210928</v>
      </c>
      <c r="L1585" s="1" t="str">
        <f t="shared" si="99"/>
        <v>Levemente acima do peso</v>
      </c>
      <c r="M1585" t="s">
        <v>32</v>
      </c>
    </row>
    <row r="1586" spans="1:13" x14ac:dyDescent="0.25">
      <c r="A1586">
        <v>1585</v>
      </c>
      <c r="B1586" t="s">
        <v>3639</v>
      </c>
      <c r="C1586" s="2" t="s">
        <v>3053</v>
      </c>
      <c r="D1586" s="2">
        <f t="shared" ca="1" si="96"/>
        <v>72</v>
      </c>
      <c r="E1586" t="s">
        <v>10</v>
      </c>
      <c r="F1586" t="s">
        <v>944</v>
      </c>
      <c r="G1586" t="s">
        <v>55</v>
      </c>
      <c r="H1586" t="str">
        <f t="shared" si="97"/>
        <v>Cascavel - PR</v>
      </c>
      <c r="I1586" s="1" t="s">
        <v>400</v>
      </c>
      <c r="J1586" s="3">
        <v>110</v>
      </c>
      <c r="K1586" s="4">
        <f t="shared" si="98"/>
        <v>33.950617283950614</v>
      </c>
      <c r="L1586" s="1" t="str">
        <f t="shared" si="99"/>
        <v>Obesidade grau I</v>
      </c>
      <c r="M1586" t="s">
        <v>95</v>
      </c>
    </row>
    <row r="1587" spans="1:13" x14ac:dyDescent="0.25">
      <c r="A1587">
        <v>1586</v>
      </c>
      <c r="B1587" t="s">
        <v>221</v>
      </c>
      <c r="C1587" s="2" t="s">
        <v>222</v>
      </c>
      <c r="D1587" s="2">
        <f t="shared" ca="1" si="96"/>
        <v>74</v>
      </c>
      <c r="E1587" t="s">
        <v>10</v>
      </c>
      <c r="F1587" t="s">
        <v>153</v>
      </c>
      <c r="G1587" t="s">
        <v>154</v>
      </c>
      <c r="H1587" t="str">
        <f t="shared" si="97"/>
        <v>Manaus - AM</v>
      </c>
      <c r="I1587" s="1" t="s">
        <v>19</v>
      </c>
      <c r="J1587" s="3">
        <v>74</v>
      </c>
      <c r="K1587" s="4">
        <f t="shared" si="98"/>
        <v>23.620287912158062</v>
      </c>
      <c r="L1587" s="1" t="str">
        <f t="shared" si="99"/>
        <v>Peso ideal - parabéns</v>
      </c>
      <c r="M1587" t="s">
        <v>20</v>
      </c>
    </row>
    <row r="1588" spans="1:13" x14ac:dyDescent="0.25">
      <c r="A1588">
        <v>1587</v>
      </c>
      <c r="B1588" t="s">
        <v>2836</v>
      </c>
      <c r="C1588" s="2" t="s">
        <v>2837</v>
      </c>
      <c r="D1588" s="2">
        <f t="shared" ca="1" si="96"/>
        <v>44</v>
      </c>
      <c r="E1588" t="s">
        <v>10</v>
      </c>
      <c r="F1588" t="s">
        <v>321</v>
      </c>
      <c r="G1588" t="s">
        <v>273</v>
      </c>
      <c r="H1588" t="str">
        <f t="shared" si="97"/>
        <v>Cariacica - ES</v>
      </c>
      <c r="I1588" s="1" t="s">
        <v>416</v>
      </c>
      <c r="J1588" s="3">
        <v>84</v>
      </c>
      <c r="K1588" s="4">
        <f t="shared" si="98"/>
        <v>32.406157169862269</v>
      </c>
      <c r="L1588" s="1" t="str">
        <f t="shared" si="99"/>
        <v>Obesidade grau I</v>
      </c>
      <c r="M1588" t="s">
        <v>95</v>
      </c>
    </row>
    <row r="1589" spans="1:13" x14ac:dyDescent="0.25">
      <c r="A1589">
        <v>1588</v>
      </c>
      <c r="B1589" t="s">
        <v>2094</v>
      </c>
      <c r="C1589" s="2" t="s">
        <v>2095</v>
      </c>
      <c r="D1589" s="2">
        <f t="shared" ca="1" si="96"/>
        <v>33</v>
      </c>
      <c r="E1589" t="s">
        <v>10</v>
      </c>
      <c r="F1589" t="s">
        <v>64</v>
      </c>
      <c r="G1589" t="s">
        <v>65</v>
      </c>
      <c r="H1589" t="str">
        <f t="shared" si="97"/>
        <v>Salvador - BA</v>
      </c>
      <c r="I1589" s="1" t="s">
        <v>31</v>
      </c>
      <c r="J1589" s="3">
        <v>54</v>
      </c>
      <c r="K1589" s="4">
        <f t="shared" si="98"/>
        <v>20.077334919690664</v>
      </c>
      <c r="L1589" s="1" t="str">
        <f t="shared" si="99"/>
        <v>Peso ideal - parabéns</v>
      </c>
      <c r="M1589" t="s">
        <v>83</v>
      </c>
    </row>
    <row r="1590" spans="1:13" x14ac:dyDescent="0.25">
      <c r="A1590">
        <v>1589</v>
      </c>
      <c r="B1590" t="s">
        <v>1212</v>
      </c>
      <c r="C1590" s="2" t="s">
        <v>1213</v>
      </c>
      <c r="D1590" s="2">
        <f t="shared" ca="1" si="96"/>
        <v>62</v>
      </c>
      <c r="E1590" t="s">
        <v>10</v>
      </c>
      <c r="F1590" t="s">
        <v>380</v>
      </c>
      <c r="G1590" t="s">
        <v>112</v>
      </c>
      <c r="H1590" t="str">
        <f t="shared" si="97"/>
        <v>Ananindeua - PA</v>
      </c>
      <c r="I1590" s="1" t="s">
        <v>155</v>
      </c>
      <c r="J1590" s="3">
        <v>104</v>
      </c>
      <c r="K1590" s="4">
        <f t="shared" si="98"/>
        <v>31.397174254317108</v>
      </c>
      <c r="L1590" s="1" t="str">
        <f t="shared" si="99"/>
        <v>Obesidade grau I</v>
      </c>
      <c r="M1590" t="s">
        <v>47</v>
      </c>
    </row>
    <row r="1591" spans="1:13" x14ac:dyDescent="0.25">
      <c r="A1591">
        <v>1590</v>
      </c>
      <c r="B1591" t="s">
        <v>1501</v>
      </c>
      <c r="C1591" s="2" t="s">
        <v>1502</v>
      </c>
      <c r="D1591" s="2">
        <f t="shared" ca="1" si="96"/>
        <v>65</v>
      </c>
      <c r="E1591" t="s">
        <v>10</v>
      </c>
      <c r="F1591" t="s">
        <v>1503</v>
      </c>
      <c r="G1591" t="s">
        <v>55</v>
      </c>
      <c r="H1591" t="str">
        <f t="shared" si="97"/>
        <v>Maringá - PR</v>
      </c>
      <c r="I1591" s="1" t="s">
        <v>386</v>
      </c>
      <c r="J1591" s="3">
        <v>66</v>
      </c>
      <c r="K1591" s="4">
        <f t="shared" si="98"/>
        <v>23.951226593119468</v>
      </c>
      <c r="L1591" s="1" t="str">
        <f t="shared" si="99"/>
        <v>Peso ideal - parabéns</v>
      </c>
      <c r="M1591" t="s">
        <v>26</v>
      </c>
    </row>
    <row r="1592" spans="1:13" x14ac:dyDescent="0.25">
      <c r="A1592">
        <v>1591</v>
      </c>
      <c r="B1592" t="s">
        <v>546</v>
      </c>
      <c r="C1592" s="2" t="s">
        <v>547</v>
      </c>
      <c r="D1592" s="2">
        <f t="shared" ca="1" si="96"/>
        <v>37</v>
      </c>
      <c r="E1592" t="s">
        <v>10</v>
      </c>
      <c r="F1592" t="s">
        <v>548</v>
      </c>
      <c r="G1592" t="s">
        <v>131</v>
      </c>
      <c r="H1592" t="str">
        <f t="shared" si="97"/>
        <v>Lages - SC</v>
      </c>
      <c r="I1592" s="1" t="s">
        <v>281</v>
      </c>
      <c r="J1592" s="3">
        <v>57</v>
      </c>
      <c r="K1592" s="4">
        <f t="shared" si="98"/>
        <v>21.719250114311837</v>
      </c>
      <c r="L1592" s="1" t="str">
        <f t="shared" si="99"/>
        <v>Peso ideal - parabéns</v>
      </c>
      <c r="M1592" t="s">
        <v>95</v>
      </c>
    </row>
    <row r="1593" spans="1:13" x14ac:dyDescent="0.25">
      <c r="A1593">
        <v>1592</v>
      </c>
      <c r="B1593" t="s">
        <v>3604</v>
      </c>
      <c r="C1593" s="2" t="s">
        <v>2837</v>
      </c>
      <c r="D1593" s="2">
        <f t="shared" ca="1" si="96"/>
        <v>44</v>
      </c>
      <c r="E1593" t="s">
        <v>23</v>
      </c>
      <c r="F1593" t="s">
        <v>3605</v>
      </c>
      <c r="G1593" t="s">
        <v>103</v>
      </c>
      <c r="H1593" t="str">
        <f t="shared" si="97"/>
        <v>São José dos Campos - SP</v>
      </c>
      <c r="I1593" s="1" t="s">
        <v>179</v>
      </c>
      <c r="J1593" s="3">
        <v>46</v>
      </c>
      <c r="K1593" s="4">
        <f t="shared" si="98"/>
        <v>15.193552648962875</v>
      </c>
      <c r="L1593" s="1" t="str">
        <f t="shared" si="99"/>
        <v>Muito abaixo do peso</v>
      </c>
      <c r="M1593" t="s">
        <v>76</v>
      </c>
    </row>
    <row r="1594" spans="1:13" x14ac:dyDescent="0.25">
      <c r="A1594">
        <v>1593</v>
      </c>
      <c r="B1594" t="s">
        <v>1546</v>
      </c>
      <c r="C1594" s="2" t="s">
        <v>1547</v>
      </c>
      <c r="D1594" s="2">
        <f t="shared" ca="1" si="96"/>
        <v>62</v>
      </c>
      <c r="E1594" t="s">
        <v>10</v>
      </c>
      <c r="F1594" t="s">
        <v>636</v>
      </c>
      <c r="G1594" t="s">
        <v>131</v>
      </c>
      <c r="H1594" t="str">
        <f t="shared" si="97"/>
        <v>Criciúma - SC</v>
      </c>
      <c r="I1594" s="1" t="s">
        <v>37</v>
      </c>
      <c r="J1594" s="3">
        <v>60</v>
      </c>
      <c r="K1594" s="4">
        <f t="shared" si="98"/>
        <v>15.46033136643562</v>
      </c>
      <c r="L1594" s="1" t="str">
        <f t="shared" si="99"/>
        <v>Muito abaixo do peso</v>
      </c>
      <c r="M1594" t="s">
        <v>95</v>
      </c>
    </row>
    <row r="1595" spans="1:13" x14ac:dyDescent="0.25">
      <c r="A1595">
        <v>1594</v>
      </c>
      <c r="B1595" t="s">
        <v>1284</v>
      </c>
      <c r="C1595" s="2" t="s">
        <v>1285</v>
      </c>
      <c r="D1595" s="2">
        <f t="shared" ca="1" si="96"/>
        <v>45</v>
      </c>
      <c r="E1595" t="s">
        <v>10</v>
      </c>
      <c r="F1595" t="s">
        <v>457</v>
      </c>
      <c r="G1595" t="s">
        <v>41</v>
      </c>
      <c r="H1595" t="str">
        <f t="shared" si="97"/>
        <v>João Pessoa - PB</v>
      </c>
      <c r="I1595" s="1" t="s">
        <v>61</v>
      </c>
      <c r="J1595" s="3">
        <v>76</v>
      </c>
      <c r="K1595" s="4">
        <f t="shared" si="98"/>
        <v>21.276000111978949</v>
      </c>
      <c r="L1595" s="1" t="str">
        <f t="shared" si="99"/>
        <v>Peso ideal - parabéns</v>
      </c>
      <c r="M1595" t="s">
        <v>26</v>
      </c>
    </row>
    <row r="1596" spans="1:13" x14ac:dyDescent="0.25">
      <c r="A1596">
        <v>1595</v>
      </c>
      <c r="B1596" t="s">
        <v>3300</v>
      </c>
      <c r="C1596" s="2" t="s">
        <v>2940</v>
      </c>
      <c r="D1596" s="2">
        <f t="shared" ca="1" si="96"/>
        <v>21</v>
      </c>
      <c r="E1596" t="s">
        <v>10</v>
      </c>
      <c r="F1596" t="s">
        <v>457</v>
      </c>
      <c r="G1596" t="s">
        <v>41</v>
      </c>
      <c r="H1596" t="str">
        <f t="shared" si="97"/>
        <v>João Pessoa - PB</v>
      </c>
      <c r="I1596" s="1" t="s">
        <v>179</v>
      </c>
      <c r="J1596" s="3">
        <v>61</v>
      </c>
      <c r="K1596" s="4">
        <f t="shared" si="98"/>
        <v>20.147971991015986</v>
      </c>
      <c r="L1596" s="1" t="str">
        <f t="shared" si="99"/>
        <v>Peso ideal - parabéns</v>
      </c>
      <c r="M1596" t="s">
        <v>26</v>
      </c>
    </row>
    <row r="1597" spans="1:13" x14ac:dyDescent="0.25">
      <c r="A1597">
        <v>1596</v>
      </c>
      <c r="B1597" t="s">
        <v>3981</v>
      </c>
      <c r="C1597" s="2" t="s">
        <v>3982</v>
      </c>
      <c r="D1597" s="2">
        <f t="shared" ca="1" si="96"/>
        <v>71</v>
      </c>
      <c r="E1597" t="s">
        <v>10</v>
      </c>
      <c r="F1597" t="s">
        <v>24</v>
      </c>
      <c r="G1597" t="s">
        <v>25</v>
      </c>
      <c r="H1597" t="str">
        <f t="shared" si="97"/>
        <v>Natal - RN</v>
      </c>
      <c r="I1597" s="1" t="s">
        <v>13</v>
      </c>
      <c r="J1597" s="3">
        <v>98</v>
      </c>
      <c r="K1597" s="4">
        <f t="shared" si="98"/>
        <v>33.514585684484118</v>
      </c>
      <c r="L1597" s="1" t="str">
        <f t="shared" si="99"/>
        <v>Obesidade grau I</v>
      </c>
      <c r="M1597" t="s">
        <v>14</v>
      </c>
    </row>
    <row r="1598" spans="1:13" x14ac:dyDescent="0.25">
      <c r="A1598">
        <v>1597</v>
      </c>
      <c r="B1598" t="s">
        <v>2364</v>
      </c>
      <c r="C1598" s="2" t="s">
        <v>2365</v>
      </c>
      <c r="D1598" s="2">
        <f t="shared" ca="1" si="96"/>
        <v>60</v>
      </c>
      <c r="E1598" t="s">
        <v>10</v>
      </c>
      <c r="F1598" t="s">
        <v>291</v>
      </c>
      <c r="G1598" t="s">
        <v>131</v>
      </c>
      <c r="H1598" t="str">
        <f t="shared" si="97"/>
        <v>Blumenau - SC</v>
      </c>
      <c r="I1598" s="1" t="s">
        <v>94</v>
      </c>
      <c r="J1598" s="3">
        <v>87</v>
      </c>
      <c r="K1598" s="4">
        <f t="shared" si="98"/>
        <v>29.068796150890439</v>
      </c>
      <c r="L1598" s="1" t="str">
        <f t="shared" si="99"/>
        <v>Levemente acima do peso</v>
      </c>
      <c r="M1598" t="s">
        <v>32</v>
      </c>
    </row>
    <row r="1599" spans="1:13" x14ac:dyDescent="0.25">
      <c r="A1599">
        <v>1598</v>
      </c>
      <c r="B1599" t="s">
        <v>2082</v>
      </c>
      <c r="C1599" s="2" t="s">
        <v>2083</v>
      </c>
      <c r="D1599" s="2">
        <f t="shared" ca="1" si="96"/>
        <v>24</v>
      </c>
      <c r="E1599" t="s">
        <v>10</v>
      </c>
      <c r="F1599" t="s">
        <v>775</v>
      </c>
      <c r="G1599" t="s">
        <v>51</v>
      </c>
      <c r="H1599" t="str">
        <f t="shared" si="97"/>
        <v>Rio de Janeiro - RJ</v>
      </c>
      <c r="I1599" s="1" t="s">
        <v>148</v>
      </c>
      <c r="J1599" s="3">
        <v>74</v>
      </c>
      <c r="K1599" s="4">
        <f t="shared" si="98"/>
        <v>19.460880999342539</v>
      </c>
      <c r="L1599" s="1" t="str">
        <f t="shared" si="99"/>
        <v>Peso ideal - parabéns</v>
      </c>
      <c r="M1599" t="s">
        <v>83</v>
      </c>
    </row>
    <row r="1600" spans="1:13" x14ac:dyDescent="0.25">
      <c r="A1600">
        <v>1599</v>
      </c>
      <c r="B1600" t="s">
        <v>1701</v>
      </c>
      <c r="C1600" s="2" t="s">
        <v>1702</v>
      </c>
      <c r="D1600" s="2">
        <f t="shared" ca="1" si="96"/>
        <v>20</v>
      </c>
      <c r="E1600" t="s">
        <v>10</v>
      </c>
      <c r="F1600" t="s">
        <v>74</v>
      </c>
      <c r="G1600" t="s">
        <v>75</v>
      </c>
      <c r="H1600" t="str">
        <f t="shared" si="97"/>
        <v>Macapá - AP</v>
      </c>
      <c r="I1600" s="1" t="s">
        <v>191</v>
      </c>
      <c r="J1600" s="3">
        <v>86</v>
      </c>
      <c r="K1600" s="4">
        <f t="shared" si="98"/>
        <v>33.593749999999993</v>
      </c>
      <c r="L1600" s="1" t="str">
        <f t="shared" si="99"/>
        <v>Obesidade grau I</v>
      </c>
      <c r="M1600" t="s">
        <v>26</v>
      </c>
    </row>
    <row r="1601" spans="1:13" x14ac:dyDescent="0.25">
      <c r="A1601">
        <v>1600</v>
      </c>
      <c r="B1601" t="s">
        <v>1710</v>
      </c>
      <c r="C1601" s="2" t="s">
        <v>1711</v>
      </c>
      <c r="D1601" s="2">
        <f t="shared" ca="1" si="96"/>
        <v>26</v>
      </c>
      <c r="E1601" t="s">
        <v>10</v>
      </c>
      <c r="F1601" t="s">
        <v>74</v>
      </c>
      <c r="G1601" t="s">
        <v>75</v>
      </c>
      <c r="H1601" t="str">
        <f t="shared" si="97"/>
        <v>Macapá - AP</v>
      </c>
      <c r="I1601" s="1" t="s">
        <v>86</v>
      </c>
      <c r="J1601" s="3">
        <v>75</v>
      </c>
      <c r="K1601" s="4">
        <f t="shared" si="98"/>
        <v>22.893074081987731</v>
      </c>
      <c r="L1601" s="1" t="str">
        <f t="shared" si="99"/>
        <v>Peso ideal - parabéns</v>
      </c>
      <c r="M1601" t="s">
        <v>47</v>
      </c>
    </row>
    <row r="1602" spans="1:13" x14ac:dyDescent="0.25">
      <c r="A1602">
        <v>1601</v>
      </c>
      <c r="B1602" t="s">
        <v>3562</v>
      </c>
      <c r="C1602" s="2" t="s">
        <v>3563</v>
      </c>
      <c r="D1602" s="2">
        <f t="shared" ca="1" si="96"/>
        <v>50</v>
      </c>
      <c r="E1602" t="s">
        <v>10</v>
      </c>
      <c r="F1602" t="s">
        <v>107</v>
      </c>
      <c r="G1602" t="s">
        <v>36</v>
      </c>
      <c r="H1602" t="str">
        <f t="shared" si="97"/>
        <v>São Luís - MA</v>
      </c>
      <c r="I1602" s="1" t="s">
        <v>37</v>
      </c>
      <c r="J1602" s="3">
        <v>108</v>
      </c>
      <c r="K1602" s="4">
        <f t="shared" si="98"/>
        <v>27.828596459584116</v>
      </c>
      <c r="L1602" s="1" t="str">
        <f t="shared" si="99"/>
        <v>Levemente acima do peso</v>
      </c>
      <c r="M1602" t="s">
        <v>32</v>
      </c>
    </row>
    <row r="1603" spans="1:13" x14ac:dyDescent="0.25">
      <c r="A1603">
        <v>1602</v>
      </c>
      <c r="B1603" t="s">
        <v>665</v>
      </c>
      <c r="C1603" s="2" t="s">
        <v>666</v>
      </c>
      <c r="D1603" s="2">
        <f t="shared" ref="D1603:D1666" ca="1" si="100">YEAR(TODAY())-YEAR(C1603)</f>
        <v>25</v>
      </c>
      <c r="E1603" t="s">
        <v>10</v>
      </c>
      <c r="F1603" t="s">
        <v>241</v>
      </c>
      <c r="G1603" t="s">
        <v>190</v>
      </c>
      <c r="H1603" t="str">
        <f t="shared" ref="H1603:H1666" si="101">CONCATENATE(F1603," - ",G1603)</f>
        <v>Várzea Grande - MT</v>
      </c>
      <c r="I1603" s="1" t="s">
        <v>90</v>
      </c>
      <c r="J1603" s="3">
        <v>57</v>
      </c>
      <c r="K1603" s="4">
        <f t="shared" ref="K1603:K1666" si="102">J1603/(I1603*I1603)</f>
        <v>19.267171444023798</v>
      </c>
      <c r="L1603" s="1" t="str">
        <f t="shared" ref="L1603:L1666" si="103">IF(K1603&gt;=40,"Obesidade grau III - mórbida",
IF(K1603&gt;=35,"Obesidade grau II - severa",
IF(K1603&gt;=30,"Obesidade grau I",
IF(K1603&gt;=25,"Levemente acima do peso",
IF(K1603&gt;=18.6,"Peso ideal - parabéns",
IF(K1603&gt;=17,"Abaixo do peso",
"Muito abaixo do peso"))))))</f>
        <v>Peso ideal - parabéns</v>
      </c>
      <c r="M1603" t="s">
        <v>95</v>
      </c>
    </row>
    <row r="1604" spans="1:13" x14ac:dyDescent="0.25">
      <c r="A1604">
        <v>1603</v>
      </c>
      <c r="B1604" t="s">
        <v>3931</v>
      </c>
      <c r="C1604" s="2" t="s">
        <v>3932</v>
      </c>
      <c r="D1604" s="2">
        <f t="shared" ca="1" si="100"/>
        <v>79</v>
      </c>
      <c r="E1604" t="s">
        <v>23</v>
      </c>
      <c r="F1604" t="s">
        <v>3933</v>
      </c>
      <c r="G1604" t="s">
        <v>51</v>
      </c>
      <c r="H1604" t="str">
        <f t="shared" si="101"/>
        <v>Barra do Piraí - RJ</v>
      </c>
      <c r="I1604" s="1" t="s">
        <v>360</v>
      </c>
      <c r="J1604" s="3">
        <v>45</v>
      </c>
      <c r="K1604" s="4">
        <f t="shared" si="102"/>
        <v>18.025957378625218</v>
      </c>
      <c r="L1604" s="1" t="str">
        <f t="shared" si="103"/>
        <v>Abaixo do peso</v>
      </c>
      <c r="M1604" t="s">
        <v>26</v>
      </c>
    </row>
    <row r="1605" spans="1:13" x14ac:dyDescent="0.25">
      <c r="A1605">
        <v>1604</v>
      </c>
      <c r="B1605" t="s">
        <v>580</v>
      </c>
      <c r="C1605" s="2" t="s">
        <v>581</v>
      </c>
      <c r="D1605" s="2">
        <f t="shared" ca="1" si="100"/>
        <v>37</v>
      </c>
      <c r="E1605" t="s">
        <v>23</v>
      </c>
      <c r="F1605" t="s">
        <v>59</v>
      </c>
      <c r="G1605" t="s">
        <v>60</v>
      </c>
      <c r="H1605" t="str">
        <f t="shared" si="101"/>
        <v>Palmas - TO</v>
      </c>
      <c r="I1605" s="1" t="s">
        <v>582</v>
      </c>
      <c r="J1605" s="3">
        <v>63</v>
      </c>
      <c r="K1605" s="4">
        <f t="shared" si="102"/>
        <v>25.88757396449704</v>
      </c>
      <c r="L1605" s="1" t="str">
        <f t="shared" si="103"/>
        <v>Levemente acima do peso</v>
      </c>
      <c r="M1605" t="s">
        <v>47</v>
      </c>
    </row>
    <row r="1606" spans="1:13" x14ac:dyDescent="0.25">
      <c r="A1606">
        <v>1605</v>
      </c>
      <c r="B1606" t="s">
        <v>1575</v>
      </c>
      <c r="C1606" s="2" t="s">
        <v>1576</v>
      </c>
      <c r="D1606" s="2">
        <f t="shared" ca="1" si="100"/>
        <v>58</v>
      </c>
      <c r="E1606" t="s">
        <v>23</v>
      </c>
      <c r="F1606" t="s">
        <v>1288</v>
      </c>
      <c r="G1606" t="s">
        <v>131</v>
      </c>
      <c r="H1606" t="str">
        <f t="shared" si="101"/>
        <v>Jaraguá do Sul - SC</v>
      </c>
      <c r="I1606" s="1" t="s">
        <v>198</v>
      </c>
      <c r="J1606" s="3">
        <v>49</v>
      </c>
      <c r="K1606" s="4">
        <f t="shared" si="102"/>
        <v>19.879102600511175</v>
      </c>
      <c r="L1606" s="1" t="str">
        <f t="shared" si="103"/>
        <v>Peso ideal - parabéns</v>
      </c>
      <c r="M1606" t="s">
        <v>20</v>
      </c>
    </row>
    <row r="1607" spans="1:13" x14ac:dyDescent="0.25">
      <c r="A1607">
        <v>1606</v>
      </c>
      <c r="B1607" t="s">
        <v>829</v>
      </c>
      <c r="C1607" s="2" t="s">
        <v>830</v>
      </c>
      <c r="D1607" s="2">
        <f t="shared" ca="1" si="100"/>
        <v>41</v>
      </c>
      <c r="E1607" t="s">
        <v>23</v>
      </c>
      <c r="F1607" t="s">
        <v>831</v>
      </c>
      <c r="G1607" t="s">
        <v>154</v>
      </c>
      <c r="H1607" t="str">
        <f t="shared" si="101"/>
        <v>Itacoatiara - AM</v>
      </c>
      <c r="I1607" s="1" t="s">
        <v>166</v>
      </c>
      <c r="J1607" s="3">
        <v>59</v>
      </c>
      <c r="K1607" s="4">
        <f t="shared" si="102"/>
        <v>20.904195011337873</v>
      </c>
      <c r="L1607" s="1" t="str">
        <f t="shared" si="103"/>
        <v>Peso ideal - parabéns</v>
      </c>
      <c r="M1607" t="s">
        <v>95</v>
      </c>
    </row>
    <row r="1608" spans="1:13" x14ac:dyDescent="0.25">
      <c r="A1608">
        <v>1607</v>
      </c>
      <c r="B1608" t="s">
        <v>1254</v>
      </c>
      <c r="C1608" s="2" t="s">
        <v>1255</v>
      </c>
      <c r="D1608" s="2">
        <f t="shared" ca="1" si="100"/>
        <v>47</v>
      </c>
      <c r="E1608" t="s">
        <v>23</v>
      </c>
      <c r="F1608" t="s">
        <v>1256</v>
      </c>
      <c r="G1608" t="s">
        <v>103</v>
      </c>
      <c r="H1608" t="str">
        <f t="shared" si="101"/>
        <v>Araraquara - SP</v>
      </c>
      <c r="I1608" s="1" t="s">
        <v>166</v>
      </c>
      <c r="J1608" s="3">
        <v>81</v>
      </c>
      <c r="K1608" s="4">
        <f t="shared" si="102"/>
        <v>28.698979591836739</v>
      </c>
      <c r="L1608" s="1" t="str">
        <f t="shared" si="103"/>
        <v>Levemente acima do peso</v>
      </c>
      <c r="M1608" t="s">
        <v>76</v>
      </c>
    </row>
    <row r="1609" spans="1:13" x14ac:dyDescent="0.25">
      <c r="A1609">
        <v>1608</v>
      </c>
      <c r="B1609" t="s">
        <v>3447</v>
      </c>
      <c r="C1609" s="2" t="s">
        <v>3448</v>
      </c>
      <c r="D1609" s="2">
        <f t="shared" ca="1" si="100"/>
        <v>67</v>
      </c>
      <c r="E1609" t="s">
        <v>23</v>
      </c>
      <c r="F1609" t="s">
        <v>40</v>
      </c>
      <c r="G1609" t="s">
        <v>41</v>
      </c>
      <c r="H1609" t="str">
        <f t="shared" si="101"/>
        <v>Campina Grande - PB</v>
      </c>
      <c r="I1609" s="1" t="s">
        <v>400</v>
      </c>
      <c r="J1609" s="3">
        <v>59</v>
      </c>
      <c r="K1609" s="4">
        <f t="shared" si="102"/>
        <v>18.209876543209877</v>
      </c>
      <c r="L1609" s="1" t="str">
        <f t="shared" si="103"/>
        <v>Abaixo do peso</v>
      </c>
      <c r="M1609" t="s">
        <v>83</v>
      </c>
    </row>
    <row r="1610" spans="1:13" x14ac:dyDescent="0.25">
      <c r="A1610">
        <v>1609</v>
      </c>
      <c r="B1610" t="s">
        <v>4132</v>
      </c>
      <c r="C1610" s="2" t="s">
        <v>3070</v>
      </c>
      <c r="D1610" s="2">
        <f t="shared" ca="1" si="100"/>
        <v>30</v>
      </c>
      <c r="E1610" t="s">
        <v>23</v>
      </c>
      <c r="F1610" t="s">
        <v>616</v>
      </c>
      <c r="G1610" t="s">
        <v>273</v>
      </c>
      <c r="H1610" t="str">
        <f t="shared" si="101"/>
        <v>Serra - ES</v>
      </c>
      <c r="I1610" s="1" t="s">
        <v>155</v>
      </c>
      <c r="J1610" s="3">
        <v>75</v>
      </c>
      <c r="K1610" s="4">
        <f t="shared" si="102"/>
        <v>22.642192971863299</v>
      </c>
      <c r="L1610" s="1" t="str">
        <f t="shared" si="103"/>
        <v>Peso ideal - parabéns</v>
      </c>
      <c r="M1610" t="s">
        <v>76</v>
      </c>
    </row>
    <row r="1611" spans="1:13" x14ac:dyDescent="0.25">
      <c r="A1611">
        <v>1610</v>
      </c>
      <c r="B1611" t="s">
        <v>1628</v>
      </c>
      <c r="C1611" s="2" t="s">
        <v>1629</v>
      </c>
      <c r="D1611" s="2">
        <f t="shared" ca="1" si="100"/>
        <v>34</v>
      </c>
      <c r="E1611" t="s">
        <v>23</v>
      </c>
      <c r="F1611" t="s">
        <v>64</v>
      </c>
      <c r="G1611" t="s">
        <v>65</v>
      </c>
      <c r="H1611" t="str">
        <f t="shared" si="101"/>
        <v>Salvador - BA</v>
      </c>
      <c r="I1611" s="1" t="s">
        <v>386</v>
      </c>
      <c r="J1611" s="3">
        <v>46</v>
      </c>
      <c r="K1611" s="4">
        <f t="shared" si="102"/>
        <v>16.693279140659023</v>
      </c>
      <c r="L1611" s="1" t="str">
        <f t="shared" si="103"/>
        <v>Muito abaixo do peso</v>
      </c>
      <c r="M1611" t="s">
        <v>26</v>
      </c>
    </row>
    <row r="1612" spans="1:13" x14ac:dyDescent="0.25">
      <c r="A1612">
        <v>1611</v>
      </c>
      <c r="B1612" t="s">
        <v>1996</v>
      </c>
      <c r="C1612" s="2" t="s">
        <v>1997</v>
      </c>
      <c r="D1612" s="2">
        <f t="shared" ca="1" si="100"/>
        <v>41</v>
      </c>
      <c r="E1612" t="s">
        <v>23</v>
      </c>
      <c r="F1612" t="s">
        <v>944</v>
      </c>
      <c r="G1612" t="s">
        <v>55</v>
      </c>
      <c r="H1612" t="str">
        <f t="shared" si="101"/>
        <v>Cascavel - PR</v>
      </c>
      <c r="I1612" s="1" t="s">
        <v>400</v>
      </c>
      <c r="J1612" s="3">
        <v>75</v>
      </c>
      <c r="K1612" s="4">
        <f t="shared" si="102"/>
        <v>23.148148148148145</v>
      </c>
      <c r="L1612" s="1" t="str">
        <f t="shared" si="103"/>
        <v>Peso ideal - parabéns</v>
      </c>
      <c r="M1612" t="s">
        <v>20</v>
      </c>
    </row>
    <row r="1613" spans="1:13" x14ac:dyDescent="0.25">
      <c r="A1613">
        <v>1612</v>
      </c>
      <c r="B1613" t="s">
        <v>3265</v>
      </c>
      <c r="C1613" s="2" t="s">
        <v>3266</v>
      </c>
      <c r="D1613" s="2">
        <f t="shared" ca="1" si="100"/>
        <v>73</v>
      </c>
      <c r="E1613" t="s">
        <v>23</v>
      </c>
      <c r="F1613" t="s">
        <v>1083</v>
      </c>
      <c r="G1613" t="s">
        <v>65</v>
      </c>
      <c r="H1613" t="str">
        <f t="shared" si="101"/>
        <v>Itabuna - BA</v>
      </c>
      <c r="I1613" s="1" t="s">
        <v>194</v>
      </c>
      <c r="J1613" s="3">
        <v>71</v>
      </c>
      <c r="K1613" s="4">
        <f t="shared" si="102"/>
        <v>20.74506939371804</v>
      </c>
      <c r="L1613" s="1" t="str">
        <f t="shared" si="103"/>
        <v>Peso ideal - parabéns</v>
      </c>
      <c r="M1613" t="s">
        <v>47</v>
      </c>
    </row>
    <row r="1614" spans="1:13" x14ac:dyDescent="0.25">
      <c r="A1614">
        <v>1613</v>
      </c>
      <c r="B1614" t="s">
        <v>823</v>
      </c>
      <c r="C1614" s="2" t="s">
        <v>824</v>
      </c>
      <c r="D1614" s="2">
        <f t="shared" ca="1" si="100"/>
        <v>35</v>
      </c>
      <c r="E1614" t="s">
        <v>23</v>
      </c>
      <c r="F1614" t="s">
        <v>189</v>
      </c>
      <c r="G1614" t="s">
        <v>190</v>
      </c>
      <c r="H1614" t="str">
        <f t="shared" si="101"/>
        <v>Cuiabá - MT</v>
      </c>
      <c r="I1614" s="1" t="s">
        <v>160</v>
      </c>
      <c r="J1614" s="3">
        <v>54</v>
      </c>
      <c r="K1614" s="4">
        <f t="shared" si="102"/>
        <v>15.949905482041586</v>
      </c>
      <c r="L1614" s="1" t="str">
        <f t="shared" si="103"/>
        <v>Muito abaixo do peso</v>
      </c>
      <c r="M1614" t="s">
        <v>14</v>
      </c>
    </row>
    <row r="1615" spans="1:13" x14ac:dyDescent="0.25">
      <c r="A1615">
        <v>1614</v>
      </c>
      <c r="B1615" t="s">
        <v>1752</v>
      </c>
      <c r="C1615" s="2" t="s">
        <v>1753</v>
      </c>
      <c r="D1615" s="2">
        <f t="shared" ca="1" si="100"/>
        <v>74</v>
      </c>
      <c r="E1615" t="s">
        <v>23</v>
      </c>
      <c r="F1615" t="s">
        <v>1754</v>
      </c>
      <c r="G1615" t="s">
        <v>186</v>
      </c>
      <c r="H1615" t="str">
        <f t="shared" si="101"/>
        <v>Governador Valadares - MG</v>
      </c>
      <c r="I1615" s="1" t="s">
        <v>575</v>
      </c>
      <c r="J1615" s="3">
        <v>56</v>
      </c>
      <c r="K1615" s="4">
        <f t="shared" si="102"/>
        <v>22.151022507021082</v>
      </c>
      <c r="L1615" s="1" t="str">
        <f t="shared" si="103"/>
        <v>Peso ideal - parabéns</v>
      </c>
      <c r="M1615" t="s">
        <v>83</v>
      </c>
    </row>
    <row r="1616" spans="1:13" x14ac:dyDescent="0.25">
      <c r="A1616">
        <v>1615</v>
      </c>
      <c r="B1616" t="s">
        <v>1476</v>
      </c>
      <c r="C1616" s="2" t="s">
        <v>1477</v>
      </c>
      <c r="D1616" s="2">
        <f t="shared" ca="1" si="100"/>
        <v>63</v>
      </c>
      <c r="E1616" t="s">
        <v>23</v>
      </c>
      <c r="F1616" t="s">
        <v>405</v>
      </c>
      <c r="G1616" t="s">
        <v>170</v>
      </c>
      <c r="H1616" t="str">
        <f t="shared" si="101"/>
        <v>Palmeira dos Índios - AL</v>
      </c>
      <c r="I1616" s="1" t="s">
        <v>400</v>
      </c>
      <c r="J1616" s="3">
        <v>80</v>
      </c>
      <c r="K1616" s="4">
        <f t="shared" si="102"/>
        <v>24.691358024691358</v>
      </c>
      <c r="L1616" s="1" t="str">
        <f t="shared" si="103"/>
        <v>Peso ideal - parabéns</v>
      </c>
      <c r="M1616" t="s">
        <v>95</v>
      </c>
    </row>
    <row r="1617" spans="1:13" x14ac:dyDescent="0.25">
      <c r="A1617">
        <v>1616</v>
      </c>
      <c r="B1617" t="s">
        <v>1268</v>
      </c>
      <c r="C1617" s="2" t="s">
        <v>1269</v>
      </c>
      <c r="D1617" s="2">
        <f t="shared" ca="1" si="100"/>
        <v>26</v>
      </c>
      <c r="E1617" t="s">
        <v>23</v>
      </c>
      <c r="F1617" t="s">
        <v>656</v>
      </c>
      <c r="G1617" t="s">
        <v>237</v>
      </c>
      <c r="H1617" t="str">
        <f t="shared" si="101"/>
        <v>Picos - PI</v>
      </c>
      <c r="I1617" s="1" t="s">
        <v>71</v>
      </c>
      <c r="J1617" s="3">
        <v>89</v>
      </c>
      <c r="K1617" s="4">
        <f t="shared" si="102"/>
        <v>26.575890590940304</v>
      </c>
      <c r="L1617" s="1" t="str">
        <f t="shared" si="103"/>
        <v>Levemente acima do peso</v>
      </c>
      <c r="M1617" t="s">
        <v>20</v>
      </c>
    </row>
    <row r="1618" spans="1:13" x14ac:dyDescent="0.25">
      <c r="A1618">
        <v>1617</v>
      </c>
      <c r="B1618" t="s">
        <v>3572</v>
      </c>
      <c r="C1618" s="2" t="s">
        <v>3573</v>
      </c>
      <c r="D1618" s="2">
        <f t="shared" ca="1" si="100"/>
        <v>27</v>
      </c>
      <c r="E1618" t="s">
        <v>23</v>
      </c>
      <c r="F1618" t="s">
        <v>1105</v>
      </c>
      <c r="G1618" t="s">
        <v>310</v>
      </c>
      <c r="H1618" t="str">
        <f t="shared" si="101"/>
        <v>Novo Hamburgo - RS</v>
      </c>
      <c r="I1618" s="1" t="s">
        <v>281</v>
      </c>
      <c r="J1618" s="3">
        <v>89</v>
      </c>
      <c r="K1618" s="4">
        <f t="shared" si="102"/>
        <v>33.912513336381643</v>
      </c>
      <c r="L1618" s="1" t="str">
        <f t="shared" si="103"/>
        <v>Obesidade grau I</v>
      </c>
      <c r="M1618" t="s">
        <v>26</v>
      </c>
    </row>
    <row r="1619" spans="1:13" x14ac:dyDescent="0.25">
      <c r="A1619">
        <v>1618</v>
      </c>
      <c r="B1619" t="s">
        <v>3958</v>
      </c>
      <c r="C1619" s="2" t="s">
        <v>3392</v>
      </c>
      <c r="D1619" s="2">
        <f t="shared" ca="1" si="100"/>
        <v>48</v>
      </c>
      <c r="E1619" t="s">
        <v>23</v>
      </c>
      <c r="F1619" t="s">
        <v>321</v>
      </c>
      <c r="G1619" t="s">
        <v>273</v>
      </c>
      <c r="H1619" t="str">
        <f t="shared" si="101"/>
        <v>Cariacica - ES</v>
      </c>
      <c r="I1619" s="1" t="s">
        <v>179</v>
      </c>
      <c r="J1619" s="3">
        <v>75</v>
      </c>
      <c r="K1619" s="4">
        <f t="shared" si="102"/>
        <v>24.772096710265558</v>
      </c>
      <c r="L1619" s="1" t="str">
        <f t="shared" si="103"/>
        <v>Peso ideal - parabéns</v>
      </c>
      <c r="M1619" t="s">
        <v>32</v>
      </c>
    </row>
    <row r="1620" spans="1:13" x14ac:dyDescent="0.25">
      <c r="A1620">
        <v>1619</v>
      </c>
      <c r="B1620" t="s">
        <v>2424</v>
      </c>
      <c r="C1620" s="2" t="s">
        <v>2425</v>
      </c>
      <c r="D1620" s="2">
        <f t="shared" ca="1" si="100"/>
        <v>45</v>
      </c>
      <c r="E1620" t="s">
        <v>23</v>
      </c>
      <c r="F1620" t="s">
        <v>941</v>
      </c>
      <c r="G1620" t="s">
        <v>131</v>
      </c>
      <c r="H1620" t="str">
        <f t="shared" si="101"/>
        <v>Itajaí - SC</v>
      </c>
      <c r="I1620" s="1" t="s">
        <v>582</v>
      </c>
      <c r="J1620" s="3">
        <v>63</v>
      </c>
      <c r="K1620" s="4">
        <f t="shared" si="102"/>
        <v>25.88757396449704</v>
      </c>
      <c r="L1620" s="1" t="str">
        <f t="shared" si="103"/>
        <v>Levemente acima do peso</v>
      </c>
      <c r="M1620" t="s">
        <v>95</v>
      </c>
    </row>
    <row r="1621" spans="1:13" x14ac:dyDescent="0.25">
      <c r="A1621">
        <v>1620</v>
      </c>
      <c r="B1621" t="s">
        <v>1835</v>
      </c>
      <c r="C1621" s="2" t="s">
        <v>1836</v>
      </c>
      <c r="D1621" s="2">
        <f t="shared" ca="1" si="100"/>
        <v>60</v>
      </c>
      <c r="E1621" t="s">
        <v>10</v>
      </c>
      <c r="F1621" t="s">
        <v>74</v>
      </c>
      <c r="G1621" t="s">
        <v>75</v>
      </c>
      <c r="H1621" t="str">
        <f t="shared" si="101"/>
        <v>Macapá - AP</v>
      </c>
      <c r="I1621" s="1" t="s">
        <v>166</v>
      </c>
      <c r="J1621" s="3">
        <v>92</v>
      </c>
      <c r="K1621" s="4">
        <f t="shared" si="102"/>
        <v>32.596371882086174</v>
      </c>
      <c r="L1621" s="1" t="str">
        <f t="shared" si="103"/>
        <v>Obesidade grau I</v>
      </c>
      <c r="M1621" t="s">
        <v>95</v>
      </c>
    </row>
    <row r="1622" spans="1:13" x14ac:dyDescent="0.25">
      <c r="A1622">
        <v>1621</v>
      </c>
      <c r="B1622" t="s">
        <v>3709</v>
      </c>
      <c r="C1622" s="2" t="s">
        <v>3710</v>
      </c>
      <c r="D1622" s="2">
        <f t="shared" ca="1" si="100"/>
        <v>81</v>
      </c>
      <c r="E1622" t="s">
        <v>10</v>
      </c>
      <c r="F1622" t="s">
        <v>59</v>
      </c>
      <c r="G1622" t="s">
        <v>60</v>
      </c>
      <c r="H1622" t="str">
        <f t="shared" si="101"/>
        <v>Palmas - TO</v>
      </c>
      <c r="I1622" s="1" t="s">
        <v>262</v>
      </c>
      <c r="J1622" s="3">
        <v>65</v>
      </c>
      <c r="K1622" s="4">
        <f t="shared" si="102"/>
        <v>18.005540166204987</v>
      </c>
      <c r="L1622" s="1" t="str">
        <f t="shared" si="103"/>
        <v>Abaixo do peso</v>
      </c>
      <c r="M1622" t="s">
        <v>83</v>
      </c>
    </row>
    <row r="1623" spans="1:13" x14ac:dyDescent="0.25">
      <c r="A1623">
        <v>1622</v>
      </c>
      <c r="B1623" t="s">
        <v>1118</v>
      </c>
      <c r="C1623" s="2" t="s">
        <v>1119</v>
      </c>
      <c r="D1623" s="2">
        <f t="shared" ca="1" si="100"/>
        <v>52</v>
      </c>
      <c r="E1623" t="s">
        <v>10</v>
      </c>
      <c r="F1623" t="s">
        <v>564</v>
      </c>
      <c r="G1623" t="s">
        <v>565</v>
      </c>
      <c r="H1623" t="str">
        <f t="shared" si="101"/>
        <v>Rio Branco - AC</v>
      </c>
      <c r="I1623" s="1" t="s">
        <v>255</v>
      </c>
      <c r="J1623" s="3">
        <v>68</v>
      </c>
      <c r="K1623" s="4">
        <f t="shared" si="102"/>
        <v>17.171283553445619</v>
      </c>
      <c r="L1623" s="1" t="str">
        <f t="shared" si="103"/>
        <v>Abaixo do peso</v>
      </c>
      <c r="M1623" t="s">
        <v>20</v>
      </c>
    </row>
    <row r="1624" spans="1:13" x14ac:dyDescent="0.25">
      <c r="A1624">
        <v>1623</v>
      </c>
      <c r="B1624" t="s">
        <v>3262</v>
      </c>
      <c r="C1624" s="2" t="s">
        <v>3263</v>
      </c>
      <c r="D1624" s="2">
        <f t="shared" ca="1" si="100"/>
        <v>72</v>
      </c>
      <c r="E1624" t="s">
        <v>10</v>
      </c>
      <c r="F1624" t="s">
        <v>564</v>
      </c>
      <c r="G1624" t="s">
        <v>565</v>
      </c>
      <c r="H1624" t="str">
        <f t="shared" si="101"/>
        <v>Rio Branco - AC</v>
      </c>
      <c r="I1624" s="1" t="s">
        <v>191</v>
      </c>
      <c r="J1624" s="3">
        <v>50</v>
      </c>
      <c r="K1624" s="4">
        <f t="shared" si="102"/>
        <v>19.531249999999996</v>
      </c>
      <c r="L1624" s="1" t="str">
        <f t="shared" si="103"/>
        <v>Peso ideal - parabéns</v>
      </c>
      <c r="M1624" t="s">
        <v>32</v>
      </c>
    </row>
    <row r="1625" spans="1:13" x14ac:dyDescent="0.25">
      <c r="A1625">
        <v>1624</v>
      </c>
      <c r="B1625" t="s">
        <v>145</v>
      </c>
      <c r="C1625" s="2" t="s">
        <v>146</v>
      </c>
      <c r="D1625" s="2">
        <f t="shared" ca="1" si="100"/>
        <v>46</v>
      </c>
      <c r="E1625" t="s">
        <v>10</v>
      </c>
      <c r="F1625" t="s">
        <v>147</v>
      </c>
      <c r="G1625" t="s">
        <v>55</v>
      </c>
      <c r="H1625" t="str">
        <f t="shared" si="101"/>
        <v>Londrina - PR</v>
      </c>
      <c r="I1625" s="1" t="s">
        <v>148</v>
      </c>
      <c r="J1625" s="3">
        <v>56</v>
      </c>
      <c r="K1625" s="4">
        <f t="shared" si="102"/>
        <v>14.72715318869165</v>
      </c>
      <c r="L1625" s="1" t="str">
        <f t="shared" si="103"/>
        <v>Muito abaixo do peso</v>
      </c>
      <c r="M1625" t="s">
        <v>83</v>
      </c>
    </row>
    <row r="1626" spans="1:13" x14ac:dyDescent="0.25">
      <c r="A1626">
        <v>1625</v>
      </c>
      <c r="B1626" t="s">
        <v>1795</v>
      </c>
      <c r="C1626" s="2" t="s">
        <v>1796</v>
      </c>
      <c r="D1626" s="2">
        <f t="shared" ca="1" si="100"/>
        <v>37</v>
      </c>
      <c r="E1626" t="s">
        <v>10</v>
      </c>
      <c r="F1626" t="s">
        <v>897</v>
      </c>
      <c r="G1626" t="s">
        <v>51</v>
      </c>
      <c r="H1626" t="str">
        <f t="shared" si="101"/>
        <v>Angra dos Reis - RJ</v>
      </c>
      <c r="I1626" s="1" t="s">
        <v>155</v>
      </c>
      <c r="J1626" s="3">
        <v>57</v>
      </c>
      <c r="K1626" s="4">
        <f t="shared" si="102"/>
        <v>17.208066658616108</v>
      </c>
      <c r="L1626" s="1" t="str">
        <f t="shared" si="103"/>
        <v>Abaixo do peso</v>
      </c>
      <c r="M1626" t="s">
        <v>26</v>
      </c>
    </row>
    <row r="1627" spans="1:13" x14ac:dyDescent="0.25">
      <c r="A1627">
        <v>1626</v>
      </c>
      <c r="B1627" t="s">
        <v>2433</v>
      </c>
      <c r="C1627" s="2" t="s">
        <v>2434</v>
      </c>
      <c r="D1627" s="2">
        <f t="shared" ca="1" si="100"/>
        <v>54</v>
      </c>
      <c r="E1627" t="s">
        <v>10</v>
      </c>
      <c r="F1627" t="s">
        <v>158</v>
      </c>
      <c r="G1627" t="s">
        <v>159</v>
      </c>
      <c r="H1627" t="str">
        <f t="shared" si="101"/>
        <v>Brasília - DF</v>
      </c>
      <c r="I1627" s="1" t="s">
        <v>56</v>
      </c>
      <c r="J1627" s="3">
        <v>94</v>
      </c>
      <c r="K1627" s="4">
        <f t="shared" si="102"/>
        <v>32.912012884702918</v>
      </c>
      <c r="L1627" s="1" t="str">
        <f t="shared" si="103"/>
        <v>Obesidade grau I</v>
      </c>
      <c r="M1627" t="s">
        <v>20</v>
      </c>
    </row>
    <row r="1628" spans="1:13" x14ac:dyDescent="0.25">
      <c r="A1628">
        <v>1627</v>
      </c>
      <c r="B1628" t="s">
        <v>529</v>
      </c>
      <c r="C1628" s="2" t="s">
        <v>530</v>
      </c>
      <c r="D1628" s="2">
        <f t="shared" ca="1" si="100"/>
        <v>44</v>
      </c>
      <c r="E1628" t="s">
        <v>10</v>
      </c>
      <c r="F1628" t="s">
        <v>169</v>
      </c>
      <c r="G1628" t="s">
        <v>170</v>
      </c>
      <c r="H1628" t="str">
        <f t="shared" si="101"/>
        <v>Maceió - AL</v>
      </c>
      <c r="I1628" s="1" t="s">
        <v>281</v>
      </c>
      <c r="J1628" s="3">
        <v>73</v>
      </c>
      <c r="K1628" s="4">
        <f t="shared" si="102"/>
        <v>27.815881725346742</v>
      </c>
      <c r="L1628" s="1" t="str">
        <f t="shared" si="103"/>
        <v>Levemente acima do peso</v>
      </c>
      <c r="M1628" t="s">
        <v>20</v>
      </c>
    </row>
    <row r="1629" spans="1:13" x14ac:dyDescent="0.25">
      <c r="A1629">
        <v>1628</v>
      </c>
      <c r="B1629" t="s">
        <v>4030</v>
      </c>
      <c r="C1629" s="2" t="s">
        <v>3863</v>
      </c>
      <c r="D1629" s="2">
        <f t="shared" ca="1" si="100"/>
        <v>44</v>
      </c>
      <c r="E1629" t="s">
        <v>10</v>
      </c>
      <c r="F1629" t="s">
        <v>169</v>
      </c>
      <c r="G1629" t="s">
        <v>170</v>
      </c>
      <c r="H1629" t="str">
        <f t="shared" si="101"/>
        <v>Maceió - AL</v>
      </c>
      <c r="I1629" s="1" t="s">
        <v>447</v>
      </c>
      <c r="J1629" s="3">
        <v>80</v>
      </c>
      <c r="K1629" s="4">
        <f t="shared" si="102"/>
        <v>26.122448979591837</v>
      </c>
      <c r="L1629" s="1" t="str">
        <f t="shared" si="103"/>
        <v>Levemente acima do peso</v>
      </c>
      <c r="M1629" t="s">
        <v>95</v>
      </c>
    </row>
    <row r="1630" spans="1:13" x14ac:dyDescent="0.25">
      <c r="A1630">
        <v>1629</v>
      </c>
      <c r="B1630" t="s">
        <v>3171</v>
      </c>
      <c r="C1630" s="2" t="s">
        <v>3172</v>
      </c>
      <c r="D1630" s="2">
        <f t="shared" ca="1" si="100"/>
        <v>26</v>
      </c>
      <c r="E1630" t="s">
        <v>10</v>
      </c>
      <c r="F1630" t="s">
        <v>3173</v>
      </c>
      <c r="G1630" t="s">
        <v>310</v>
      </c>
      <c r="H1630" t="str">
        <f t="shared" si="101"/>
        <v>Santa Cruz do Sul - RS</v>
      </c>
      <c r="I1630" s="1" t="s">
        <v>117</v>
      </c>
      <c r="J1630" s="3">
        <v>102</v>
      </c>
      <c r="K1630" s="4">
        <f t="shared" si="102"/>
        <v>32.192904936245419</v>
      </c>
      <c r="L1630" s="1" t="str">
        <f t="shared" si="103"/>
        <v>Obesidade grau I</v>
      </c>
      <c r="M1630" t="s">
        <v>14</v>
      </c>
    </row>
    <row r="1631" spans="1:13" x14ac:dyDescent="0.25">
      <c r="A1631">
        <v>1630</v>
      </c>
      <c r="B1631" t="s">
        <v>1452</v>
      </c>
      <c r="C1631" s="2" t="s">
        <v>1453</v>
      </c>
      <c r="D1631" s="2">
        <f t="shared" ca="1" si="100"/>
        <v>82</v>
      </c>
      <c r="E1631" t="s">
        <v>23</v>
      </c>
      <c r="F1631" t="s">
        <v>189</v>
      </c>
      <c r="G1631" t="s">
        <v>190</v>
      </c>
      <c r="H1631" t="str">
        <f t="shared" si="101"/>
        <v>Cuiabá - MT</v>
      </c>
      <c r="I1631" s="1" t="s">
        <v>484</v>
      </c>
      <c r="J1631" s="3">
        <v>67</v>
      </c>
      <c r="K1631" s="4">
        <f t="shared" si="102"/>
        <v>27.887617065556707</v>
      </c>
      <c r="L1631" s="1" t="str">
        <f t="shared" si="103"/>
        <v>Levemente acima do peso</v>
      </c>
      <c r="M1631" t="s">
        <v>76</v>
      </c>
    </row>
    <row r="1632" spans="1:13" x14ac:dyDescent="0.25">
      <c r="A1632">
        <v>1631</v>
      </c>
      <c r="B1632" t="s">
        <v>120</v>
      </c>
      <c r="C1632" s="2" t="s">
        <v>121</v>
      </c>
      <c r="D1632" s="2">
        <f t="shared" ca="1" si="100"/>
        <v>22</v>
      </c>
      <c r="E1632" t="s">
        <v>23</v>
      </c>
      <c r="F1632" t="s">
        <v>122</v>
      </c>
      <c r="G1632" t="s">
        <v>103</v>
      </c>
      <c r="H1632" t="str">
        <f t="shared" si="101"/>
        <v>Salto - SP</v>
      </c>
      <c r="I1632" s="1" t="s">
        <v>123</v>
      </c>
      <c r="J1632" s="3">
        <v>85</v>
      </c>
      <c r="K1632" s="4">
        <f t="shared" si="102"/>
        <v>27.440599173553721</v>
      </c>
      <c r="L1632" s="1" t="str">
        <f t="shared" si="103"/>
        <v>Levemente acima do peso</v>
      </c>
      <c r="M1632" t="s">
        <v>47</v>
      </c>
    </row>
    <row r="1633" spans="1:13" x14ac:dyDescent="0.25">
      <c r="A1633">
        <v>1632</v>
      </c>
      <c r="B1633" t="s">
        <v>1174</v>
      </c>
      <c r="C1633" s="2" t="s">
        <v>1175</v>
      </c>
      <c r="D1633" s="2">
        <f t="shared" ca="1" si="100"/>
        <v>63</v>
      </c>
      <c r="E1633" t="s">
        <v>23</v>
      </c>
      <c r="F1633" t="s">
        <v>69</v>
      </c>
      <c r="G1633" t="s">
        <v>70</v>
      </c>
      <c r="H1633" t="str">
        <f t="shared" si="101"/>
        <v>Aracaju - SE</v>
      </c>
      <c r="I1633" s="1" t="s">
        <v>19</v>
      </c>
      <c r="J1633" s="3">
        <v>85</v>
      </c>
      <c r="K1633" s="4">
        <f t="shared" si="102"/>
        <v>27.13141179099237</v>
      </c>
      <c r="L1633" s="1" t="str">
        <f t="shared" si="103"/>
        <v>Levemente acima do peso</v>
      </c>
      <c r="M1633" t="s">
        <v>26</v>
      </c>
    </row>
    <row r="1634" spans="1:13" x14ac:dyDescent="0.25">
      <c r="A1634">
        <v>1633</v>
      </c>
      <c r="B1634" t="s">
        <v>2611</v>
      </c>
      <c r="C1634" s="2" t="s">
        <v>2612</v>
      </c>
      <c r="D1634" s="2">
        <f t="shared" ca="1" si="100"/>
        <v>77</v>
      </c>
      <c r="E1634" t="s">
        <v>23</v>
      </c>
      <c r="F1634" t="s">
        <v>244</v>
      </c>
      <c r="G1634" t="s">
        <v>60</v>
      </c>
      <c r="H1634" t="str">
        <f t="shared" si="101"/>
        <v>Araguaína - TO</v>
      </c>
      <c r="I1634" s="1" t="s">
        <v>94</v>
      </c>
      <c r="J1634" s="3">
        <v>80</v>
      </c>
      <c r="K1634" s="4">
        <f t="shared" si="102"/>
        <v>26.729927495071667</v>
      </c>
      <c r="L1634" s="1" t="str">
        <f t="shared" si="103"/>
        <v>Levemente acima do peso</v>
      </c>
      <c r="M1634" t="s">
        <v>83</v>
      </c>
    </row>
    <row r="1635" spans="1:13" x14ac:dyDescent="0.25">
      <c r="A1635">
        <v>1634</v>
      </c>
      <c r="B1635" t="s">
        <v>614</v>
      </c>
      <c r="C1635" s="2" t="s">
        <v>615</v>
      </c>
      <c r="D1635" s="2">
        <f t="shared" ca="1" si="100"/>
        <v>47</v>
      </c>
      <c r="E1635" t="s">
        <v>10</v>
      </c>
      <c r="F1635" t="s">
        <v>616</v>
      </c>
      <c r="G1635" t="s">
        <v>273</v>
      </c>
      <c r="H1635" t="str">
        <f t="shared" si="101"/>
        <v>Serra - ES</v>
      </c>
      <c r="I1635" s="1" t="s">
        <v>94</v>
      </c>
      <c r="J1635" s="3">
        <v>70</v>
      </c>
      <c r="K1635" s="4">
        <f t="shared" si="102"/>
        <v>23.388686558187711</v>
      </c>
      <c r="L1635" s="1" t="str">
        <f t="shared" si="103"/>
        <v>Peso ideal - parabéns</v>
      </c>
      <c r="M1635" t="s">
        <v>83</v>
      </c>
    </row>
    <row r="1636" spans="1:13" x14ac:dyDescent="0.25">
      <c r="A1636">
        <v>1635</v>
      </c>
      <c r="B1636" t="s">
        <v>2806</v>
      </c>
      <c r="C1636" s="2" t="s">
        <v>2807</v>
      </c>
      <c r="D1636" s="2">
        <f t="shared" ca="1" si="100"/>
        <v>50</v>
      </c>
      <c r="E1636" t="s">
        <v>10</v>
      </c>
      <c r="F1636" t="s">
        <v>736</v>
      </c>
      <c r="G1636" t="s">
        <v>190</v>
      </c>
      <c r="H1636" t="str">
        <f t="shared" si="101"/>
        <v>Sinop - MT</v>
      </c>
      <c r="I1636" s="1" t="s">
        <v>201</v>
      </c>
      <c r="J1636" s="3">
        <v>68</v>
      </c>
      <c r="K1636" s="4">
        <f t="shared" si="102"/>
        <v>17.700957934194086</v>
      </c>
      <c r="L1636" s="1" t="str">
        <f t="shared" si="103"/>
        <v>Abaixo do peso</v>
      </c>
      <c r="M1636" t="s">
        <v>26</v>
      </c>
    </row>
    <row r="1637" spans="1:13" x14ac:dyDescent="0.25">
      <c r="A1637">
        <v>1636</v>
      </c>
      <c r="B1637" t="s">
        <v>4139</v>
      </c>
      <c r="C1637" s="2" t="s">
        <v>3632</v>
      </c>
      <c r="D1637" s="2">
        <f t="shared" ca="1" si="100"/>
        <v>71</v>
      </c>
      <c r="E1637" t="s">
        <v>10</v>
      </c>
      <c r="F1637" t="s">
        <v>1737</v>
      </c>
      <c r="G1637" t="s">
        <v>65</v>
      </c>
      <c r="H1637" t="str">
        <f t="shared" si="101"/>
        <v>Santo Antônio de Jesus - BA</v>
      </c>
      <c r="I1637" s="1" t="s">
        <v>694</v>
      </c>
      <c r="J1637" s="3">
        <v>70</v>
      </c>
      <c r="K1637" s="4">
        <f t="shared" si="102"/>
        <v>20.233553011908889</v>
      </c>
      <c r="L1637" s="1" t="str">
        <f t="shared" si="103"/>
        <v>Peso ideal - parabéns</v>
      </c>
      <c r="M1637" t="s">
        <v>76</v>
      </c>
    </row>
    <row r="1638" spans="1:13" x14ac:dyDescent="0.25">
      <c r="A1638">
        <v>1637</v>
      </c>
      <c r="B1638" t="s">
        <v>2903</v>
      </c>
      <c r="C1638" s="2" t="s">
        <v>2354</v>
      </c>
      <c r="D1638" s="2">
        <f t="shared" ca="1" si="100"/>
        <v>43</v>
      </c>
      <c r="E1638" t="s">
        <v>10</v>
      </c>
      <c r="F1638" t="s">
        <v>775</v>
      </c>
      <c r="G1638" t="s">
        <v>51</v>
      </c>
      <c r="H1638" t="str">
        <f t="shared" si="101"/>
        <v>Rio de Janeiro - RJ</v>
      </c>
      <c r="I1638" s="1" t="s">
        <v>255</v>
      </c>
      <c r="J1638" s="3">
        <v>84</v>
      </c>
      <c r="K1638" s="4">
        <f t="shared" si="102"/>
        <v>21.211585566021061</v>
      </c>
      <c r="L1638" s="1" t="str">
        <f t="shared" si="103"/>
        <v>Peso ideal - parabéns</v>
      </c>
      <c r="M1638" t="s">
        <v>26</v>
      </c>
    </row>
    <row r="1639" spans="1:13" x14ac:dyDescent="0.25">
      <c r="A1639">
        <v>1638</v>
      </c>
      <c r="B1639" t="s">
        <v>4012</v>
      </c>
      <c r="C1639" s="2" t="s">
        <v>4013</v>
      </c>
      <c r="D1639" s="2">
        <f t="shared" ca="1" si="100"/>
        <v>31</v>
      </c>
      <c r="E1639" t="s">
        <v>10</v>
      </c>
      <c r="F1639" t="s">
        <v>1040</v>
      </c>
      <c r="G1639" t="s">
        <v>55</v>
      </c>
      <c r="H1639" t="str">
        <f t="shared" si="101"/>
        <v>Foz do Iguaçu - PR</v>
      </c>
      <c r="I1639" s="1" t="s">
        <v>171</v>
      </c>
      <c r="J1639" s="3">
        <v>66</v>
      </c>
      <c r="K1639" s="4">
        <f t="shared" si="102"/>
        <v>23.665244361576249</v>
      </c>
      <c r="L1639" s="1" t="str">
        <f t="shared" si="103"/>
        <v>Peso ideal - parabéns</v>
      </c>
      <c r="M1639" t="s">
        <v>26</v>
      </c>
    </row>
    <row r="1640" spans="1:13" x14ac:dyDescent="0.25">
      <c r="A1640">
        <v>1639</v>
      </c>
      <c r="B1640" t="s">
        <v>911</v>
      </c>
      <c r="C1640" s="2" t="s">
        <v>912</v>
      </c>
      <c r="D1640" s="2">
        <f t="shared" ca="1" si="100"/>
        <v>41</v>
      </c>
      <c r="E1640" t="s">
        <v>10</v>
      </c>
      <c r="F1640" t="s">
        <v>383</v>
      </c>
      <c r="G1640" t="s">
        <v>237</v>
      </c>
      <c r="H1640" t="str">
        <f t="shared" si="101"/>
        <v>Parnaíba - PI</v>
      </c>
      <c r="I1640" s="1" t="s">
        <v>61</v>
      </c>
      <c r="J1640" s="3">
        <v>52</v>
      </c>
      <c r="K1640" s="4">
        <f t="shared" si="102"/>
        <v>14.557263234511913</v>
      </c>
      <c r="L1640" s="1" t="str">
        <f t="shared" si="103"/>
        <v>Muito abaixo do peso</v>
      </c>
      <c r="M1640" t="s">
        <v>14</v>
      </c>
    </row>
    <row r="1641" spans="1:13" x14ac:dyDescent="0.25">
      <c r="A1641">
        <v>1640</v>
      </c>
      <c r="B1641" t="s">
        <v>642</v>
      </c>
      <c r="C1641" s="2" t="s">
        <v>643</v>
      </c>
      <c r="D1641" s="2">
        <f t="shared" ca="1" si="100"/>
        <v>36</v>
      </c>
      <c r="E1641" t="s">
        <v>10</v>
      </c>
      <c r="F1641" t="s">
        <v>45</v>
      </c>
      <c r="G1641" t="s">
        <v>46</v>
      </c>
      <c r="H1641" t="str">
        <f t="shared" si="101"/>
        <v>Goiânia - GO</v>
      </c>
      <c r="I1641" s="1" t="s">
        <v>386</v>
      </c>
      <c r="J1641" s="3">
        <v>81</v>
      </c>
      <c r="K1641" s="4">
        <f t="shared" si="102"/>
        <v>29.3946871824648</v>
      </c>
      <c r="L1641" s="1" t="str">
        <f t="shared" si="103"/>
        <v>Levemente acima do peso</v>
      </c>
      <c r="M1641" t="s">
        <v>14</v>
      </c>
    </row>
    <row r="1642" spans="1:13" x14ac:dyDescent="0.25">
      <c r="A1642">
        <v>1641</v>
      </c>
      <c r="B1642" t="s">
        <v>4160</v>
      </c>
      <c r="C1642" s="2" t="s">
        <v>3865</v>
      </c>
      <c r="D1642" s="2">
        <f t="shared" ca="1" si="100"/>
        <v>64</v>
      </c>
      <c r="E1642" t="s">
        <v>10</v>
      </c>
      <c r="F1642" t="s">
        <v>126</v>
      </c>
      <c r="G1642" t="s">
        <v>127</v>
      </c>
      <c r="H1642" t="str">
        <f t="shared" si="101"/>
        <v>Boa Vista - RR</v>
      </c>
      <c r="I1642" s="1" t="s">
        <v>108</v>
      </c>
      <c r="J1642" s="3">
        <v>64</v>
      </c>
      <c r="K1642" s="4">
        <f t="shared" si="102"/>
        <v>17.543378745100188</v>
      </c>
      <c r="L1642" s="1" t="str">
        <f t="shared" si="103"/>
        <v>Abaixo do peso</v>
      </c>
      <c r="M1642" t="s">
        <v>95</v>
      </c>
    </row>
    <row r="1643" spans="1:13" x14ac:dyDescent="0.25">
      <c r="A1643">
        <v>1642</v>
      </c>
      <c r="B1643" t="s">
        <v>2878</v>
      </c>
      <c r="C1643" s="2" t="s">
        <v>2879</v>
      </c>
      <c r="D1643" s="2">
        <f t="shared" ca="1" si="100"/>
        <v>58</v>
      </c>
      <c r="E1643" t="s">
        <v>10</v>
      </c>
      <c r="F1643" t="s">
        <v>1083</v>
      </c>
      <c r="G1643" t="s">
        <v>65</v>
      </c>
      <c r="H1643" t="str">
        <f t="shared" si="101"/>
        <v>Itabuna - BA</v>
      </c>
      <c r="I1643" s="1" t="s">
        <v>179</v>
      </c>
      <c r="J1643" s="3">
        <v>107</v>
      </c>
      <c r="K1643" s="4">
        <f t="shared" si="102"/>
        <v>35.341524639978857</v>
      </c>
      <c r="L1643" s="1" t="str">
        <f t="shared" si="103"/>
        <v>Obesidade grau II - severa</v>
      </c>
      <c r="M1643" t="s">
        <v>14</v>
      </c>
    </row>
    <row r="1644" spans="1:13" x14ac:dyDescent="0.25">
      <c r="A1644">
        <v>1643</v>
      </c>
      <c r="B1644" t="s">
        <v>1248</v>
      </c>
      <c r="C1644" s="2" t="s">
        <v>1249</v>
      </c>
      <c r="D1644" s="2">
        <f t="shared" ca="1" si="100"/>
        <v>47</v>
      </c>
      <c r="E1644" t="s">
        <v>23</v>
      </c>
      <c r="F1644" t="s">
        <v>29</v>
      </c>
      <c r="G1644" t="s">
        <v>30</v>
      </c>
      <c r="H1644" t="str">
        <f t="shared" si="101"/>
        <v>Cacoal - RO</v>
      </c>
      <c r="I1644" s="1" t="s">
        <v>386</v>
      </c>
      <c r="J1644" s="3">
        <v>87</v>
      </c>
      <c r="K1644" s="4">
        <f t="shared" si="102"/>
        <v>31.572071418202935</v>
      </c>
      <c r="L1644" s="1" t="str">
        <f t="shared" si="103"/>
        <v>Obesidade grau I</v>
      </c>
      <c r="M1644" t="s">
        <v>32</v>
      </c>
    </row>
    <row r="1645" spans="1:13" x14ac:dyDescent="0.25">
      <c r="A1645">
        <v>1644</v>
      </c>
      <c r="B1645" t="s">
        <v>3157</v>
      </c>
      <c r="C1645" s="2" t="s">
        <v>3158</v>
      </c>
      <c r="D1645" s="2">
        <f t="shared" ca="1" si="100"/>
        <v>46</v>
      </c>
      <c r="E1645" t="s">
        <v>23</v>
      </c>
      <c r="F1645" t="s">
        <v>422</v>
      </c>
      <c r="G1645" t="s">
        <v>65</v>
      </c>
      <c r="H1645" t="str">
        <f t="shared" si="101"/>
        <v>Feira de Santana - BA</v>
      </c>
      <c r="I1645" s="1" t="s">
        <v>386</v>
      </c>
      <c r="J1645" s="3">
        <v>85</v>
      </c>
      <c r="K1645" s="4">
        <f t="shared" si="102"/>
        <v>30.84627667295689</v>
      </c>
      <c r="L1645" s="1" t="str">
        <f t="shared" si="103"/>
        <v>Obesidade grau I</v>
      </c>
      <c r="M1645" t="s">
        <v>47</v>
      </c>
    </row>
    <row r="1646" spans="1:13" x14ac:dyDescent="0.25">
      <c r="A1646">
        <v>1645</v>
      </c>
      <c r="B1646" t="s">
        <v>1418</v>
      </c>
      <c r="C1646" s="2" t="s">
        <v>1419</v>
      </c>
      <c r="D1646" s="2">
        <f t="shared" ca="1" si="100"/>
        <v>25</v>
      </c>
      <c r="E1646" t="s">
        <v>23</v>
      </c>
      <c r="F1646" t="s">
        <v>59</v>
      </c>
      <c r="G1646" t="s">
        <v>60</v>
      </c>
      <c r="H1646" t="str">
        <f t="shared" si="101"/>
        <v>Palmas - TO</v>
      </c>
      <c r="I1646" s="1" t="s">
        <v>416</v>
      </c>
      <c r="J1646" s="3">
        <v>88</v>
      </c>
      <c r="K1646" s="4">
        <f t="shared" si="102"/>
        <v>33.949307511284282</v>
      </c>
      <c r="L1646" s="1" t="str">
        <f t="shared" si="103"/>
        <v>Obesidade grau I</v>
      </c>
      <c r="M1646" t="s">
        <v>32</v>
      </c>
    </row>
    <row r="1647" spans="1:13" x14ac:dyDescent="0.25">
      <c r="A1647">
        <v>1646</v>
      </c>
      <c r="B1647" t="s">
        <v>3934</v>
      </c>
      <c r="C1647" s="2" t="s">
        <v>3935</v>
      </c>
      <c r="D1647" s="2">
        <f t="shared" ca="1" si="100"/>
        <v>19</v>
      </c>
      <c r="E1647" t="s">
        <v>23</v>
      </c>
      <c r="F1647" t="s">
        <v>126</v>
      </c>
      <c r="G1647" t="s">
        <v>127</v>
      </c>
      <c r="H1647" t="str">
        <f t="shared" si="101"/>
        <v>Boa Vista - RR</v>
      </c>
      <c r="I1647" s="1" t="s">
        <v>209</v>
      </c>
      <c r="J1647" s="3">
        <v>45</v>
      </c>
      <c r="K1647" s="4">
        <f t="shared" si="102"/>
        <v>18.974531961544947</v>
      </c>
      <c r="L1647" s="1" t="str">
        <f t="shared" si="103"/>
        <v>Peso ideal - parabéns</v>
      </c>
      <c r="M1647" t="s">
        <v>26</v>
      </c>
    </row>
    <row r="1648" spans="1:13" x14ac:dyDescent="0.25">
      <c r="A1648">
        <v>1647</v>
      </c>
      <c r="B1648" t="s">
        <v>4177</v>
      </c>
      <c r="C1648" s="2" t="s">
        <v>4178</v>
      </c>
      <c r="D1648" s="2">
        <f t="shared" ca="1" si="100"/>
        <v>24</v>
      </c>
      <c r="E1648" t="s">
        <v>23</v>
      </c>
      <c r="F1648" t="s">
        <v>357</v>
      </c>
      <c r="G1648" t="s">
        <v>131</v>
      </c>
      <c r="H1648" t="str">
        <f t="shared" si="101"/>
        <v>São José - SC</v>
      </c>
      <c r="I1648" s="1" t="s">
        <v>71</v>
      </c>
      <c r="J1648" s="3">
        <v>86</v>
      </c>
      <c r="K1648" s="4">
        <f t="shared" si="102"/>
        <v>25.680074054167036</v>
      </c>
      <c r="L1648" s="1" t="str">
        <f t="shared" si="103"/>
        <v>Levemente acima do peso</v>
      </c>
      <c r="M1648" t="s">
        <v>32</v>
      </c>
    </row>
    <row r="1649" spans="1:13" x14ac:dyDescent="0.25">
      <c r="A1649">
        <v>1648</v>
      </c>
      <c r="B1649" t="s">
        <v>3260</v>
      </c>
      <c r="C1649" s="2" t="s">
        <v>3261</v>
      </c>
      <c r="D1649" s="2">
        <f t="shared" ca="1" si="100"/>
        <v>48</v>
      </c>
      <c r="E1649" t="s">
        <v>23</v>
      </c>
      <c r="F1649" t="s">
        <v>40</v>
      </c>
      <c r="G1649" t="s">
        <v>41</v>
      </c>
      <c r="H1649" t="str">
        <f t="shared" si="101"/>
        <v>Campina Grande - PB</v>
      </c>
      <c r="I1649" s="1" t="s">
        <v>71</v>
      </c>
      <c r="J1649" s="3">
        <v>88</v>
      </c>
      <c r="K1649" s="4">
        <f t="shared" si="102"/>
        <v>26.277285078682549</v>
      </c>
      <c r="L1649" s="1" t="str">
        <f t="shared" si="103"/>
        <v>Levemente acima do peso</v>
      </c>
      <c r="M1649" t="s">
        <v>14</v>
      </c>
    </row>
    <row r="1650" spans="1:13" x14ac:dyDescent="0.25">
      <c r="A1650">
        <v>1649</v>
      </c>
      <c r="B1650" t="s">
        <v>358</v>
      </c>
      <c r="C1650" s="2" t="s">
        <v>359</v>
      </c>
      <c r="D1650" s="2">
        <f t="shared" ca="1" si="100"/>
        <v>36</v>
      </c>
      <c r="E1650" t="s">
        <v>23</v>
      </c>
      <c r="F1650" t="s">
        <v>126</v>
      </c>
      <c r="G1650" t="s">
        <v>127</v>
      </c>
      <c r="H1650" t="str">
        <f t="shared" si="101"/>
        <v>Boa Vista - RR</v>
      </c>
      <c r="I1650" s="1" t="s">
        <v>360</v>
      </c>
      <c r="J1650" s="3">
        <v>84</v>
      </c>
      <c r="K1650" s="4">
        <f t="shared" si="102"/>
        <v>33.648453773433737</v>
      </c>
      <c r="L1650" s="1" t="str">
        <f t="shared" si="103"/>
        <v>Obesidade grau I</v>
      </c>
      <c r="M1650" t="s">
        <v>47</v>
      </c>
    </row>
    <row r="1651" spans="1:13" x14ac:dyDescent="0.25">
      <c r="A1651">
        <v>1650</v>
      </c>
      <c r="B1651" t="s">
        <v>1355</v>
      </c>
      <c r="C1651" s="2" t="s">
        <v>1356</v>
      </c>
      <c r="D1651" s="2">
        <f t="shared" ca="1" si="100"/>
        <v>24</v>
      </c>
      <c r="E1651" t="s">
        <v>23</v>
      </c>
      <c r="F1651" t="s">
        <v>147</v>
      </c>
      <c r="G1651" t="s">
        <v>55</v>
      </c>
      <c r="H1651" t="str">
        <f t="shared" si="101"/>
        <v>Londrina - PR</v>
      </c>
      <c r="I1651" s="1" t="s">
        <v>484</v>
      </c>
      <c r="J1651" s="3">
        <v>55</v>
      </c>
      <c r="K1651" s="4">
        <f t="shared" si="102"/>
        <v>22.892819979188342</v>
      </c>
      <c r="L1651" s="1" t="str">
        <f t="shared" si="103"/>
        <v>Peso ideal - parabéns</v>
      </c>
      <c r="M1651" t="s">
        <v>32</v>
      </c>
    </row>
    <row r="1652" spans="1:13" x14ac:dyDescent="0.25">
      <c r="A1652">
        <v>1651</v>
      </c>
      <c r="B1652" t="s">
        <v>4133</v>
      </c>
      <c r="C1652" s="2" t="s">
        <v>4134</v>
      </c>
      <c r="D1652" s="2">
        <f t="shared" ca="1" si="100"/>
        <v>19</v>
      </c>
      <c r="E1652" t="s">
        <v>23</v>
      </c>
      <c r="F1652" t="s">
        <v>64</v>
      </c>
      <c r="G1652" t="s">
        <v>65</v>
      </c>
      <c r="H1652" t="str">
        <f t="shared" si="101"/>
        <v>Salvador - BA</v>
      </c>
      <c r="I1652" s="1" t="s">
        <v>281</v>
      </c>
      <c r="J1652" s="3">
        <v>78</v>
      </c>
      <c r="K1652" s="4">
        <f t="shared" si="102"/>
        <v>29.721079103795148</v>
      </c>
      <c r="L1652" s="1" t="str">
        <f t="shared" si="103"/>
        <v>Levemente acima do peso</v>
      </c>
      <c r="M1652" t="s">
        <v>26</v>
      </c>
    </row>
    <row r="1653" spans="1:13" x14ac:dyDescent="0.25">
      <c r="A1653">
        <v>1652</v>
      </c>
      <c r="B1653" t="s">
        <v>2752</v>
      </c>
      <c r="C1653" s="2" t="s">
        <v>2753</v>
      </c>
      <c r="D1653" s="2">
        <f t="shared" ca="1" si="100"/>
        <v>79</v>
      </c>
      <c r="E1653" t="s">
        <v>23</v>
      </c>
      <c r="F1653" t="s">
        <v>64</v>
      </c>
      <c r="G1653" t="s">
        <v>65</v>
      </c>
      <c r="H1653" t="str">
        <f t="shared" si="101"/>
        <v>Salvador - BA</v>
      </c>
      <c r="I1653" s="1" t="s">
        <v>416</v>
      </c>
      <c r="J1653" s="3">
        <v>63</v>
      </c>
      <c r="K1653" s="4">
        <f t="shared" si="102"/>
        <v>24.304617877396701</v>
      </c>
      <c r="L1653" s="1" t="str">
        <f t="shared" si="103"/>
        <v>Peso ideal - parabéns</v>
      </c>
      <c r="M1653" t="s">
        <v>76</v>
      </c>
    </row>
    <row r="1654" spans="1:13" x14ac:dyDescent="0.25">
      <c r="A1654">
        <v>1653</v>
      </c>
      <c r="B1654" t="s">
        <v>879</v>
      </c>
      <c r="C1654" s="2" t="s">
        <v>880</v>
      </c>
      <c r="D1654" s="2">
        <f t="shared" ca="1" si="100"/>
        <v>58</v>
      </c>
      <c r="E1654" t="s">
        <v>23</v>
      </c>
      <c r="F1654" t="s">
        <v>419</v>
      </c>
      <c r="G1654" t="s">
        <v>25</v>
      </c>
      <c r="H1654" t="str">
        <f t="shared" si="101"/>
        <v>Mossoró - RN</v>
      </c>
      <c r="I1654" s="1" t="s">
        <v>56</v>
      </c>
      <c r="J1654" s="3">
        <v>83</v>
      </c>
      <c r="K1654" s="4">
        <f t="shared" si="102"/>
        <v>29.060607121599386</v>
      </c>
      <c r="L1654" s="1" t="str">
        <f t="shared" si="103"/>
        <v>Levemente acima do peso</v>
      </c>
      <c r="M1654" t="s">
        <v>95</v>
      </c>
    </row>
    <row r="1655" spans="1:13" x14ac:dyDescent="0.25">
      <c r="A1655">
        <v>1654</v>
      </c>
      <c r="B1655" t="s">
        <v>2982</v>
      </c>
      <c r="C1655" s="2" t="s">
        <v>2983</v>
      </c>
      <c r="D1655" s="2">
        <f t="shared" ca="1" si="100"/>
        <v>65</v>
      </c>
      <c r="E1655" t="s">
        <v>23</v>
      </c>
      <c r="F1655" t="s">
        <v>107</v>
      </c>
      <c r="G1655" t="s">
        <v>36</v>
      </c>
      <c r="H1655" t="str">
        <f t="shared" si="101"/>
        <v>São Luís - MA</v>
      </c>
      <c r="I1655" s="1" t="s">
        <v>191</v>
      </c>
      <c r="J1655" s="3">
        <v>65</v>
      </c>
      <c r="K1655" s="4">
        <f t="shared" si="102"/>
        <v>25.390624999999996</v>
      </c>
      <c r="L1655" s="1" t="str">
        <f t="shared" si="103"/>
        <v>Levemente acima do peso</v>
      </c>
      <c r="M1655" t="s">
        <v>83</v>
      </c>
    </row>
    <row r="1656" spans="1:13" x14ac:dyDescent="0.25">
      <c r="A1656">
        <v>1655</v>
      </c>
      <c r="B1656" t="s">
        <v>3787</v>
      </c>
      <c r="C1656" s="2" t="s">
        <v>3754</v>
      </c>
      <c r="D1656" s="2">
        <f t="shared" ca="1" si="100"/>
        <v>51</v>
      </c>
      <c r="E1656" t="s">
        <v>23</v>
      </c>
      <c r="F1656" t="s">
        <v>169</v>
      </c>
      <c r="G1656" t="s">
        <v>170</v>
      </c>
      <c r="H1656" t="str">
        <f t="shared" si="101"/>
        <v>Maceió - AL</v>
      </c>
      <c r="I1656" s="1" t="s">
        <v>281</v>
      </c>
      <c r="J1656" s="3">
        <v>90</v>
      </c>
      <c r="K1656" s="4">
        <f t="shared" si="102"/>
        <v>34.293552812071326</v>
      </c>
      <c r="L1656" s="1" t="str">
        <f t="shared" si="103"/>
        <v>Obesidade grau I</v>
      </c>
      <c r="M1656" t="s">
        <v>76</v>
      </c>
    </row>
    <row r="1657" spans="1:13" x14ac:dyDescent="0.25">
      <c r="A1657">
        <v>1656</v>
      </c>
      <c r="B1657" t="s">
        <v>3787</v>
      </c>
      <c r="C1657" s="2" t="s">
        <v>3754</v>
      </c>
      <c r="D1657" s="2">
        <f t="shared" ca="1" si="100"/>
        <v>51</v>
      </c>
      <c r="E1657" t="s">
        <v>23</v>
      </c>
      <c r="F1657" t="s">
        <v>169</v>
      </c>
      <c r="G1657" t="s">
        <v>170</v>
      </c>
      <c r="H1657" t="str">
        <f t="shared" si="101"/>
        <v>Maceió - AL</v>
      </c>
      <c r="I1657" s="1" t="s">
        <v>281</v>
      </c>
      <c r="J1657" s="3">
        <v>90</v>
      </c>
      <c r="K1657" s="4">
        <f t="shared" si="102"/>
        <v>34.293552812071326</v>
      </c>
      <c r="L1657" s="1" t="str">
        <f t="shared" si="103"/>
        <v>Obesidade grau I</v>
      </c>
      <c r="M1657" t="s">
        <v>76</v>
      </c>
    </row>
    <row r="1658" spans="1:13" x14ac:dyDescent="0.25">
      <c r="A1658">
        <v>1657</v>
      </c>
      <c r="B1658" t="s">
        <v>2808</v>
      </c>
      <c r="C1658" s="2" t="s">
        <v>2809</v>
      </c>
      <c r="D1658" s="2">
        <f t="shared" ca="1" si="100"/>
        <v>20</v>
      </c>
      <c r="E1658" t="s">
        <v>23</v>
      </c>
      <c r="F1658" t="s">
        <v>267</v>
      </c>
      <c r="G1658" t="s">
        <v>103</v>
      </c>
      <c r="H1658" t="str">
        <f t="shared" si="101"/>
        <v>São Paulo - SP</v>
      </c>
      <c r="I1658" s="1" t="s">
        <v>123</v>
      </c>
      <c r="J1658" s="3">
        <v>82</v>
      </c>
      <c r="K1658" s="4">
        <f t="shared" si="102"/>
        <v>26.472107438016529</v>
      </c>
      <c r="L1658" s="1" t="str">
        <f t="shared" si="103"/>
        <v>Levemente acima do peso</v>
      </c>
      <c r="M1658" t="s">
        <v>47</v>
      </c>
    </row>
    <row r="1659" spans="1:13" x14ac:dyDescent="0.25">
      <c r="A1659">
        <v>1658</v>
      </c>
      <c r="B1659" t="s">
        <v>3060</v>
      </c>
      <c r="C1659" s="2" t="s">
        <v>3061</v>
      </c>
      <c r="D1659" s="2">
        <f t="shared" ca="1" si="100"/>
        <v>41</v>
      </c>
      <c r="E1659" t="s">
        <v>23</v>
      </c>
      <c r="F1659" t="s">
        <v>383</v>
      </c>
      <c r="G1659" t="s">
        <v>237</v>
      </c>
      <c r="H1659" t="str">
        <f t="shared" si="101"/>
        <v>Parnaíba - PI</v>
      </c>
      <c r="I1659" s="1" t="s">
        <v>117</v>
      </c>
      <c r="J1659" s="3">
        <v>68</v>
      </c>
      <c r="K1659" s="4">
        <f t="shared" si="102"/>
        <v>21.461936624163616</v>
      </c>
      <c r="L1659" s="1" t="str">
        <f t="shared" si="103"/>
        <v>Peso ideal - parabéns</v>
      </c>
      <c r="M1659" t="s">
        <v>32</v>
      </c>
    </row>
    <row r="1660" spans="1:13" x14ac:dyDescent="0.25">
      <c r="A1660">
        <v>1659</v>
      </c>
      <c r="B1660" t="s">
        <v>1048</v>
      </c>
      <c r="C1660" s="2" t="s">
        <v>1049</v>
      </c>
      <c r="D1660" s="2">
        <f t="shared" ca="1" si="100"/>
        <v>40</v>
      </c>
      <c r="E1660" t="s">
        <v>23</v>
      </c>
      <c r="F1660" t="s">
        <v>796</v>
      </c>
      <c r="G1660" t="s">
        <v>131</v>
      </c>
      <c r="H1660" t="str">
        <f t="shared" si="101"/>
        <v>Joinville - SC</v>
      </c>
      <c r="I1660" s="1" t="s">
        <v>400</v>
      </c>
      <c r="J1660" s="3">
        <v>85</v>
      </c>
      <c r="K1660" s="4">
        <f t="shared" si="102"/>
        <v>26.234567901234566</v>
      </c>
      <c r="L1660" s="1" t="str">
        <f t="shared" si="103"/>
        <v>Levemente acima do peso</v>
      </c>
      <c r="M1660" t="s">
        <v>95</v>
      </c>
    </row>
    <row r="1661" spans="1:13" x14ac:dyDescent="0.25">
      <c r="A1661">
        <v>1660</v>
      </c>
      <c r="B1661" t="s">
        <v>2937</v>
      </c>
      <c r="C1661" s="2" t="s">
        <v>2938</v>
      </c>
      <c r="D1661" s="2">
        <f t="shared" ca="1" si="100"/>
        <v>71</v>
      </c>
      <c r="E1661" t="s">
        <v>23</v>
      </c>
      <c r="F1661" t="s">
        <v>147</v>
      </c>
      <c r="G1661" t="s">
        <v>55</v>
      </c>
      <c r="H1661" t="str">
        <f t="shared" si="101"/>
        <v>Londrina - PR</v>
      </c>
      <c r="I1661" s="1" t="s">
        <v>400</v>
      </c>
      <c r="J1661" s="3">
        <v>47</v>
      </c>
      <c r="K1661" s="4">
        <f t="shared" si="102"/>
        <v>14.506172839506172</v>
      </c>
      <c r="L1661" s="1" t="str">
        <f t="shared" si="103"/>
        <v>Muito abaixo do peso</v>
      </c>
      <c r="M1661" t="s">
        <v>20</v>
      </c>
    </row>
    <row r="1662" spans="1:13" x14ac:dyDescent="0.25">
      <c r="A1662">
        <v>1661</v>
      </c>
      <c r="B1662" t="s">
        <v>1060</v>
      </c>
      <c r="C1662" s="2" t="s">
        <v>1061</v>
      </c>
      <c r="D1662" s="2">
        <f t="shared" ca="1" si="100"/>
        <v>60</v>
      </c>
      <c r="E1662" t="s">
        <v>10</v>
      </c>
      <c r="F1662" t="s">
        <v>528</v>
      </c>
      <c r="G1662" t="s">
        <v>51</v>
      </c>
      <c r="H1662" t="str">
        <f t="shared" si="101"/>
        <v>Nova Iguaçu - RJ</v>
      </c>
      <c r="I1662" s="1" t="s">
        <v>400</v>
      </c>
      <c r="J1662" s="3">
        <v>102</v>
      </c>
      <c r="K1662" s="4">
        <f t="shared" si="102"/>
        <v>31.481481481481481</v>
      </c>
      <c r="L1662" s="1" t="str">
        <f t="shared" si="103"/>
        <v>Obesidade grau I</v>
      </c>
      <c r="M1662" t="s">
        <v>32</v>
      </c>
    </row>
    <row r="1663" spans="1:13" x14ac:dyDescent="0.25">
      <c r="A1663">
        <v>1662</v>
      </c>
      <c r="B1663" t="s">
        <v>109</v>
      </c>
      <c r="C1663" s="2" t="s">
        <v>110</v>
      </c>
      <c r="D1663" s="2">
        <f t="shared" ca="1" si="100"/>
        <v>72</v>
      </c>
      <c r="E1663" t="s">
        <v>10</v>
      </c>
      <c r="F1663" t="s">
        <v>111</v>
      </c>
      <c r="G1663" t="s">
        <v>112</v>
      </c>
      <c r="H1663" t="str">
        <f t="shared" si="101"/>
        <v>Tucuruí - PA</v>
      </c>
      <c r="I1663" s="1" t="s">
        <v>113</v>
      </c>
      <c r="J1663" s="3">
        <v>70</v>
      </c>
      <c r="K1663" s="4">
        <f t="shared" si="102"/>
        <v>26.346494034400994</v>
      </c>
      <c r="L1663" s="1" t="str">
        <f t="shared" si="103"/>
        <v>Levemente acima do peso</v>
      </c>
      <c r="M1663" t="s">
        <v>32</v>
      </c>
    </row>
    <row r="1664" spans="1:13" x14ac:dyDescent="0.25">
      <c r="A1664">
        <v>1663</v>
      </c>
      <c r="B1664" t="s">
        <v>1827</v>
      </c>
      <c r="C1664" s="2" t="s">
        <v>1828</v>
      </c>
      <c r="D1664" s="2">
        <f t="shared" ca="1" si="100"/>
        <v>76</v>
      </c>
      <c r="E1664" t="s">
        <v>10</v>
      </c>
      <c r="F1664" t="s">
        <v>153</v>
      </c>
      <c r="G1664" t="s">
        <v>154</v>
      </c>
      <c r="H1664" t="str">
        <f t="shared" si="101"/>
        <v>Manaus - AM</v>
      </c>
      <c r="I1664" s="1" t="s">
        <v>286</v>
      </c>
      <c r="J1664" s="3">
        <v>69</v>
      </c>
      <c r="K1664" s="4">
        <f t="shared" si="102"/>
        <v>25.344352617079892</v>
      </c>
      <c r="L1664" s="1" t="str">
        <f t="shared" si="103"/>
        <v>Levemente acima do peso</v>
      </c>
      <c r="M1664" t="s">
        <v>32</v>
      </c>
    </row>
    <row r="1665" spans="1:13" x14ac:dyDescent="0.25">
      <c r="A1665">
        <v>1664</v>
      </c>
      <c r="B1665" t="s">
        <v>920</v>
      </c>
      <c r="C1665" s="2" t="s">
        <v>921</v>
      </c>
      <c r="D1665" s="2">
        <f t="shared" ca="1" si="100"/>
        <v>44</v>
      </c>
      <c r="E1665" t="s">
        <v>10</v>
      </c>
      <c r="F1665" t="s">
        <v>189</v>
      </c>
      <c r="G1665" t="s">
        <v>190</v>
      </c>
      <c r="H1665" t="str">
        <f t="shared" si="101"/>
        <v>Cuiabá - MT</v>
      </c>
      <c r="I1665" s="1" t="s">
        <v>42</v>
      </c>
      <c r="J1665" s="3">
        <v>90</v>
      </c>
      <c r="K1665" s="4">
        <f t="shared" si="102"/>
        <v>28.089010954714272</v>
      </c>
      <c r="L1665" s="1" t="str">
        <f t="shared" si="103"/>
        <v>Levemente acima do peso</v>
      </c>
      <c r="M1665" t="s">
        <v>83</v>
      </c>
    </row>
    <row r="1666" spans="1:13" x14ac:dyDescent="0.25">
      <c r="A1666">
        <v>1665</v>
      </c>
      <c r="B1666" t="s">
        <v>3942</v>
      </c>
      <c r="C1666" s="2" t="s">
        <v>3943</v>
      </c>
      <c r="D1666" s="2">
        <f t="shared" ca="1" si="100"/>
        <v>50</v>
      </c>
      <c r="E1666" t="s">
        <v>10</v>
      </c>
      <c r="F1666" t="s">
        <v>564</v>
      </c>
      <c r="G1666" t="s">
        <v>565</v>
      </c>
      <c r="H1666" t="str">
        <f t="shared" si="101"/>
        <v>Rio Branco - AC</v>
      </c>
      <c r="I1666" s="1" t="s">
        <v>94</v>
      </c>
      <c r="J1666" s="3">
        <v>109</v>
      </c>
      <c r="K1666" s="4">
        <f t="shared" si="102"/>
        <v>36.419526212035152</v>
      </c>
      <c r="L1666" s="1" t="str">
        <f t="shared" si="103"/>
        <v>Obesidade grau II - severa</v>
      </c>
      <c r="M1666" t="s">
        <v>32</v>
      </c>
    </row>
    <row r="1667" spans="1:13" x14ac:dyDescent="0.25">
      <c r="A1667">
        <v>1666</v>
      </c>
      <c r="B1667" t="s">
        <v>2379</v>
      </c>
      <c r="C1667" s="2" t="s">
        <v>2380</v>
      </c>
      <c r="D1667" s="2">
        <f t="shared" ref="D1667:D1730" ca="1" si="104">YEAR(TODAY())-YEAR(C1667)</f>
        <v>81</v>
      </c>
      <c r="E1667" t="s">
        <v>10</v>
      </c>
      <c r="F1667" t="s">
        <v>59</v>
      </c>
      <c r="G1667" t="s">
        <v>60</v>
      </c>
      <c r="H1667" t="str">
        <f t="shared" ref="H1667:H1730" si="105">CONCATENATE(F1667," - ",G1667)</f>
        <v>Palmas - TO</v>
      </c>
      <c r="I1667" s="1" t="s">
        <v>42</v>
      </c>
      <c r="J1667" s="3">
        <v>110</v>
      </c>
      <c r="K1667" s="4">
        <f t="shared" ref="K1667:K1730" si="106">J1667/(I1667*I1667)</f>
        <v>34.331013389095226</v>
      </c>
      <c r="L1667" s="1" t="str">
        <f t="shared" ref="L1667:L1730" si="107">IF(K1667&gt;=40,"Obesidade grau III - mórbida",
IF(K1667&gt;=35,"Obesidade grau II - severa",
IF(K1667&gt;=30,"Obesidade grau I",
IF(K1667&gt;=25,"Levemente acima do peso",
IF(K1667&gt;=18.6,"Peso ideal - parabéns",
IF(K1667&gt;=17,"Abaixo do peso",
"Muito abaixo do peso"))))))</f>
        <v>Obesidade grau I</v>
      </c>
      <c r="M1667" t="s">
        <v>20</v>
      </c>
    </row>
    <row r="1668" spans="1:13" x14ac:dyDescent="0.25">
      <c r="A1668">
        <v>1667</v>
      </c>
      <c r="B1668" t="s">
        <v>2546</v>
      </c>
      <c r="C1668" s="2" t="s">
        <v>2547</v>
      </c>
      <c r="D1668" s="2">
        <f t="shared" ca="1" si="104"/>
        <v>27</v>
      </c>
      <c r="E1668" t="s">
        <v>10</v>
      </c>
      <c r="F1668" t="s">
        <v>280</v>
      </c>
      <c r="G1668" t="s">
        <v>175</v>
      </c>
      <c r="H1668" t="str">
        <f t="shared" si="105"/>
        <v>Recife - PE</v>
      </c>
      <c r="I1668" s="1" t="s">
        <v>117</v>
      </c>
      <c r="J1668" s="3">
        <v>107</v>
      </c>
      <c r="K1668" s="4">
        <f t="shared" si="106"/>
        <v>33.770988511551572</v>
      </c>
      <c r="L1668" s="1" t="str">
        <f t="shared" si="107"/>
        <v>Obesidade grau I</v>
      </c>
      <c r="M1668" t="s">
        <v>83</v>
      </c>
    </row>
    <row r="1669" spans="1:13" x14ac:dyDescent="0.25">
      <c r="A1669">
        <v>1668</v>
      </c>
      <c r="B1669" t="s">
        <v>2023</v>
      </c>
      <c r="C1669" s="2" t="s">
        <v>2024</v>
      </c>
      <c r="D1669" s="2">
        <f t="shared" ca="1" si="104"/>
        <v>22</v>
      </c>
      <c r="E1669" t="s">
        <v>10</v>
      </c>
      <c r="F1669" t="s">
        <v>2025</v>
      </c>
      <c r="G1669" t="s">
        <v>131</v>
      </c>
      <c r="H1669" t="str">
        <f t="shared" si="105"/>
        <v>Tubarão - SC</v>
      </c>
      <c r="I1669" s="1" t="s">
        <v>281</v>
      </c>
      <c r="J1669" s="3">
        <v>59</v>
      </c>
      <c r="K1669" s="4">
        <f t="shared" si="106"/>
        <v>22.481329065691202</v>
      </c>
      <c r="L1669" s="1" t="str">
        <f t="shared" si="107"/>
        <v>Peso ideal - parabéns</v>
      </c>
      <c r="M1669" t="s">
        <v>14</v>
      </c>
    </row>
    <row r="1670" spans="1:13" x14ac:dyDescent="0.25">
      <c r="A1670">
        <v>1669</v>
      </c>
      <c r="B1670" t="s">
        <v>3735</v>
      </c>
      <c r="C1670" s="2" t="s">
        <v>3736</v>
      </c>
      <c r="D1670" s="2">
        <f t="shared" ca="1" si="104"/>
        <v>67</v>
      </c>
      <c r="E1670" t="s">
        <v>10</v>
      </c>
      <c r="F1670" t="s">
        <v>775</v>
      </c>
      <c r="G1670" t="s">
        <v>51</v>
      </c>
      <c r="H1670" t="str">
        <f t="shared" si="105"/>
        <v>Rio de Janeiro - RJ</v>
      </c>
      <c r="I1670" s="1" t="s">
        <v>281</v>
      </c>
      <c r="J1670" s="3">
        <v>109</v>
      </c>
      <c r="K1670" s="4">
        <f t="shared" si="106"/>
        <v>41.533302850175268</v>
      </c>
      <c r="L1670" s="1" t="str">
        <f t="shared" si="107"/>
        <v>Obesidade grau III - mórbida</v>
      </c>
      <c r="M1670" t="s">
        <v>95</v>
      </c>
    </row>
    <row r="1671" spans="1:13" x14ac:dyDescent="0.25">
      <c r="A1671">
        <v>1670</v>
      </c>
      <c r="B1671" t="s">
        <v>2457</v>
      </c>
      <c r="C1671" s="2" t="s">
        <v>2458</v>
      </c>
      <c r="D1671" s="2">
        <f t="shared" ca="1" si="104"/>
        <v>82</v>
      </c>
      <c r="E1671" t="s">
        <v>10</v>
      </c>
      <c r="F1671" t="s">
        <v>236</v>
      </c>
      <c r="G1671" t="s">
        <v>237</v>
      </c>
      <c r="H1671" t="str">
        <f t="shared" si="105"/>
        <v>Teresina - PI</v>
      </c>
      <c r="I1671" s="1" t="s">
        <v>281</v>
      </c>
      <c r="J1671" s="3">
        <v>102</v>
      </c>
      <c r="K1671" s="4">
        <f t="shared" si="106"/>
        <v>38.866026520347503</v>
      </c>
      <c r="L1671" s="1" t="str">
        <f t="shared" si="107"/>
        <v>Obesidade grau II - severa</v>
      </c>
      <c r="M1671" t="s">
        <v>14</v>
      </c>
    </row>
    <row r="1672" spans="1:13" x14ac:dyDescent="0.25">
      <c r="A1672">
        <v>1671</v>
      </c>
      <c r="B1672" t="s">
        <v>2625</v>
      </c>
      <c r="C1672" s="2" t="s">
        <v>2626</v>
      </c>
      <c r="D1672" s="2">
        <f t="shared" ca="1" si="104"/>
        <v>53</v>
      </c>
      <c r="E1672" t="s">
        <v>10</v>
      </c>
      <c r="F1672" t="s">
        <v>236</v>
      </c>
      <c r="G1672" t="s">
        <v>237</v>
      </c>
      <c r="H1672" t="str">
        <f t="shared" si="105"/>
        <v>Teresina - PI</v>
      </c>
      <c r="I1672" s="1" t="s">
        <v>171</v>
      </c>
      <c r="J1672" s="3">
        <v>92</v>
      </c>
      <c r="K1672" s="4">
        <f t="shared" si="106"/>
        <v>32.987916382803256</v>
      </c>
      <c r="L1672" s="1" t="str">
        <f t="shared" si="107"/>
        <v>Obesidade grau I</v>
      </c>
      <c r="M1672" t="s">
        <v>14</v>
      </c>
    </row>
    <row r="1673" spans="1:13" x14ac:dyDescent="0.25">
      <c r="A1673">
        <v>1672</v>
      </c>
      <c r="B1673" t="s">
        <v>3445</v>
      </c>
      <c r="C1673" s="2" t="s">
        <v>2821</v>
      </c>
      <c r="D1673" s="2">
        <f t="shared" ca="1" si="104"/>
        <v>59</v>
      </c>
      <c r="E1673" t="s">
        <v>23</v>
      </c>
      <c r="F1673" t="s">
        <v>3446</v>
      </c>
      <c r="G1673" t="s">
        <v>51</v>
      </c>
      <c r="H1673" t="str">
        <f t="shared" si="105"/>
        <v>Resende - RJ</v>
      </c>
      <c r="I1673" s="1" t="s">
        <v>13</v>
      </c>
      <c r="J1673" s="3">
        <v>57</v>
      </c>
      <c r="K1673" s="4">
        <f t="shared" si="106"/>
        <v>19.493177387914233</v>
      </c>
      <c r="L1673" s="1" t="str">
        <f t="shared" si="107"/>
        <v>Peso ideal - parabéns</v>
      </c>
      <c r="M1673" t="s">
        <v>32</v>
      </c>
    </row>
    <row r="1674" spans="1:13" x14ac:dyDescent="0.25">
      <c r="A1674">
        <v>1673</v>
      </c>
      <c r="B1674" t="s">
        <v>1786</v>
      </c>
      <c r="C1674" s="2" t="s">
        <v>1787</v>
      </c>
      <c r="D1674" s="2">
        <f t="shared" ca="1" si="104"/>
        <v>67</v>
      </c>
      <c r="E1674" t="s">
        <v>23</v>
      </c>
      <c r="F1674" t="s">
        <v>1748</v>
      </c>
      <c r="G1674" t="s">
        <v>12</v>
      </c>
      <c r="H1674" t="str">
        <f t="shared" si="105"/>
        <v>Maracanaú - CE</v>
      </c>
      <c r="I1674" s="1" t="s">
        <v>198</v>
      </c>
      <c r="J1674" s="3">
        <v>46</v>
      </c>
      <c r="K1674" s="4">
        <f t="shared" si="106"/>
        <v>18.662014686194166</v>
      </c>
      <c r="L1674" s="1" t="str">
        <f t="shared" si="107"/>
        <v>Peso ideal - parabéns</v>
      </c>
      <c r="M1674" t="s">
        <v>20</v>
      </c>
    </row>
    <row r="1675" spans="1:13" x14ac:dyDescent="0.25">
      <c r="A1675">
        <v>1674</v>
      </c>
      <c r="B1675" t="s">
        <v>3040</v>
      </c>
      <c r="C1675" s="2" t="s">
        <v>3041</v>
      </c>
      <c r="D1675" s="2">
        <f t="shared" ca="1" si="104"/>
        <v>21</v>
      </c>
      <c r="E1675" t="s">
        <v>23</v>
      </c>
      <c r="F1675" t="s">
        <v>69</v>
      </c>
      <c r="G1675" t="s">
        <v>70</v>
      </c>
      <c r="H1675" t="str">
        <f t="shared" si="105"/>
        <v>Aracaju - SE</v>
      </c>
      <c r="I1675" s="1" t="s">
        <v>123</v>
      </c>
      <c r="J1675" s="3">
        <v>73</v>
      </c>
      <c r="K1675" s="4">
        <f t="shared" si="106"/>
        <v>23.566632231404959</v>
      </c>
      <c r="L1675" s="1" t="str">
        <f t="shared" si="107"/>
        <v>Peso ideal - parabéns</v>
      </c>
      <c r="M1675" t="s">
        <v>20</v>
      </c>
    </row>
    <row r="1676" spans="1:13" x14ac:dyDescent="0.25">
      <c r="A1676">
        <v>1675</v>
      </c>
      <c r="B1676" t="s">
        <v>2279</v>
      </c>
      <c r="C1676" s="2" t="s">
        <v>2280</v>
      </c>
      <c r="D1676" s="2">
        <f t="shared" ca="1" si="104"/>
        <v>61</v>
      </c>
      <c r="E1676" t="s">
        <v>23</v>
      </c>
      <c r="F1676" t="s">
        <v>208</v>
      </c>
      <c r="G1676" t="s">
        <v>30</v>
      </c>
      <c r="H1676" t="str">
        <f t="shared" si="105"/>
        <v>Ji-Paraná - RO</v>
      </c>
      <c r="I1676" s="1" t="s">
        <v>86</v>
      </c>
      <c r="J1676" s="3">
        <v>53</v>
      </c>
      <c r="K1676" s="4">
        <f t="shared" si="106"/>
        <v>16.177772351271329</v>
      </c>
      <c r="L1676" s="1" t="str">
        <f t="shared" si="107"/>
        <v>Muito abaixo do peso</v>
      </c>
      <c r="M1676" t="s">
        <v>47</v>
      </c>
    </row>
    <row r="1677" spans="1:13" x14ac:dyDescent="0.25">
      <c r="A1677">
        <v>1676</v>
      </c>
      <c r="B1677" t="s">
        <v>2132</v>
      </c>
      <c r="C1677" s="2" t="s">
        <v>2133</v>
      </c>
      <c r="D1677" s="2">
        <f t="shared" ca="1" si="104"/>
        <v>36</v>
      </c>
      <c r="E1677" t="s">
        <v>23</v>
      </c>
      <c r="F1677" t="s">
        <v>2134</v>
      </c>
      <c r="G1677" t="s">
        <v>65</v>
      </c>
      <c r="H1677" t="str">
        <f t="shared" si="105"/>
        <v>Eunápolis - BA</v>
      </c>
      <c r="I1677" s="1" t="s">
        <v>104</v>
      </c>
      <c r="J1677" s="3">
        <v>63</v>
      </c>
      <c r="K1677" s="4">
        <f t="shared" si="106"/>
        <v>21.79930795847751</v>
      </c>
      <c r="L1677" s="1" t="str">
        <f t="shared" si="107"/>
        <v>Peso ideal - parabéns</v>
      </c>
      <c r="M1677" t="s">
        <v>26</v>
      </c>
    </row>
    <row r="1678" spans="1:13" x14ac:dyDescent="0.25">
      <c r="A1678">
        <v>1677</v>
      </c>
      <c r="B1678" t="s">
        <v>2385</v>
      </c>
      <c r="C1678" s="2" t="s">
        <v>2386</v>
      </c>
      <c r="D1678" s="2">
        <f t="shared" ca="1" si="104"/>
        <v>60</v>
      </c>
      <c r="E1678" t="s">
        <v>10</v>
      </c>
      <c r="F1678" t="s">
        <v>236</v>
      </c>
      <c r="G1678" t="s">
        <v>237</v>
      </c>
      <c r="H1678" t="str">
        <f t="shared" si="105"/>
        <v>Teresina - PI</v>
      </c>
      <c r="I1678" s="1" t="s">
        <v>179</v>
      </c>
      <c r="J1678" s="3">
        <v>76</v>
      </c>
      <c r="K1678" s="4">
        <f t="shared" si="106"/>
        <v>25.102391333069097</v>
      </c>
      <c r="L1678" s="1" t="str">
        <f t="shared" si="107"/>
        <v>Levemente acima do peso</v>
      </c>
      <c r="M1678" t="s">
        <v>76</v>
      </c>
    </row>
    <row r="1679" spans="1:13" x14ac:dyDescent="0.25">
      <c r="A1679">
        <v>1678</v>
      </c>
      <c r="B1679" t="s">
        <v>3420</v>
      </c>
      <c r="C1679" s="2" t="s">
        <v>3421</v>
      </c>
      <c r="D1679" s="2">
        <f t="shared" ca="1" si="104"/>
        <v>53</v>
      </c>
      <c r="E1679" t="s">
        <v>10</v>
      </c>
      <c r="F1679" t="s">
        <v>126</v>
      </c>
      <c r="G1679" t="s">
        <v>127</v>
      </c>
      <c r="H1679" t="str">
        <f t="shared" si="105"/>
        <v>Boa Vista - RR</v>
      </c>
      <c r="I1679" s="1" t="s">
        <v>123</v>
      </c>
      <c r="J1679" s="3">
        <v>93</v>
      </c>
      <c r="K1679" s="4">
        <f t="shared" si="106"/>
        <v>30.023243801652892</v>
      </c>
      <c r="L1679" s="1" t="str">
        <f t="shared" si="107"/>
        <v>Obesidade grau I</v>
      </c>
      <c r="M1679" t="s">
        <v>26</v>
      </c>
    </row>
    <row r="1680" spans="1:13" x14ac:dyDescent="0.25">
      <c r="A1680">
        <v>1679</v>
      </c>
      <c r="B1680" t="s">
        <v>2326</v>
      </c>
      <c r="C1680" s="2" t="s">
        <v>2327</v>
      </c>
      <c r="D1680" s="2">
        <f t="shared" ca="1" si="104"/>
        <v>67</v>
      </c>
      <c r="E1680" t="s">
        <v>10</v>
      </c>
      <c r="F1680" t="s">
        <v>163</v>
      </c>
      <c r="G1680" t="s">
        <v>131</v>
      </c>
      <c r="H1680" t="str">
        <f t="shared" si="105"/>
        <v>Rio do Sul - SC</v>
      </c>
      <c r="I1680" s="1" t="s">
        <v>104</v>
      </c>
      <c r="J1680" s="3">
        <v>86</v>
      </c>
      <c r="K1680" s="4">
        <f t="shared" si="106"/>
        <v>29.757785467128031</v>
      </c>
      <c r="L1680" s="1" t="str">
        <f t="shared" si="107"/>
        <v>Levemente acima do peso</v>
      </c>
      <c r="M1680" t="s">
        <v>47</v>
      </c>
    </row>
    <row r="1681" spans="1:13" x14ac:dyDescent="0.25">
      <c r="A1681">
        <v>1680</v>
      </c>
      <c r="B1681" t="s">
        <v>1246</v>
      </c>
      <c r="C1681" s="2" t="s">
        <v>1247</v>
      </c>
      <c r="D1681" s="2">
        <f t="shared" ca="1" si="104"/>
        <v>44</v>
      </c>
      <c r="E1681" t="s">
        <v>10</v>
      </c>
      <c r="F1681" t="s">
        <v>182</v>
      </c>
      <c r="G1681" t="s">
        <v>55</v>
      </c>
      <c r="H1681" t="str">
        <f t="shared" si="105"/>
        <v>Curitiba - PR</v>
      </c>
      <c r="I1681" s="1" t="s">
        <v>56</v>
      </c>
      <c r="J1681" s="3">
        <v>66</v>
      </c>
      <c r="K1681" s="4">
        <f t="shared" si="106"/>
        <v>23.1084345786212</v>
      </c>
      <c r="L1681" s="1" t="str">
        <f t="shared" si="107"/>
        <v>Peso ideal - parabéns</v>
      </c>
      <c r="M1681" t="s">
        <v>14</v>
      </c>
    </row>
    <row r="1682" spans="1:13" x14ac:dyDescent="0.25">
      <c r="A1682">
        <v>1681</v>
      </c>
      <c r="B1682" t="s">
        <v>128</v>
      </c>
      <c r="C1682" s="2" t="s">
        <v>129</v>
      </c>
      <c r="D1682" s="2">
        <f t="shared" ca="1" si="104"/>
        <v>47</v>
      </c>
      <c r="E1682" t="s">
        <v>10</v>
      </c>
      <c r="F1682" t="s">
        <v>130</v>
      </c>
      <c r="G1682" t="s">
        <v>131</v>
      </c>
      <c r="H1682" t="str">
        <f t="shared" si="105"/>
        <v>Balneário Camboriú - SC</v>
      </c>
      <c r="I1682" s="1" t="s">
        <v>132</v>
      </c>
      <c r="J1682" s="3">
        <v>95</v>
      </c>
      <c r="K1682" s="4">
        <f t="shared" si="106"/>
        <v>27.166919271354622</v>
      </c>
      <c r="L1682" s="1" t="str">
        <f t="shared" si="107"/>
        <v>Levemente acima do peso</v>
      </c>
      <c r="M1682" t="s">
        <v>83</v>
      </c>
    </row>
    <row r="1683" spans="1:13" x14ac:dyDescent="0.25">
      <c r="A1683">
        <v>1682</v>
      </c>
      <c r="B1683" t="s">
        <v>4149</v>
      </c>
      <c r="C1683" s="2" t="s">
        <v>2957</v>
      </c>
      <c r="D1683" s="2">
        <f t="shared" ca="1" si="104"/>
        <v>76</v>
      </c>
      <c r="E1683" t="s">
        <v>10</v>
      </c>
      <c r="F1683" t="s">
        <v>59</v>
      </c>
      <c r="G1683" t="s">
        <v>60</v>
      </c>
      <c r="H1683" t="str">
        <f t="shared" si="105"/>
        <v>Palmas - TO</v>
      </c>
      <c r="I1683" s="1" t="s">
        <v>61</v>
      </c>
      <c r="J1683" s="3">
        <v>62</v>
      </c>
      <c r="K1683" s="4">
        <f t="shared" si="106"/>
        <v>17.35673693345651</v>
      </c>
      <c r="L1683" s="1" t="str">
        <f t="shared" si="107"/>
        <v>Abaixo do peso</v>
      </c>
      <c r="M1683" t="s">
        <v>32</v>
      </c>
    </row>
    <row r="1684" spans="1:13" x14ac:dyDescent="0.25">
      <c r="A1684">
        <v>1683</v>
      </c>
      <c r="B1684" t="s">
        <v>2483</v>
      </c>
      <c r="C1684" s="2" t="s">
        <v>2484</v>
      </c>
      <c r="D1684" s="2">
        <f t="shared" ca="1" si="104"/>
        <v>77</v>
      </c>
      <c r="E1684" t="s">
        <v>10</v>
      </c>
      <c r="F1684" t="s">
        <v>236</v>
      </c>
      <c r="G1684" t="s">
        <v>237</v>
      </c>
      <c r="H1684" t="str">
        <f t="shared" si="105"/>
        <v>Teresina - PI</v>
      </c>
      <c r="I1684" s="1" t="s">
        <v>218</v>
      </c>
      <c r="J1684" s="3">
        <v>78</v>
      </c>
      <c r="K1684" s="4">
        <f t="shared" si="106"/>
        <v>20.940159467368254</v>
      </c>
      <c r="L1684" s="1" t="str">
        <f t="shared" si="107"/>
        <v>Peso ideal - parabéns</v>
      </c>
      <c r="M1684" t="s">
        <v>83</v>
      </c>
    </row>
    <row r="1685" spans="1:13" x14ac:dyDescent="0.25">
      <c r="A1685">
        <v>1684</v>
      </c>
      <c r="B1685" t="s">
        <v>2746</v>
      </c>
      <c r="C1685" s="2" t="s">
        <v>2747</v>
      </c>
      <c r="D1685" s="2">
        <f t="shared" ca="1" si="104"/>
        <v>48</v>
      </c>
      <c r="E1685" t="s">
        <v>10</v>
      </c>
      <c r="F1685" t="s">
        <v>126</v>
      </c>
      <c r="G1685" t="s">
        <v>127</v>
      </c>
      <c r="H1685" t="str">
        <f t="shared" si="105"/>
        <v>Boa Vista - RR</v>
      </c>
      <c r="I1685" s="1" t="s">
        <v>255</v>
      </c>
      <c r="J1685" s="3">
        <v>104</v>
      </c>
      <c r="K1685" s="4">
        <f t="shared" si="106"/>
        <v>26.261963081740358</v>
      </c>
      <c r="L1685" s="1" t="str">
        <f t="shared" si="107"/>
        <v>Levemente acima do peso</v>
      </c>
      <c r="M1685" t="s">
        <v>83</v>
      </c>
    </row>
    <row r="1686" spans="1:13" x14ac:dyDescent="0.25">
      <c r="A1686">
        <v>1685</v>
      </c>
      <c r="B1686" t="s">
        <v>501</v>
      </c>
      <c r="C1686" s="2" t="s">
        <v>502</v>
      </c>
      <c r="D1686" s="2">
        <f t="shared" ca="1" si="104"/>
        <v>53</v>
      </c>
      <c r="E1686" t="s">
        <v>10</v>
      </c>
      <c r="F1686" t="s">
        <v>89</v>
      </c>
      <c r="G1686" t="s">
        <v>12</v>
      </c>
      <c r="H1686" t="str">
        <f t="shared" si="105"/>
        <v>Fortaleza - CE</v>
      </c>
      <c r="I1686" s="1" t="s">
        <v>191</v>
      </c>
      <c r="J1686" s="3">
        <v>52</v>
      </c>
      <c r="K1686" s="4">
        <f t="shared" si="106"/>
        <v>20.312499999999996</v>
      </c>
      <c r="L1686" s="1" t="str">
        <f t="shared" si="107"/>
        <v>Peso ideal - parabéns</v>
      </c>
      <c r="M1686" t="s">
        <v>83</v>
      </c>
    </row>
    <row r="1687" spans="1:13" x14ac:dyDescent="0.25">
      <c r="A1687">
        <v>1686</v>
      </c>
      <c r="B1687" t="s">
        <v>1092</v>
      </c>
      <c r="C1687" s="2" t="s">
        <v>1093</v>
      </c>
      <c r="D1687" s="2">
        <f t="shared" ca="1" si="104"/>
        <v>40</v>
      </c>
      <c r="E1687" t="s">
        <v>10</v>
      </c>
      <c r="F1687" t="s">
        <v>158</v>
      </c>
      <c r="G1687" t="s">
        <v>159</v>
      </c>
      <c r="H1687" t="str">
        <f t="shared" si="105"/>
        <v>Brasília - DF</v>
      </c>
      <c r="I1687" s="1" t="s">
        <v>218</v>
      </c>
      <c r="J1687" s="3">
        <v>94</v>
      </c>
      <c r="K1687" s="4">
        <f t="shared" si="106"/>
        <v>25.235576794007894</v>
      </c>
      <c r="L1687" s="1" t="str">
        <f t="shared" si="107"/>
        <v>Levemente acima do peso</v>
      </c>
      <c r="M1687" t="s">
        <v>76</v>
      </c>
    </row>
    <row r="1688" spans="1:13" x14ac:dyDescent="0.25">
      <c r="A1688">
        <v>1687</v>
      </c>
      <c r="B1688" t="s">
        <v>332</v>
      </c>
      <c r="C1688" s="2" t="s">
        <v>333</v>
      </c>
      <c r="D1688" s="2">
        <f t="shared" ca="1" si="104"/>
        <v>27</v>
      </c>
      <c r="E1688" t="s">
        <v>10</v>
      </c>
      <c r="F1688" t="s">
        <v>74</v>
      </c>
      <c r="G1688" t="s">
        <v>75</v>
      </c>
      <c r="H1688" t="str">
        <f t="shared" si="105"/>
        <v>Macapá - AP</v>
      </c>
      <c r="I1688" s="1" t="s">
        <v>31</v>
      </c>
      <c r="J1688" s="3">
        <v>96</v>
      </c>
      <c r="K1688" s="4">
        <f t="shared" si="106"/>
        <v>35.693039857227845</v>
      </c>
      <c r="L1688" s="1" t="str">
        <f t="shared" si="107"/>
        <v>Obesidade grau II - severa</v>
      </c>
      <c r="M1688" t="s">
        <v>83</v>
      </c>
    </row>
    <row r="1689" spans="1:13" x14ac:dyDescent="0.25">
      <c r="A1689">
        <v>1688</v>
      </c>
      <c r="B1689" t="s">
        <v>3238</v>
      </c>
      <c r="C1689" s="2" t="s">
        <v>3239</v>
      </c>
      <c r="D1689" s="2">
        <f t="shared" ca="1" si="104"/>
        <v>38</v>
      </c>
      <c r="E1689" t="s">
        <v>10</v>
      </c>
      <c r="F1689" t="s">
        <v>74</v>
      </c>
      <c r="G1689" t="s">
        <v>75</v>
      </c>
      <c r="H1689" t="str">
        <f t="shared" si="105"/>
        <v>Macapá - AP</v>
      </c>
      <c r="I1689" s="1" t="s">
        <v>447</v>
      </c>
      <c r="J1689" s="3">
        <v>102</v>
      </c>
      <c r="K1689" s="4">
        <f t="shared" si="106"/>
        <v>33.306122448979593</v>
      </c>
      <c r="L1689" s="1" t="str">
        <f t="shared" si="107"/>
        <v>Obesidade grau I</v>
      </c>
      <c r="M1689" t="s">
        <v>47</v>
      </c>
    </row>
    <row r="1690" spans="1:13" x14ac:dyDescent="0.25">
      <c r="A1690">
        <v>1689</v>
      </c>
      <c r="B1690" t="s">
        <v>1534</v>
      </c>
      <c r="C1690" s="2" t="s">
        <v>1535</v>
      </c>
      <c r="D1690" s="2">
        <f t="shared" ca="1" si="104"/>
        <v>40</v>
      </c>
      <c r="E1690" t="s">
        <v>10</v>
      </c>
      <c r="F1690" t="s">
        <v>69</v>
      </c>
      <c r="G1690" t="s">
        <v>70</v>
      </c>
      <c r="H1690" t="str">
        <f t="shared" si="105"/>
        <v>Aracaju - SE</v>
      </c>
      <c r="I1690" s="1" t="s">
        <v>694</v>
      </c>
      <c r="J1690" s="3">
        <v>75</v>
      </c>
      <c r="K1690" s="4">
        <f t="shared" si="106"/>
        <v>21.678806798473808</v>
      </c>
      <c r="L1690" s="1" t="str">
        <f t="shared" si="107"/>
        <v>Peso ideal - parabéns</v>
      </c>
      <c r="M1690" t="s">
        <v>26</v>
      </c>
    </row>
    <row r="1691" spans="1:13" x14ac:dyDescent="0.25">
      <c r="A1691">
        <v>1690</v>
      </c>
      <c r="B1691" t="s">
        <v>3274</v>
      </c>
      <c r="C1691" s="2" t="s">
        <v>3275</v>
      </c>
      <c r="D1691" s="2">
        <f t="shared" ca="1" si="104"/>
        <v>41</v>
      </c>
      <c r="E1691" t="s">
        <v>10</v>
      </c>
      <c r="F1691" t="s">
        <v>189</v>
      </c>
      <c r="G1691" t="s">
        <v>190</v>
      </c>
      <c r="H1691" t="str">
        <f t="shared" si="105"/>
        <v>Cuiabá - MT</v>
      </c>
      <c r="I1691" s="1" t="s">
        <v>639</v>
      </c>
      <c r="J1691" s="3">
        <v>67</v>
      </c>
      <c r="K1691" s="4">
        <f t="shared" si="106"/>
        <v>16.75</v>
      </c>
      <c r="L1691" s="1" t="str">
        <f t="shared" si="107"/>
        <v>Muito abaixo do peso</v>
      </c>
      <c r="M1691" t="s">
        <v>14</v>
      </c>
    </row>
    <row r="1692" spans="1:13" x14ac:dyDescent="0.25">
      <c r="A1692">
        <v>1691</v>
      </c>
      <c r="B1692" t="s">
        <v>2495</v>
      </c>
      <c r="C1692" s="2" t="s">
        <v>2496</v>
      </c>
      <c r="D1692" s="2">
        <f t="shared" ca="1" si="104"/>
        <v>57</v>
      </c>
      <c r="E1692" t="s">
        <v>10</v>
      </c>
      <c r="F1692" t="s">
        <v>1490</v>
      </c>
      <c r="G1692" t="s">
        <v>273</v>
      </c>
      <c r="H1692" t="str">
        <f t="shared" si="105"/>
        <v>Cachoeiro de Itapemirim - ES</v>
      </c>
      <c r="I1692" s="1" t="s">
        <v>71</v>
      </c>
      <c r="J1692" s="3">
        <v>86</v>
      </c>
      <c r="K1692" s="4">
        <f t="shared" si="106"/>
        <v>25.680074054167036</v>
      </c>
      <c r="L1692" s="1" t="str">
        <f t="shared" si="107"/>
        <v>Levemente acima do peso</v>
      </c>
      <c r="M1692" t="s">
        <v>95</v>
      </c>
    </row>
    <row r="1693" spans="1:13" x14ac:dyDescent="0.25">
      <c r="A1693">
        <v>1692</v>
      </c>
      <c r="B1693" t="s">
        <v>2231</v>
      </c>
      <c r="C1693" s="2" t="s">
        <v>2232</v>
      </c>
      <c r="D1693" s="2">
        <f t="shared" ca="1" si="104"/>
        <v>41</v>
      </c>
      <c r="E1693" t="s">
        <v>10</v>
      </c>
      <c r="F1693" t="s">
        <v>138</v>
      </c>
      <c r="G1693" t="s">
        <v>46</v>
      </c>
      <c r="H1693" t="str">
        <f t="shared" si="105"/>
        <v>Aparecida de Goiânia - GO</v>
      </c>
      <c r="I1693" s="1" t="s">
        <v>66</v>
      </c>
      <c r="J1693" s="3">
        <v>72</v>
      </c>
      <c r="K1693" s="4">
        <f t="shared" si="106"/>
        <v>20.371208691715712</v>
      </c>
      <c r="L1693" s="1" t="str">
        <f t="shared" si="107"/>
        <v>Peso ideal - parabéns</v>
      </c>
      <c r="M1693" t="s">
        <v>20</v>
      </c>
    </row>
    <row r="1694" spans="1:13" x14ac:dyDescent="0.25">
      <c r="A1694">
        <v>1693</v>
      </c>
      <c r="B1694" t="s">
        <v>3701</v>
      </c>
      <c r="C1694" s="2" t="s">
        <v>3702</v>
      </c>
      <c r="D1694" s="2">
        <f t="shared" ca="1" si="104"/>
        <v>53</v>
      </c>
      <c r="E1694" t="s">
        <v>10</v>
      </c>
      <c r="F1694" t="s">
        <v>89</v>
      </c>
      <c r="G1694" t="s">
        <v>12</v>
      </c>
      <c r="H1694" t="str">
        <f t="shared" si="105"/>
        <v>Fortaleza - CE</v>
      </c>
      <c r="I1694" s="1" t="s">
        <v>400</v>
      </c>
      <c r="J1694" s="3">
        <v>91</v>
      </c>
      <c r="K1694" s="4">
        <f t="shared" si="106"/>
        <v>28.086419753086417</v>
      </c>
      <c r="L1694" s="1" t="str">
        <f t="shared" si="107"/>
        <v>Levemente acima do peso</v>
      </c>
      <c r="M1694" t="s">
        <v>83</v>
      </c>
    </row>
    <row r="1695" spans="1:13" x14ac:dyDescent="0.25">
      <c r="A1695">
        <v>1694</v>
      </c>
      <c r="B1695" t="s">
        <v>2711</v>
      </c>
      <c r="C1695" s="2" t="s">
        <v>2712</v>
      </c>
      <c r="D1695" s="2">
        <f t="shared" ca="1" si="104"/>
        <v>23</v>
      </c>
      <c r="E1695" t="s">
        <v>23</v>
      </c>
      <c r="F1695" t="s">
        <v>1075</v>
      </c>
      <c r="G1695" t="s">
        <v>65</v>
      </c>
      <c r="H1695" t="str">
        <f t="shared" si="105"/>
        <v>Ilhéus - BA</v>
      </c>
      <c r="I1695" s="1" t="s">
        <v>171</v>
      </c>
      <c r="J1695" s="3">
        <v>48</v>
      </c>
      <c r="K1695" s="4">
        <f t="shared" si="106"/>
        <v>17.21108680841909</v>
      </c>
      <c r="L1695" s="1" t="str">
        <f t="shared" si="107"/>
        <v>Abaixo do peso</v>
      </c>
      <c r="M1695" t="s">
        <v>14</v>
      </c>
    </row>
    <row r="1696" spans="1:13" x14ac:dyDescent="0.25">
      <c r="A1696">
        <v>1695</v>
      </c>
      <c r="B1696" t="s">
        <v>3964</v>
      </c>
      <c r="C1696" s="2" t="s">
        <v>3965</v>
      </c>
      <c r="D1696" s="2">
        <f t="shared" ca="1" si="104"/>
        <v>39</v>
      </c>
      <c r="E1696" t="s">
        <v>23</v>
      </c>
      <c r="F1696" t="s">
        <v>457</v>
      </c>
      <c r="G1696" t="s">
        <v>41</v>
      </c>
      <c r="H1696" t="str">
        <f t="shared" si="105"/>
        <v>João Pessoa - PB</v>
      </c>
      <c r="I1696" s="1" t="s">
        <v>360</v>
      </c>
      <c r="J1696" s="3">
        <v>59</v>
      </c>
      <c r="K1696" s="4">
        <f t="shared" si="106"/>
        <v>23.634033007530842</v>
      </c>
      <c r="L1696" s="1" t="str">
        <f t="shared" si="107"/>
        <v>Peso ideal - parabéns</v>
      </c>
      <c r="M1696" t="s">
        <v>83</v>
      </c>
    </row>
    <row r="1697" spans="1:13" x14ac:dyDescent="0.25">
      <c r="A1697">
        <v>1696</v>
      </c>
      <c r="B1697" t="s">
        <v>2790</v>
      </c>
      <c r="C1697" s="2" t="s">
        <v>2791</v>
      </c>
      <c r="D1697" s="2">
        <f t="shared" ca="1" si="104"/>
        <v>21</v>
      </c>
      <c r="E1697" t="s">
        <v>23</v>
      </c>
      <c r="F1697" t="s">
        <v>439</v>
      </c>
      <c r="G1697" t="s">
        <v>190</v>
      </c>
      <c r="H1697" t="str">
        <f t="shared" si="105"/>
        <v>Rondonópolis - MT</v>
      </c>
      <c r="I1697" s="1" t="s">
        <v>286</v>
      </c>
      <c r="J1697" s="3">
        <v>50</v>
      </c>
      <c r="K1697" s="4">
        <f t="shared" si="106"/>
        <v>18.365472910927458</v>
      </c>
      <c r="L1697" s="1" t="str">
        <f t="shared" si="107"/>
        <v>Abaixo do peso</v>
      </c>
      <c r="M1697" t="s">
        <v>76</v>
      </c>
    </row>
    <row r="1698" spans="1:13" x14ac:dyDescent="0.25">
      <c r="A1698">
        <v>1697</v>
      </c>
      <c r="B1698" t="s">
        <v>2796</v>
      </c>
      <c r="C1698" s="2" t="s">
        <v>2797</v>
      </c>
      <c r="D1698" s="2">
        <f t="shared" ca="1" si="104"/>
        <v>34</v>
      </c>
      <c r="E1698" t="s">
        <v>23</v>
      </c>
      <c r="F1698" t="s">
        <v>2798</v>
      </c>
      <c r="G1698" t="s">
        <v>55</v>
      </c>
      <c r="H1698" t="str">
        <f t="shared" si="105"/>
        <v>Castro - PR</v>
      </c>
      <c r="I1698" s="1" t="s">
        <v>155</v>
      </c>
      <c r="J1698" s="3">
        <v>80</v>
      </c>
      <c r="K1698" s="4">
        <f t="shared" si="106"/>
        <v>24.151672503320853</v>
      </c>
      <c r="L1698" s="1" t="str">
        <f t="shared" si="107"/>
        <v>Peso ideal - parabéns</v>
      </c>
      <c r="M1698" t="s">
        <v>83</v>
      </c>
    </row>
    <row r="1699" spans="1:13" x14ac:dyDescent="0.25">
      <c r="A1699">
        <v>1698</v>
      </c>
      <c r="B1699" t="s">
        <v>3532</v>
      </c>
      <c r="C1699" s="2" t="s">
        <v>3533</v>
      </c>
      <c r="D1699" s="2">
        <f t="shared" ca="1" si="104"/>
        <v>24</v>
      </c>
      <c r="E1699" t="s">
        <v>23</v>
      </c>
      <c r="F1699" t="s">
        <v>985</v>
      </c>
      <c r="G1699" t="s">
        <v>55</v>
      </c>
      <c r="H1699" t="str">
        <f t="shared" si="105"/>
        <v>Rolândia - PR</v>
      </c>
      <c r="I1699" s="1" t="s">
        <v>400</v>
      </c>
      <c r="J1699" s="3">
        <v>69</v>
      </c>
      <c r="K1699" s="4">
        <f t="shared" si="106"/>
        <v>21.296296296296294</v>
      </c>
      <c r="L1699" s="1" t="str">
        <f t="shared" si="107"/>
        <v>Peso ideal - parabéns</v>
      </c>
      <c r="M1699" t="s">
        <v>76</v>
      </c>
    </row>
    <row r="1700" spans="1:13" x14ac:dyDescent="0.25">
      <c r="A1700">
        <v>1699</v>
      </c>
      <c r="B1700" t="s">
        <v>2512</v>
      </c>
      <c r="C1700" s="2" t="s">
        <v>2513</v>
      </c>
      <c r="D1700" s="2">
        <f t="shared" ca="1" si="104"/>
        <v>46</v>
      </c>
      <c r="E1700" t="s">
        <v>23</v>
      </c>
      <c r="F1700" t="s">
        <v>236</v>
      </c>
      <c r="G1700" t="s">
        <v>237</v>
      </c>
      <c r="H1700" t="str">
        <f t="shared" si="105"/>
        <v>Teresina - PI</v>
      </c>
      <c r="I1700" s="1" t="s">
        <v>94</v>
      </c>
      <c r="J1700" s="3">
        <v>69</v>
      </c>
      <c r="K1700" s="4">
        <f t="shared" si="106"/>
        <v>23.054562464499313</v>
      </c>
      <c r="L1700" s="1" t="str">
        <f t="shared" si="107"/>
        <v>Peso ideal - parabéns</v>
      </c>
      <c r="M1700" t="s">
        <v>32</v>
      </c>
    </row>
    <row r="1701" spans="1:13" x14ac:dyDescent="0.25">
      <c r="A1701">
        <v>1700</v>
      </c>
      <c r="B1701" t="s">
        <v>1406</v>
      </c>
      <c r="C1701" s="2" t="s">
        <v>1407</v>
      </c>
      <c r="D1701" s="2">
        <f t="shared" ca="1" si="104"/>
        <v>82</v>
      </c>
      <c r="E1701" t="s">
        <v>23</v>
      </c>
      <c r="F1701" t="s">
        <v>74</v>
      </c>
      <c r="G1701" t="s">
        <v>75</v>
      </c>
      <c r="H1701" t="str">
        <f t="shared" si="105"/>
        <v>Macapá - AP</v>
      </c>
      <c r="I1701" s="1" t="s">
        <v>447</v>
      </c>
      <c r="J1701" s="3">
        <v>45</v>
      </c>
      <c r="K1701" s="4">
        <f t="shared" si="106"/>
        <v>14.693877551020408</v>
      </c>
      <c r="L1701" s="1" t="str">
        <f t="shared" si="107"/>
        <v>Muito abaixo do peso</v>
      </c>
      <c r="M1701" t="s">
        <v>95</v>
      </c>
    </row>
    <row r="1702" spans="1:13" x14ac:dyDescent="0.25">
      <c r="A1702">
        <v>1701</v>
      </c>
      <c r="B1702" t="s">
        <v>2622</v>
      </c>
      <c r="C1702" s="2" t="s">
        <v>530</v>
      </c>
      <c r="D1702" s="2">
        <f t="shared" ca="1" si="104"/>
        <v>44</v>
      </c>
      <c r="E1702" t="s">
        <v>10</v>
      </c>
      <c r="F1702" t="s">
        <v>153</v>
      </c>
      <c r="G1702" t="s">
        <v>154</v>
      </c>
      <c r="H1702" t="str">
        <f t="shared" si="105"/>
        <v>Manaus - AM</v>
      </c>
      <c r="I1702" s="1" t="s">
        <v>37</v>
      </c>
      <c r="J1702" s="3">
        <v>51</v>
      </c>
      <c r="K1702" s="4">
        <f t="shared" si="106"/>
        <v>13.141281661470277</v>
      </c>
      <c r="L1702" s="1" t="str">
        <f t="shared" si="107"/>
        <v>Muito abaixo do peso</v>
      </c>
      <c r="M1702" t="s">
        <v>26</v>
      </c>
    </row>
    <row r="1703" spans="1:13" x14ac:dyDescent="0.25">
      <c r="A1703">
        <v>1702</v>
      </c>
      <c r="B1703" t="s">
        <v>3254</v>
      </c>
      <c r="C1703" s="2" t="s">
        <v>3255</v>
      </c>
      <c r="D1703" s="2">
        <f t="shared" ca="1" si="104"/>
        <v>59</v>
      </c>
      <c r="E1703" t="s">
        <v>10</v>
      </c>
      <c r="F1703" t="s">
        <v>244</v>
      </c>
      <c r="G1703" t="s">
        <v>60</v>
      </c>
      <c r="H1703" t="str">
        <f t="shared" si="105"/>
        <v>Araguaína - TO</v>
      </c>
      <c r="I1703" s="1" t="s">
        <v>447</v>
      </c>
      <c r="J1703" s="3">
        <v>79</v>
      </c>
      <c r="K1703" s="4">
        <f t="shared" si="106"/>
        <v>25.795918367346939</v>
      </c>
      <c r="L1703" s="1" t="str">
        <f t="shared" si="107"/>
        <v>Levemente acima do peso</v>
      </c>
      <c r="M1703" t="s">
        <v>14</v>
      </c>
    </row>
    <row r="1704" spans="1:13" x14ac:dyDescent="0.25">
      <c r="A1704">
        <v>1703</v>
      </c>
      <c r="B1704" t="s">
        <v>149</v>
      </c>
      <c r="C1704" s="2" t="s">
        <v>150</v>
      </c>
      <c r="D1704" s="2">
        <f t="shared" ca="1" si="104"/>
        <v>50</v>
      </c>
      <c r="E1704" t="s">
        <v>10</v>
      </c>
      <c r="F1704" t="s">
        <v>89</v>
      </c>
      <c r="G1704" t="s">
        <v>12</v>
      </c>
      <c r="H1704" t="str">
        <f t="shared" si="105"/>
        <v>Fortaleza - CE</v>
      </c>
      <c r="I1704" s="1" t="s">
        <v>19</v>
      </c>
      <c r="J1704" s="3">
        <v>105</v>
      </c>
      <c r="K1704" s="4">
        <f t="shared" si="106"/>
        <v>33.515273388872927</v>
      </c>
      <c r="L1704" s="1" t="str">
        <f t="shared" si="107"/>
        <v>Obesidade grau I</v>
      </c>
      <c r="M1704" t="s">
        <v>14</v>
      </c>
    </row>
    <row r="1705" spans="1:13" x14ac:dyDescent="0.25">
      <c r="A1705">
        <v>1704</v>
      </c>
      <c r="B1705" t="s">
        <v>2571</v>
      </c>
      <c r="C1705" s="2" t="s">
        <v>2572</v>
      </c>
      <c r="D1705" s="2">
        <f t="shared" ca="1" si="104"/>
        <v>49</v>
      </c>
      <c r="E1705" t="s">
        <v>10</v>
      </c>
      <c r="F1705" t="s">
        <v>548</v>
      </c>
      <c r="G1705" t="s">
        <v>131</v>
      </c>
      <c r="H1705" t="str">
        <f t="shared" si="105"/>
        <v>Lages - SC</v>
      </c>
      <c r="I1705" s="1" t="s">
        <v>86</v>
      </c>
      <c r="J1705" s="3">
        <v>72</v>
      </c>
      <c r="K1705" s="4">
        <f t="shared" si="106"/>
        <v>21.977351118708221</v>
      </c>
      <c r="L1705" s="1" t="str">
        <f t="shared" si="107"/>
        <v>Peso ideal - parabéns</v>
      </c>
      <c r="M1705" t="s">
        <v>76</v>
      </c>
    </row>
    <row r="1706" spans="1:13" x14ac:dyDescent="0.25">
      <c r="A1706">
        <v>1705</v>
      </c>
      <c r="B1706" t="s">
        <v>1626</v>
      </c>
      <c r="C1706" s="2" t="s">
        <v>1627</v>
      </c>
      <c r="D1706" s="2">
        <f t="shared" ca="1" si="104"/>
        <v>68</v>
      </c>
      <c r="E1706" t="s">
        <v>10</v>
      </c>
      <c r="F1706" t="s">
        <v>74</v>
      </c>
      <c r="G1706" t="s">
        <v>75</v>
      </c>
      <c r="H1706" t="str">
        <f t="shared" si="105"/>
        <v>Macapá - AP</v>
      </c>
      <c r="I1706" s="1" t="s">
        <v>56</v>
      </c>
      <c r="J1706" s="3">
        <v>89</v>
      </c>
      <c r="K1706" s="4">
        <f t="shared" si="106"/>
        <v>31.161373901474043</v>
      </c>
      <c r="L1706" s="1" t="str">
        <f t="shared" si="107"/>
        <v>Obesidade grau I</v>
      </c>
      <c r="M1706" t="s">
        <v>20</v>
      </c>
    </row>
    <row r="1707" spans="1:13" x14ac:dyDescent="0.25">
      <c r="A1707">
        <v>1706</v>
      </c>
      <c r="B1707" t="s">
        <v>2650</v>
      </c>
      <c r="C1707" s="2" t="s">
        <v>2651</v>
      </c>
      <c r="D1707" s="2">
        <f t="shared" ca="1" si="104"/>
        <v>22</v>
      </c>
      <c r="E1707" t="s">
        <v>10</v>
      </c>
      <c r="F1707" t="s">
        <v>169</v>
      </c>
      <c r="G1707" t="s">
        <v>170</v>
      </c>
      <c r="H1707" t="str">
        <f t="shared" si="105"/>
        <v>Maceió - AL</v>
      </c>
      <c r="I1707" s="1" t="s">
        <v>639</v>
      </c>
      <c r="J1707" s="3">
        <v>88</v>
      </c>
      <c r="K1707" s="4">
        <f t="shared" si="106"/>
        <v>22</v>
      </c>
      <c r="L1707" s="1" t="str">
        <f t="shared" si="107"/>
        <v>Peso ideal - parabéns</v>
      </c>
      <c r="M1707" t="s">
        <v>95</v>
      </c>
    </row>
    <row r="1708" spans="1:13" x14ac:dyDescent="0.25">
      <c r="A1708">
        <v>1707</v>
      </c>
      <c r="B1708" t="s">
        <v>1577</v>
      </c>
      <c r="C1708" s="2" t="s">
        <v>1578</v>
      </c>
      <c r="D1708" s="2">
        <f t="shared" ca="1" si="104"/>
        <v>51</v>
      </c>
      <c r="E1708" t="s">
        <v>10</v>
      </c>
      <c r="F1708" t="s">
        <v>135</v>
      </c>
      <c r="G1708" t="s">
        <v>75</v>
      </c>
      <c r="H1708" t="str">
        <f t="shared" si="105"/>
        <v>Santana - AP</v>
      </c>
      <c r="I1708" s="1" t="s">
        <v>166</v>
      </c>
      <c r="J1708" s="3">
        <v>109</v>
      </c>
      <c r="K1708" s="4">
        <f t="shared" si="106"/>
        <v>38.619614512471664</v>
      </c>
      <c r="L1708" s="1" t="str">
        <f t="shared" si="107"/>
        <v>Obesidade grau II - severa</v>
      </c>
      <c r="M1708" t="s">
        <v>76</v>
      </c>
    </row>
    <row r="1709" spans="1:13" x14ac:dyDescent="0.25">
      <c r="A1709">
        <v>1708</v>
      </c>
      <c r="B1709" t="s">
        <v>3682</v>
      </c>
      <c r="C1709" s="2" t="s">
        <v>2821</v>
      </c>
      <c r="D1709" s="2">
        <f t="shared" ca="1" si="104"/>
        <v>59</v>
      </c>
      <c r="E1709" t="s">
        <v>10</v>
      </c>
      <c r="F1709" t="s">
        <v>733</v>
      </c>
      <c r="G1709" t="s">
        <v>310</v>
      </c>
      <c r="H1709" t="str">
        <f t="shared" si="105"/>
        <v>Porto Alegre - RS</v>
      </c>
      <c r="I1709" s="1" t="s">
        <v>13</v>
      </c>
      <c r="J1709" s="3">
        <v>91</v>
      </c>
      <c r="K1709" s="4">
        <f t="shared" si="106"/>
        <v>31.120686707020965</v>
      </c>
      <c r="L1709" s="1" t="str">
        <f t="shared" si="107"/>
        <v>Obesidade grau I</v>
      </c>
      <c r="M1709" t="s">
        <v>47</v>
      </c>
    </row>
    <row r="1710" spans="1:13" x14ac:dyDescent="0.25">
      <c r="A1710">
        <v>1709</v>
      </c>
      <c r="B1710" t="s">
        <v>466</v>
      </c>
      <c r="C1710" s="2" t="s">
        <v>467</v>
      </c>
      <c r="D1710" s="2">
        <f t="shared" ca="1" si="104"/>
        <v>24</v>
      </c>
      <c r="E1710" t="s">
        <v>10</v>
      </c>
      <c r="F1710" t="s">
        <v>153</v>
      </c>
      <c r="G1710" t="s">
        <v>154</v>
      </c>
      <c r="H1710" t="str">
        <f t="shared" si="105"/>
        <v>Manaus - AM</v>
      </c>
      <c r="I1710" s="1" t="s">
        <v>132</v>
      </c>
      <c r="J1710" s="3">
        <v>72</v>
      </c>
      <c r="K1710" s="4">
        <f t="shared" si="106"/>
        <v>20.58966513197403</v>
      </c>
      <c r="L1710" s="1" t="str">
        <f t="shared" si="107"/>
        <v>Peso ideal - parabéns</v>
      </c>
      <c r="M1710" t="s">
        <v>20</v>
      </c>
    </row>
    <row r="1711" spans="1:13" x14ac:dyDescent="0.25">
      <c r="A1711">
        <v>1710</v>
      </c>
      <c r="B1711" t="s">
        <v>3298</v>
      </c>
      <c r="C1711" s="2" t="s">
        <v>3299</v>
      </c>
      <c r="D1711" s="2">
        <f t="shared" ca="1" si="104"/>
        <v>80</v>
      </c>
      <c r="E1711" t="s">
        <v>10</v>
      </c>
      <c r="F1711" t="s">
        <v>1288</v>
      </c>
      <c r="G1711" t="s">
        <v>131</v>
      </c>
      <c r="H1711" t="str">
        <f t="shared" si="105"/>
        <v>Jaraguá do Sul - SC</v>
      </c>
      <c r="I1711" s="1" t="s">
        <v>386</v>
      </c>
      <c r="J1711" s="3">
        <v>87</v>
      </c>
      <c r="K1711" s="4">
        <f t="shared" si="106"/>
        <v>31.572071418202935</v>
      </c>
      <c r="L1711" s="1" t="str">
        <f t="shared" si="107"/>
        <v>Obesidade grau I</v>
      </c>
      <c r="M1711" t="s">
        <v>47</v>
      </c>
    </row>
    <row r="1712" spans="1:13" x14ac:dyDescent="0.25">
      <c r="A1712">
        <v>1711</v>
      </c>
      <c r="B1712" t="s">
        <v>935</v>
      </c>
      <c r="C1712" s="2" t="s">
        <v>936</v>
      </c>
      <c r="D1712" s="2">
        <f t="shared" ca="1" si="104"/>
        <v>26</v>
      </c>
      <c r="E1712" t="s">
        <v>10</v>
      </c>
      <c r="F1712" t="s">
        <v>74</v>
      </c>
      <c r="G1712" t="s">
        <v>75</v>
      </c>
      <c r="H1712" t="str">
        <f t="shared" si="105"/>
        <v>Macapá - AP</v>
      </c>
      <c r="I1712" s="1" t="s">
        <v>639</v>
      </c>
      <c r="J1712" s="3">
        <v>87</v>
      </c>
      <c r="K1712" s="4">
        <f t="shared" si="106"/>
        <v>21.75</v>
      </c>
      <c r="L1712" s="1" t="str">
        <f t="shared" si="107"/>
        <v>Peso ideal - parabéns</v>
      </c>
      <c r="M1712" t="s">
        <v>95</v>
      </c>
    </row>
    <row r="1713" spans="1:13" x14ac:dyDescent="0.25">
      <c r="A1713">
        <v>1712</v>
      </c>
      <c r="B1713" t="s">
        <v>632</v>
      </c>
      <c r="C1713" s="2" t="s">
        <v>633</v>
      </c>
      <c r="D1713" s="2">
        <f t="shared" ca="1" si="104"/>
        <v>23</v>
      </c>
      <c r="E1713" t="s">
        <v>10</v>
      </c>
      <c r="F1713" t="s">
        <v>64</v>
      </c>
      <c r="G1713" t="s">
        <v>65</v>
      </c>
      <c r="H1713" t="str">
        <f t="shared" si="105"/>
        <v>Salvador - BA</v>
      </c>
      <c r="I1713" s="1" t="s">
        <v>104</v>
      </c>
      <c r="J1713" s="3">
        <v>88</v>
      </c>
      <c r="K1713" s="4">
        <f t="shared" si="106"/>
        <v>30.449826989619382</v>
      </c>
      <c r="L1713" s="1" t="str">
        <f t="shared" si="107"/>
        <v>Obesidade grau I</v>
      </c>
      <c r="M1713" t="s">
        <v>32</v>
      </c>
    </row>
    <row r="1714" spans="1:13" x14ac:dyDescent="0.25">
      <c r="A1714">
        <v>1713</v>
      </c>
      <c r="B1714" t="s">
        <v>1735</v>
      </c>
      <c r="C1714" s="2" t="s">
        <v>1736</v>
      </c>
      <c r="D1714" s="2">
        <f t="shared" ca="1" si="104"/>
        <v>30</v>
      </c>
      <c r="E1714" t="s">
        <v>10</v>
      </c>
      <c r="F1714" t="s">
        <v>1737</v>
      </c>
      <c r="G1714" t="s">
        <v>65</v>
      </c>
      <c r="H1714" t="str">
        <f t="shared" si="105"/>
        <v>Santo Antônio de Jesus - BA</v>
      </c>
      <c r="I1714" s="1" t="s">
        <v>226</v>
      </c>
      <c r="J1714" s="3">
        <v>79</v>
      </c>
      <c r="K1714" s="4">
        <f t="shared" si="106"/>
        <v>20.151004999489849</v>
      </c>
      <c r="L1714" s="1" t="str">
        <f t="shared" si="107"/>
        <v>Peso ideal - parabéns</v>
      </c>
      <c r="M1714" t="s">
        <v>83</v>
      </c>
    </row>
    <row r="1715" spans="1:13" x14ac:dyDescent="0.25">
      <c r="A1715">
        <v>1714</v>
      </c>
      <c r="B1715" t="s">
        <v>1394</v>
      </c>
      <c r="C1715" s="2" t="s">
        <v>1395</v>
      </c>
      <c r="D1715" s="2">
        <f t="shared" ca="1" si="104"/>
        <v>26</v>
      </c>
      <c r="E1715" t="s">
        <v>10</v>
      </c>
      <c r="F1715" t="s">
        <v>236</v>
      </c>
      <c r="G1715" t="s">
        <v>237</v>
      </c>
      <c r="H1715" t="str">
        <f t="shared" si="105"/>
        <v>Teresina - PI</v>
      </c>
      <c r="I1715" s="1" t="s">
        <v>108</v>
      </c>
      <c r="J1715" s="3">
        <v>72</v>
      </c>
      <c r="K1715" s="4">
        <f t="shared" si="106"/>
        <v>19.736301088237713</v>
      </c>
      <c r="L1715" s="1" t="str">
        <f t="shared" si="107"/>
        <v>Peso ideal - parabéns</v>
      </c>
      <c r="M1715" t="s">
        <v>95</v>
      </c>
    </row>
    <row r="1716" spans="1:13" x14ac:dyDescent="0.25">
      <c r="A1716">
        <v>1715</v>
      </c>
      <c r="B1716" t="s">
        <v>951</v>
      </c>
      <c r="C1716" s="2" t="s">
        <v>952</v>
      </c>
      <c r="D1716" s="2">
        <f t="shared" ca="1" si="104"/>
        <v>35</v>
      </c>
      <c r="E1716" t="s">
        <v>10</v>
      </c>
      <c r="F1716" t="s">
        <v>953</v>
      </c>
      <c r="G1716" t="s">
        <v>131</v>
      </c>
      <c r="H1716" t="str">
        <f t="shared" si="105"/>
        <v>Brusque - SC</v>
      </c>
      <c r="I1716" s="1" t="s">
        <v>155</v>
      </c>
      <c r="J1716" s="3">
        <v>96</v>
      </c>
      <c r="K1716" s="4">
        <f t="shared" si="106"/>
        <v>28.982007003985025</v>
      </c>
      <c r="L1716" s="1" t="str">
        <f t="shared" si="107"/>
        <v>Levemente acima do peso</v>
      </c>
      <c r="M1716" t="s">
        <v>32</v>
      </c>
    </row>
    <row r="1717" spans="1:13" x14ac:dyDescent="0.25">
      <c r="A1717">
        <v>1716</v>
      </c>
      <c r="B1717" t="s">
        <v>3655</v>
      </c>
      <c r="C1717" s="2" t="s">
        <v>2845</v>
      </c>
      <c r="D1717" s="2">
        <f t="shared" ca="1" si="104"/>
        <v>56</v>
      </c>
      <c r="E1717" t="s">
        <v>10</v>
      </c>
      <c r="F1717" t="s">
        <v>204</v>
      </c>
      <c r="G1717" t="s">
        <v>112</v>
      </c>
      <c r="H1717" t="str">
        <f t="shared" si="105"/>
        <v>Belém - PA</v>
      </c>
      <c r="I1717" s="1" t="s">
        <v>37</v>
      </c>
      <c r="J1717" s="3">
        <v>80</v>
      </c>
      <c r="K1717" s="4">
        <f t="shared" si="106"/>
        <v>20.613775155247495</v>
      </c>
      <c r="L1717" s="1" t="str">
        <f t="shared" si="107"/>
        <v>Peso ideal - parabéns</v>
      </c>
      <c r="M1717" t="s">
        <v>95</v>
      </c>
    </row>
    <row r="1718" spans="1:13" x14ac:dyDescent="0.25">
      <c r="A1718">
        <v>1717</v>
      </c>
      <c r="B1718" t="s">
        <v>2383</v>
      </c>
      <c r="C1718" s="2" t="s">
        <v>2384</v>
      </c>
      <c r="D1718" s="2">
        <f t="shared" ca="1" si="104"/>
        <v>26</v>
      </c>
      <c r="E1718" t="s">
        <v>10</v>
      </c>
      <c r="F1718" t="s">
        <v>395</v>
      </c>
      <c r="G1718" t="s">
        <v>36</v>
      </c>
      <c r="H1718" t="str">
        <f t="shared" si="105"/>
        <v>Imperatriz - MA</v>
      </c>
      <c r="I1718" s="1" t="s">
        <v>201</v>
      </c>
      <c r="J1718" s="3">
        <v>59</v>
      </c>
      <c r="K1718" s="4">
        <f t="shared" si="106"/>
        <v>15.358184089962517</v>
      </c>
      <c r="L1718" s="1" t="str">
        <f t="shared" si="107"/>
        <v>Muito abaixo do peso</v>
      </c>
      <c r="M1718" t="s">
        <v>47</v>
      </c>
    </row>
    <row r="1719" spans="1:13" x14ac:dyDescent="0.25">
      <c r="A1719">
        <v>1718</v>
      </c>
      <c r="B1719" t="s">
        <v>2259</v>
      </c>
      <c r="C1719" s="2" t="s">
        <v>2260</v>
      </c>
      <c r="D1719" s="2">
        <f t="shared" ca="1" si="104"/>
        <v>30</v>
      </c>
      <c r="E1719" t="s">
        <v>10</v>
      </c>
      <c r="F1719" t="s">
        <v>54</v>
      </c>
      <c r="G1719" t="s">
        <v>55</v>
      </c>
      <c r="H1719" t="str">
        <f t="shared" si="105"/>
        <v>Ponta Grossa - PR</v>
      </c>
      <c r="I1719" s="1" t="s">
        <v>286</v>
      </c>
      <c r="J1719" s="3">
        <v>85</v>
      </c>
      <c r="K1719" s="4">
        <f t="shared" si="106"/>
        <v>31.221303948576679</v>
      </c>
      <c r="L1719" s="1" t="str">
        <f t="shared" si="107"/>
        <v>Obesidade grau I</v>
      </c>
      <c r="M1719" t="s">
        <v>47</v>
      </c>
    </row>
    <row r="1720" spans="1:13" x14ac:dyDescent="0.25">
      <c r="A1720">
        <v>1719</v>
      </c>
      <c r="B1720" t="s">
        <v>2771</v>
      </c>
      <c r="C1720" s="2" t="s">
        <v>2772</v>
      </c>
      <c r="D1720" s="2">
        <f t="shared" ca="1" si="104"/>
        <v>60</v>
      </c>
      <c r="E1720" t="s">
        <v>10</v>
      </c>
      <c r="F1720" t="s">
        <v>74</v>
      </c>
      <c r="G1720" t="s">
        <v>75</v>
      </c>
      <c r="H1720" t="str">
        <f t="shared" si="105"/>
        <v>Macapá - AP</v>
      </c>
      <c r="I1720" s="1" t="s">
        <v>123</v>
      </c>
      <c r="J1720" s="3">
        <v>100</v>
      </c>
      <c r="K1720" s="4">
        <f t="shared" si="106"/>
        <v>32.283057851239668</v>
      </c>
      <c r="L1720" s="1" t="str">
        <f t="shared" si="107"/>
        <v>Obesidade grau I</v>
      </c>
      <c r="M1720" t="s">
        <v>95</v>
      </c>
    </row>
    <row r="1721" spans="1:13" x14ac:dyDescent="0.25">
      <c r="A1721">
        <v>1720</v>
      </c>
      <c r="B1721" t="s">
        <v>3698</v>
      </c>
      <c r="C1721" s="2" t="s">
        <v>3699</v>
      </c>
      <c r="D1721" s="2">
        <f t="shared" ca="1" si="104"/>
        <v>73</v>
      </c>
      <c r="E1721" t="s">
        <v>23</v>
      </c>
      <c r="F1721" t="s">
        <v>89</v>
      </c>
      <c r="G1721" t="s">
        <v>12</v>
      </c>
      <c r="H1721" t="str">
        <f t="shared" si="105"/>
        <v>Fortaleza - CE</v>
      </c>
      <c r="I1721" s="1" t="s">
        <v>360</v>
      </c>
      <c r="J1721" s="3">
        <v>68</v>
      </c>
      <c r="K1721" s="4">
        <f t="shared" si="106"/>
        <v>27.239224483255885</v>
      </c>
      <c r="L1721" s="1" t="str">
        <f t="shared" si="107"/>
        <v>Levemente acima do peso</v>
      </c>
      <c r="M1721" t="s">
        <v>14</v>
      </c>
    </row>
    <row r="1722" spans="1:13" x14ac:dyDescent="0.25">
      <c r="A1722">
        <v>1721</v>
      </c>
      <c r="B1722" t="s">
        <v>3515</v>
      </c>
      <c r="C1722" s="2" t="s">
        <v>3516</v>
      </c>
      <c r="D1722" s="2">
        <f t="shared" ca="1" si="104"/>
        <v>54</v>
      </c>
      <c r="E1722" t="s">
        <v>23</v>
      </c>
      <c r="F1722" t="s">
        <v>89</v>
      </c>
      <c r="G1722" t="s">
        <v>12</v>
      </c>
      <c r="H1722" t="str">
        <f t="shared" si="105"/>
        <v>Fortaleza - CE</v>
      </c>
      <c r="I1722" s="1" t="s">
        <v>94</v>
      </c>
      <c r="J1722" s="3">
        <v>86</v>
      </c>
      <c r="K1722" s="4">
        <f t="shared" si="106"/>
        <v>28.734672057202044</v>
      </c>
      <c r="L1722" s="1" t="str">
        <f t="shared" si="107"/>
        <v>Levemente acima do peso</v>
      </c>
      <c r="M1722" t="s">
        <v>20</v>
      </c>
    </row>
    <row r="1723" spans="1:13" x14ac:dyDescent="0.25">
      <c r="A1723">
        <v>1722</v>
      </c>
      <c r="B1723" t="s">
        <v>2395</v>
      </c>
      <c r="C1723" s="2" t="s">
        <v>1623</v>
      </c>
      <c r="D1723" s="2">
        <f t="shared" ca="1" si="104"/>
        <v>50</v>
      </c>
      <c r="E1723" t="s">
        <v>23</v>
      </c>
      <c r="F1723" t="s">
        <v>702</v>
      </c>
      <c r="G1723" t="s">
        <v>55</v>
      </c>
      <c r="H1723" t="str">
        <f t="shared" si="105"/>
        <v>Apucarana - PR</v>
      </c>
      <c r="I1723" s="1" t="s">
        <v>104</v>
      </c>
      <c r="J1723" s="3">
        <v>86</v>
      </c>
      <c r="K1723" s="4">
        <f t="shared" si="106"/>
        <v>29.757785467128031</v>
      </c>
      <c r="L1723" s="1" t="str">
        <f t="shared" si="107"/>
        <v>Levemente acima do peso</v>
      </c>
      <c r="M1723" t="s">
        <v>26</v>
      </c>
    </row>
    <row r="1724" spans="1:13" x14ac:dyDescent="0.25">
      <c r="A1724">
        <v>1723</v>
      </c>
      <c r="B1724" t="s">
        <v>2179</v>
      </c>
      <c r="C1724" s="2" t="s">
        <v>2180</v>
      </c>
      <c r="D1724" s="2">
        <f t="shared" ca="1" si="104"/>
        <v>41</v>
      </c>
      <c r="E1724" t="s">
        <v>23</v>
      </c>
      <c r="F1724" t="s">
        <v>236</v>
      </c>
      <c r="G1724" t="s">
        <v>237</v>
      </c>
      <c r="H1724" t="str">
        <f t="shared" si="105"/>
        <v>Teresina - PI</v>
      </c>
      <c r="I1724" s="1" t="s">
        <v>94</v>
      </c>
      <c r="J1724" s="3">
        <v>64</v>
      </c>
      <c r="K1724" s="4">
        <f t="shared" si="106"/>
        <v>21.383941996057334</v>
      </c>
      <c r="L1724" s="1" t="str">
        <f t="shared" si="107"/>
        <v>Peso ideal - parabéns</v>
      </c>
      <c r="M1724" t="s">
        <v>95</v>
      </c>
    </row>
    <row r="1725" spans="1:13" x14ac:dyDescent="0.25">
      <c r="A1725">
        <v>1724</v>
      </c>
      <c r="B1725" t="s">
        <v>3667</v>
      </c>
      <c r="C1725" s="2" t="s">
        <v>3632</v>
      </c>
      <c r="D1725" s="2">
        <f t="shared" ca="1" si="104"/>
        <v>71</v>
      </c>
      <c r="E1725" t="s">
        <v>23</v>
      </c>
      <c r="F1725" t="s">
        <v>208</v>
      </c>
      <c r="G1725" t="s">
        <v>30</v>
      </c>
      <c r="H1725" t="str">
        <f t="shared" si="105"/>
        <v>Ji-Paraná - RO</v>
      </c>
      <c r="I1725" s="1" t="s">
        <v>123</v>
      </c>
      <c r="J1725" s="3">
        <v>60</v>
      </c>
      <c r="K1725" s="4">
        <f t="shared" si="106"/>
        <v>19.369834710743802</v>
      </c>
      <c r="L1725" s="1" t="str">
        <f t="shared" si="107"/>
        <v>Peso ideal - parabéns</v>
      </c>
      <c r="M1725" t="s">
        <v>83</v>
      </c>
    </row>
    <row r="1726" spans="1:13" x14ac:dyDescent="0.25">
      <c r="A1726">
        <v>1725</v>
      </c>
      <c r="B1726" t="s">
        <v>538</v>
      </c>
      <c r="C1726" s="2" t="s">
        <v>539</v>
      </c>
      <c r="D1726" s="2">
        <f t="shared" ca="1" si="104"/>
        <v>63</v>
      </c>
      <c r="E1726" t="s">
        <v>23</v>
      </c>
      <c r="F1726" t="s">
        <v>126</v>
      </c>
      <c r="G1726" t="s">
        <v>127</v>
      </c>
      <c r="H1726" t="str">
        <f t="shared" si="105"/>
        <v>Boa Vista - RR</v>
      </c>
      <c r="I1726" s="1" t="s">
        <v>360</v>
      </c>
      <c r="J1726" s="3">
        <v>85</v>
      </c>
      <c r="K1726" s="4">
        <f t="shared" si="106"/>
        <v>34.049030604069856</v>
      </c>
      <c r="L1726" s="1" t="str">
        <f t="shared" si="107"/>
        <v>Obesidade grau I</v>
      </c>
      <c r="M1726" t="s">
        <v>76</v>
      </c>
    </row>
    <row r="1727" spans="1:13" x14ac:dyDescent="0.25">
      <c r="A1727">
        <v>1726</v>
      </c>
      <c r="B1727" t="s">
        <v>1393</v>
      </c>
      <c r="C1727" s="2" t="s">
        <v>1159</v>
      </c>
      <c r="D1727" s="2">
        <f t="shared" ca="1" si="104"/>
        <v>46</v>
      </c>
      <c r="E1727" t="s">
        <v>23</v>
      </c>
      <c r="F1727" t="s">
        <v>89</v>
      </c>
      <c r="G1727" t="s">
        <v>12</v>
      </c>
      <c r="H1727" t="str">
        <f t="shared" si="105"/>
        <v>Fortaleza - CE</v>
      </c>
      <c r="I1727" s="1" t="s">
        <v>302</v>
      </c>
      <c r="J1727" s="3">
        <v>88</v>
      </c>
      <c r="K1727" s="4">
        <f t="shared" si="106"/>
        <v>38.594798473751148</v>
      </c>
      <c r="L1727" s="1" t="str">
        <f t="shared" si="107"/>
        <v>Obesidade grau II - severa</v>
      </c>
      <c r="M1727" t="s">
        <v>47</v>
      </c>
    </row>
    <row r="1728" spans="1:13" x14ac:dyDescent="0.25">
      <c r="A1728">
        <v>1727</v>
      </c>
      <c r="B1728" t="s">
        <v>1191</v>
      </c>
      <c r="C1728" s="2" t="s">
        <v>1192</v>
      </c>
      <c r="D1728" s="2">
        <f t="shared" ca="1" si="104"/>
        <v>65</v>
      </c>
      <c r="E1728" t="s">
        <v>23</v>
      </c>
      <c r="F1728" t="s">
        <v>158</v>
      </c>
      <c r="G1728" t="s">
        <v>159</v>
      </c>
      <c r="H1728" t="str">
        <f t="shared" si="105"/>
        <v>Brasília - DF</v>
      </c>
      <c r="I1728" s="1" t="s">
        <v>286</v>
      </c>
      <c r="J1728" s="3">
        <v>75</v>
      </c>
      <c r="K1728" s="4">
        <f t="shared" si="106"/>
        <v>27.548209366391188</v>
      </c>
      <c r="L1728" s="1" t="str">
        <f t="shared" si="107"/>
        <v>Levemente acima do peso</v>
      </c>
      <c r="M1728" t="s">
        <v>20</v>
      </c>
    </row>
    <row r="1729" spans="1:13" x14ac:dyDescent="0.25">
      <c r="A1729">
        <v>1728</v>
      </c>
      <c r="B1729" t="s">
        <v>1471</v>
      </c>
      <c r="C1729" s="2" t="s">
        <v>1472</v>
      </c>
      <c r="D1729" s="2">
        <f t="shared" ca="1" si="104"/>
        <v>38</v>
      </c>
      <c r="E1729" t="s">
        <v>23</v>
      </c>
      <c r="F1729" t="s">
        <v>1323</v>
      </c>
      <c r="G1729" t="s">
        <v>131</v>
      </c>
      <c r="H1729" t="str">
        <f t="shared" si="105"/>
        <v>São Bento do Sul - SC</v>
      </c>
      <c r="I1729" s="1" t="s">
        <v>447</v>
      </c>
      <c r="J1729" s="3">
        <v>81</v>
      </c>
      <c r="K1729" s="4">
        <f t="shared" si="106"/>
        <v>26.448979591836736</v>
      </c>
      <c r="L1729" s="1" t="str">
        <f t="shared" si="107"/>
        <v>Levemente acima do peso</v>
      </c>
      <c r="M1729" t="s">
        <v>26</v>
      </c>
    </row>
    <row r="1730" spans="1:13" x14ac:dyDescent="0.25">
      <c r="A1730">
        <v>1729</v>
      </c>
      <c r="B1730" t="s">
        <v>705</v>
      </c>
      <c r="C1730" s="2" t="s">
        <v>706</v>
      </c>
      <c r="D1730" s="2">
        <f t="shared" ca="1" si="104"/>
        <v>22</v>
      </c>
      <c r="E1730" t="s">
        <v>23</v>
      </c>
      <c r="F1730" t="s">
        <v>135</v>
      </c>
      <c r="G1730" t="s">
        <v>75</v>
      </c>
      <c r="H1730" t="str">
        <f t="shared" si="105"/>
        <v>Santana - AP</v>
      </c>
      <c r="I1730" s="1" t="s">
        <v>205</v>
      </c>
      <c r="J1730" s="3">
        <v>50</v>
      </c>
      <c r="K1730" s="4">
        <f t="shared" si="106"/>
        <v>21.35930624973301</v>
      </c>
      <c r="L1730" s="1" t="str">
        <f t="shared" si="107"/>
        <v>Peso ideal - parabéns</v>
      </c>
      <c r="M1730" t="s">
        <v>95</v>
      </c>
    </row>
    <row r="1731" spans="1:13" x14ac:dyDescent="0.25">
      <c r="A1731">
        <v>1730</v>
      </c>
      <c r="B1731" t="s">
        <v>2387</v>
      </c>
      <c r="C1731" s="2" t="s">
        <v>2388</v>
      </c>
      <c r="D1731" s="2">
        <f t="shared" ref="D1731:D1794" ca="1" si="108">YEAR(TODAY())-YEAR(C1731)</f>
        <v>20</v>
      </c>
      <c r="E1731" t="s">
        <v>23</v>
      </c>
      <c r="F1731" t="s">
        <v>733</v>
      </c>
      <c r="G1731" t="s">
        <v>310</v>
      </c>
      <c r="H1731" t="str">
        <f t="shared" ref="H1731:H1794" si="109">CONCATENATE(F1731," - ",G1731)</f>
        <v>Porto Alegre - RS</v>
      </c>
      <c r="I1731" s="1" t="s">
        <v>400</v>
      </c>
      <c r="J1731" s="3">
        <v>77</v>
      </c>
      <c r="K1731" s="4">
        <f t="shared" ref="K1731:K1794" si="110">J1731/(I1731*I1731)</f>
        <v>23.76543209876543</v>
      </c>
      <c r="L1731" s="1" t="str">
        <f t="shared" ref="L1731:L1794" si="111">IF(K1731&gt;=40,"Obesidade grau III - mórbida",
IF(K1731&gt;=35,"Obesidade grau II - severa",
IF(K1731&gt;=30,"Obesidade grau I",
IF(K1731&gt;=25,"Levemente acima do peso",
IF(K1731&gt;=18.6,"Peso ideal - parabéns",
IF(K1731&gt;=17,"Abaixo do peso",
"Muito abaixo do peso"))))))</f>
        <v>Peso ideal - parabéns</v>
      </c>
      <c r="M1731" t="s">
        <v>32</v>
      </c>
    </row>
    <row r="1732" spans="1:13" x14ac:dyDescent="0.25">
      <c r="A1732">
        <v>1731</v>
      </c>
      <c r="B1732" t="s">
        <v>1811</v>
      </c>
      <c r="C1732" s="2" t="s">
        <v>1157</v>
      </c>
      <c r="D1732" s="2">
        <f t="shared" ca="1" si="108"/>
        <v>23</v>
      </c>
      <c r="E1732" t="s">
        <v>23</v>
      </c>
      <c r="F1732" t="s">
        <v>74</v>
      </c>
      <c r="G1732" t="s">
        <v>75</v>
      </c>
      <c r="H1732" t="str">
        <f t="shared" si="109"/>
        <v>Macapá - AP</v>
      </c>
      <c r="I1732" s="1" t="s">
        <v>582</v>
      </c>
      <c r="J1732" s="3">
        <v>82</v>
      </c>
      <c r="K1732" s="4">
        <f t="shared" si="110"/>
        <v>33.694937541091385</v>
      </c>
      <c r="L1732" s="1" t="str">
        <f t="shared" si="111"/>
        <v>Obesidade grau I</v>
      </c>
      <c r="M1732" t="s">
        <v>83</v>
      </c>
    </row>
    <row r="1733" spans="1:13" x14ac:dyDescent="0.25">
      <c r="A1733">
        <v>1732</v>
      </c>
      <c r="B1733" t="s">
        <v>3042</v>
      </c>
      <c r="C1733" s="2" t="s">
        <v>2877</v>
      </c>
      <c r="D1733" s="2">
        <f t="shared" ca="1" si="108"/>
        <v>68</v>
      </c>
      <c r="E1733" t="s">
        <v>10</v>
      </c>
      <c r="F1733" t="s">
        <v>24</v>
      </c>
      <c r="G1733" t="s">
        <v>25</v>
      </c>
      <c r="H1733" t="str">
        <f t="shared" si="109"/>
        <v>Natal - RN</v>
      </c>
      <c r="I1733" s="1" t="s">
        <v>160</v>
      </c>
      <c r="J1733" s="3">
        <v>100</v>
      </c>
      <c r="K1733" s="4">
        <f t="shared" si="110"/>
        <v>29.536862003780715</v>
      </c>
      <c r="L1733" s="1" t="str">
        <f t="shared" si="111"/>
        <v>Levemente acima do peso</v>
      </c>
      <c r="M1733" t="s">
        <v>76</v>
      </c>
    </row>
    <row r="1734" spans="1:13" x14ac:dyDescent="0.25">
      <c r="A1734">
        <v>1733</v>
      </c>
      <c r="B1734" t="s">
        <v>1484</v>
      </c>
      <c r="C1734" s="2" t="s">
        <v>1485</v>
      </c>
      <c r="D1734" s="2">
        <f t="shared" ca="1" si="108"/>
        <v>30</v>
      </c>
      <c r="E1734" t="s">
        <v>10</v>
      </c>
      <c r="F1734" t="s">
        <v>74</v>
      </c>
      <c r="G1734" t="s">
        <v>75</v>
      </c>
      <c r="H1734" t="str">
        <f t="shared" si="109"/>
        <v>Macapá - AP</v>
      </c>
      <c r="I1734" s="1" t="s">
        <v>194</v>
      </c>
      <c r="J1734" s="3">
        <v>82</v>
      </c>
      <c r="K1734" s="4">
        <f t="shared" si="110"/>
        <v>23.959094229364496</v>
      </c>
      <c r="L1734" s="1" t="str">
        <f t="shared" si="111"/>
        <v>Peso ideal - parabéns</v>
      </c>
      <c r="M1734" t="s">
        <v>20</v>
      </c>
    </row>
    <row r="1735" spans="1:13" x14ac:dyDescent="0.25">
      <c r="A1735">
        <v>1734</v>
      </c>
      <c r="B1735" t="s">
        <v>352</v>
      </c>
      <c r="C1735" s="2" t="s">
        <v>353</v>
      </c>
      <c r="D1735" s="2">
        <f t="shared" ca="1" si="108"/>
        <v>32</v>
      </c>
      <c r="E1735" t="s">
        <v>10</v>
      </c>
      <c r="F1735" t="s">
        <v>354</v>
      </c>
      <c r="G1735" t="s">
        <v>30</v>
      </c>
      <c r="H1735" t="str">
        <f t="shared" si="109"/>
        <v>Porto Velho - RO</v>
      </c>
      <c r="I1735" s="1" t="s">
        <v>99</v>
      </c>
      <c r="J1735" s="3">
        <v>50</v>
      </c>
      <c r="K1735" s="4">
        <f t="shared" si="110"/>
        <v>13.285152513550857</v>
      </c>
      <c r="L1735" s="1" t="str">
        <f t="shared" si="111"/>
        <v>Muito abaixo do peso</v>
      </c>
      <c r="M1735" t="s">
        <v>83</v>
      </c>
    </row>
    <row r="1736" spans="1:13" x14ac:dyDescent="0.25">
      <c r="A1736">
        <v>1735</v>
      </c>
      <c r="B1736" t="s">
        <v>1746</v>
      </c>
      <c r="C1736" s="2" t="s">
        <v>1747</v>
      </c>
      <c r="D1736" s="2">
        <f t="shared" ca="1" si="108"/>
        <v>25</v>
      </c>
      <c r="E1736" t="s">
        <v>10</v>
      </c>
      <c r="F1736" t="s">
        <v>1748</v>
      </c>
      <c r="G1736" t="s">
        <v>12</v>
      </c>
      <c r="H1736" t="str">
        <f t="shared" si="109"/>
        <v>Maracanaú - CE</v>
      </c>
      <c r="I1736" s="1" t="s">
        <v>71</v>
      </c>
      <c r="J1736" s="3">
        <v>66</v>
      </c>
      <c r="K1736" s="4">
        <f t="shared" si="110"/>
        <v>19.707963809011911</v>
      </c>
      <c r="L1736" s="1" t="str">
        <f t="shared" si="111"/>
        <v>Peso ideal - parabéns</v>
      </c>
      <c r="M1736" t="s">
        <v>95</v>
      </c>
    </row>
    <row r="1737" spans="1:13" x14ac:dyDescent="0.25">
      <c r="A1737">
        <v>1736</v>
      </c>
      <c r="B1737" t="s">
        <v>3415</v>
      </c>
      <c r="C1737" s="2" t="s">
        <v>3416</v>
      </c>
      <c r="D1737" s="2">
        <f t="shared" ca="1" si="108"/>
        <v>76</v>
      </c>
      <c r="E1737" t="s">
        <v>10</v>
      </c>
      <c r="F1737" t="s">
        <v>11</v>
      </c>
      <c r="G1737" t="s">
        <v>12</v>
      </c>
      <c r="H1737" t="str">
        <f t="shared" si="109"/>
        <v>Caucaia - CE</v>
      </c>
      <c r="I1737" s="1" t="s">
        <v>132</v>
      </c>
      <c r="J1737" s="3">
        <v>97</v>
      </c>
      <c r="K1737" s="4">
        <f t="shared" si="110"/>
        <v>27.738854413909458</v>
      </c>
      <c r="L1737" s="1" t="str">
        <f t="shared" si="111"/>
        <v>Levemente acima do peso</v>
      </c>
      <c r="M1737" t="s">
        <v>20</v>
      </c>
    </row>
    <row r="1738" spans="1:13" x14ac:dyDescent="0.25">
      <c r="A1738">
        <v>1737</v>
      </c>
      <c r="B1738" t="s">
        <v>1847</v>
      </c>
      <c r="C1738" s="2" t="s">
        <v>1848</v>
      </c>
      <c r="D1738" s="2">
        <f t="shared" ca="1" si="108"/>
        <v>58</v>
      </c>
      <c r="E1738" t="s">
        <v>10</v>
      </c>
      <c r="F1738" t="s">
        <v>1849</v>
      </c>
      <c r="G1738" t="s">
        <v>186</v>
      </c>
      <c r="H1738" t="str">
        <f t="shared" si="109"/>
        <v>Teófilo Otoni - MG</v>
      </c>
      <c r="I1738" s="1" t="s">
        <v>19</v>
      </c>
      <c r="J1738" s="3">
        <v>91</v>
      </c>
      <c r="K1738" s="4">
        <f t="shared" si="110"/>
        <v>29.046570270356536</v>
      </c>
      <c r="L1738" s="1" t="str">
        <f t="shared" si="111"/>
        <v>Levemente acima do peso</v>
      </c>
      <c r="M1738" t="s">
        <v>47</v>
      </c>
    </row>
    <row r="1739" spans="1:13" x14ac:dyDescent="0.25">
      <c r="A1739">
        <v>1738</v>
      </c>
      <c r="B1739" t="s">
        <v>3596</v>
      </c>
      <c r="C1739" s="2" t="s">
        <v>3597</v>
      </c>
      <c r="D1739" s="2">
        <f t="shared" ca="1" si="108"/>
        <v>64</v>
      </c>
      <c r="E1739" t="s">
        <v>10</v>
      </c>
      <c r="F1739" t="s">
        <v>69</v>
      </c>
      <c r="G1739" t="s">
        <v>70</v>
      </c>
      <c r="H1739" t="str">
        <f t="shared" si="109"/>
        <v>Aracaju - SE</v>
      </c>
      <c r="I1739" s="1" t="s">
        <v>90</v>
      </c>
      <c r="J1739" s="3">
        <v>108</v>
      </c>
      <c r="K1739" s="4">
        <f t="shared" si="110"/>
        <v>36.506219578150358</v>
      </c>
      <c r="L1739" s="1" t="str">
        <f t="shared" si="111"/>
        <v>Obesidade grau II - severa</v>
      </c>
      <c r="M1739" t="s">
        <v>14</v>
      </c>
    </row>
    <row r="1740" spans="1:13" x14ac:dyDescent="0.25">
      <c r="A1740">
        <v>1739</v>
      </c>
      <c r="B1740" t="s">
        <v>2057</v>
      </c>
      <c r="C1740" s="2" t="s">
        <v>2058</v>
      </c>
      <c r="D1740" s="2">
        <f t="shared" ca="1" si="108"/>
        <v>80</v>
      </c>
      <c r="E1740" t="s">
        <v>10</v>
      </c>
      <c r="F1740" t="s">
        <v>548</v>
      </c>
      <c r="G1740" t="s">
        <v>131</v>
      </c>
      <c r="H1740" t="str">
        <f t="shared" si="109"/>
        <v>Lages - SC</v>
      </c>
      <c r="I1740" s="1" t="s">
        <v>86</v>
      </c>
      <c r="J1740" s="3">
        <v>59</v>
      </c>
      <c r="K1740" s="4">
        <f t="shared" si="110"/>
        <v>18.009218277830346</v>
      </c>
      <c r="L1740" s="1" t="str">
        <f t="shared" si="111"/>
        <v>Abaixo do peso</v>
      </c>
      <c r="M1740" t="s">
        <v>32</v>
      </c>
    </row>
    <row r="1741" spans="1:13" x14ac:dyDescent="0.25">
      <c r="A1741">
        <v>1740</v>
      </c>
      <c r="B1741" t="s">
        <v>926</v>
      </c>
      <c r="C1741" s="2" t="s">
        <v>927</v>
      </c>
      <c r="D1741" s="2">
        <f t="shared" ca="1" si="108"/>
        <v>50</v>
      </c>
      <c r="E1741" t="s">
        <v>10</v>
      </c>
      <c r="F1741" t="s">
        <v>89</v>
      </c>
      <c r="G1741" t="s">
        <v>12</v>
      </c>
      <c r="H1741" t="str">
        <f t="shared" si="109"/>
        <v>Fortaleza - CE</v>
      </c>
      <c r="I1741" s="1" t="s">
        <v>281</v>
      </c>
      <c r="J1741" s="3">
        <v>64</v>
      </c>
      <c r="K1741" s="4">
        <f t="shared" si="110"/>
        <v>24.386526444139609</v>
      </c>
      <c r="L1741" s="1" t="str">
        <f t="shared" si="111"/>
        <v>Peso ideal - parabéns</v>
      </c>
      <c r="M1741" t="s">
        <v>47</v>
      </c>
    </row>
    <row r="1742" spans="1:13" x14ac:dyDescent="0.25">
      <c r="A1742">
        <v>1741</v>
      </c>
      <c r="B1742" t="s">
        <v>62</v>
      </c>
      <c r="C1742" s="2" t="s">
        <v>63</v>
      </c>
      <c r="D1742" s="2">
        <f t="shared" ca="1" si="108"/>
        <v>52</v>
      </c>
      <c r="E1742" t="s">
        <v>10</v>
      </c>
      <c r="F1742" t="s">
        <v>64</v>
      </c>
      <c r="G1742" t="s">
        <v>65</v>
      </c>
      <c r="H1742" t="str">
        <f t="shared" si="109"/>
        <v>Salvador - BA</v>
      </c>
      <c r="I1742" s="1" t="s">
        <v>66</v>
      </c>
      <c r="J1742" s="3">
        <v>59</v>
      </c>
      <c r="K1742" s="4">
        <f t="shared" si="110"/>
        <v>16.693073789044817</v>
      </c>
      <c r="L1742" s="1" t="str">
        <f t="shared" si="111"/>
        <v>Muito abaixo do peso</v>
      </c>
      <c r="M1742" t="s">
        <v>20</v>
      </c>
    </row>
    <row r="1743" spans="1:13" x14ac:dyDescent="0.25">
      <c r="A1743">
        <v>1742</v>
      </c>
      <c r="B1743" t="s">
        <v>672</v>
      </c>
      <c r="C1743" s="2" t="s">
        <v>673</v>
      </c>
      <c r="D1743" s="2">
        <f t="shared" ca="1" si="108"/>
        <v>40</v>
      </c>
      <c r="E1743" t="s">
        <v>10</v>
      </c>
      <c r="F1743" t="s">
        <v>674</v>
      </c>
      <c r="G1743" t="s">
        <v>51</v>
      </c>
      <c r="H1743" t="str">
        <f t="shared" si="109"/>
        <v>Nilópolis - RJ</v>
      </c>
      <c r="I1743" s="1" t="s">
        <v>71</v>
      </c>
      <c r="J1743" s="3">
        <v>107</v>
      </c>
      <c r="K1743" s="4">
        <f t="shared" si="110"/>
        <v>31.950789811579916</v>
      </c>
      <c r="L1743" s="1" t="str">
        <f t="shared" si="111"/>
        <v>Obesidade grau I</v>
      </c>
      <c r="M1743" t="s">
        <v>14</v>
      </c>
    </row>
    <row r="1744" spans="1:13" x14ac:dyDescent="0.25">
      <c r="A1744">
        <v>1743</v>
      </c>
      <c r="B1744" t="s">
        <v>993</v>
      </c>
      <c r="C1744" s="2" t="s">
        <v>994</v>
      </c>
      <c r="D1744" s="2">
        <f t="shared" ca="1" si="108"/>
        <v>29</v>
      </c>
      <c r="E1744" t="s">
        <v>10</v>
      </c>
      <c r="F1744" t="s">
        <v>280</v>
      </c>
      <c r="G1744" t="s">
        <v>175</v>
      </c>
      <c r="H1744" t="str">
        <f t="shared" si="109"/>
        <v>Recife - PE</v>
      </c>
      <c r="I1744" s="1" t="s">
        <v>201</v>
      </c>
      <c r="J1744" s="3">
        <v>95</v>
      </c>
      <c r="K1744" s="4">
        <f t="shared" si="110"/>
        <v>24.729279466888798</v>
      </c>
      <c r="L1744" s="1" t="str">
        <f t="shared" si="111"/>
        <v>Peso ideal - parabéns</v>
      </c>
      <c r="M1744" t="s">
        <v>26</v>
      </c>
    </row>
    <row r="1745" spans="1:13" x14ac:dyDescent="0.25">
      <c r="A1745">
        <v>1744</v>
      </c>
      <c r="B1745" t="s">
        <v>2892</v>
      </c>
      <c r="C1745" s="2" t="s">
        <v>2893</v>
      </c>
      <c r="D1745" s="2">
        <f t="shared" ca="1" si="108"/>
        <v>81</v>
      </c>
      <c r="E1745" t="s">
        <v>10</v>
      </c>
      <c r="F1745" t="s">
        <v>2894</v>
      </c>
      <c r="G1745" t="s">
        <v>103</v>
      </c>
      <c r="H1745" t="str">
        <f t="shared" si="109"/>
        <v>Jandira - SP</v>
      </c>
      <c r="I1745" s="1" t="s">
        <v>400</v>
      </c>
      <c r="J1745" s="3">
        <v>66</v>
      </c>
      <c r="K1745" s="4">
        <f t="shared" si="110"/>
        <v>20.37037037037037</v>
      </c>
      <c r="L1745" s="1" t="str">
        <f t="shared" si="111"/>
        <v>Peso ideal - parabéns</v>
      </c>
      <c r="M1745" t="s">
        <v>95</v>
      </c>
    </row>
    <row r="1746" spans="1:13" x14ac:dyDescent="0.25">
      <c r="A1746">
        <v>1745</v>
      </c>
      <c r="B1746" t="s">
        <v>814</v>
      </c>
      <c r="C1746" s="2" t="s">
        <v>815</v>
      </c>
      <c r="D1746" s="2">
        <f t="shared" ca="1" si="108"/>
        <v>80</v>
      </c>
      <c r="E1746" t="s">
        <v>10</v>
      </c>
      <c r="F1746" t="s">
        <v>616</v>
      </c>
      <c r="G1746" t="s">
        <v>273</v>
      </c>
      <c r="H1746" t="str">
        <f t="shared" si="109"/>
        <v>Serra - ES</v>
      </c>
      <c r="I1746" s="1" t="s">
        <v>286</v>
      </c>
      <c r="J1746" s="3">
        <v>107</v>
      </c>
      <c r="K1746" s="4">
        <f t="shared" si="110"/>
        <v>39.302112029384759</v>
      </c>
      <c r="L1746" s="1" t="str">
        <f t="shared" si="111"/>
        <v>Obesidade grau II - severa</v>
      </c>
      <c r="M1746" t="s">
        <v>83</v>
      </c>
    </row>
    <row r="1747" spans="1:13" x14ac:dyDescent="0.25">
      <c r="A1747">
        <v>1746</v>
      </c>
      <c r="B1747" t="s">
        <v>3824</v>
      </c>
      <c r="C1747" s="2" t="s">
        <v>3423</v>
      </c>
      <c r="D1747" s="2">
        <f t="shared" ca="1" si="108"/>
        <v>65</v>
      </c>
      <c r="E1747" t="s">
        <v>10</v>
      </c>
      <c r="F1747" t="s">
        <v>74</v>
      </c>
      <c r="G1747" t="s">
        <v>75</v>
      </c>
      <c r="H1747" t="str">
        <f t="shared" si="109"/>
        <v>Macapá - AP</v>
      </c>
      <c r="I1747" s="1" t="s">
        <v>148</v>
      </c>
      <c r="J1747" s="3">
        <v>84</v>
      </c>
      <c r="K1747" s="4">
        <f t="shared" si="110"/>
        <v>22.090729783037478</v>
      </c>
      <c r="L1747" s="1" t="str">
        <f t="shared" si="111"/>
        <v>Peso ideal - parabéns</v>
      </c>
      <c r="M1747" t="s">
        <v>83</v>
      </c>
    </row>
    <row r="1748" spans="1:13" x14ac:dyDescent="0.25">
      <c r="A1748">
        <v>1747</v>
      </c>
      <c r="B1748" t="s">
        <v>1893</v>
      </c>
      <c r="C1748" s="2" t="s">
        <v>1894</v>
      </c>
      <c r="D1748" s="2">
        <f t="shared" ca="1" si="108"/>
        <v>69</v>
      </c>
      <c r="E1748" t="s">
        <v>10</v>
      </c>
      <c r="F1748" t="s">
        <v>439</v>
      </c>
      <c r="G1748" t="s">
        <v>190</v>
      </c>
      <c r="H1748" t="str">
        <f t="shared" si="109"/>
        <v>Rondonópolis - MT</v>
      </c>
      <c r="I1748" s="1" t="s">
        <v>218</v>
      </c>
      <c r="J1748" s="3">
        <v>86</v>
      </c>
      <c r="K1748" s="4">
        <f t="shared" si="110"/>
        <v>23.087868130688072</v>
      </c>
      <c r="L1748" s="1" t="str">
        <f t="shared" si="111"/>
        <v>Peso ideal - parabéns</v>
      </c>
      <c r="M1748" t="s">
        <v>83</v>
      </c>
    </row>
    <row r="1749" spans="1:13" x14ac:dyDescent="0.25">
      <c r="A1749">
        <v>1748</v>
      </c>
      <c r="B1749" t="s">
        <v>549</v>
      </c>
      <c r="C1749" s="2" t="s">
        <v>550</v>
      </c>
      <c r="D1749" s="2">
        <f t="shared" ca="1" si="108"/>
        <v>39</v>
      </c>
      <c r="E1749" t="s">
        <v>10</v>
      </c>
      <c r="F1749" t="s">
        <v>169</v>
      </c>
      <c r="G1749" t="s">
        <v>170</v>
      </c>
      <c r="H1749" t="str">
        <f t="shared" si="109"/>
        <v>Maceió - AL</v>
      </c>
      <c r="I1749" s="1" t="s">
        <v>179</v>
      </c>
      <c r="J1749" s="3">
        <v>88</v>
      </c>
      <c r="K1749" s="4">
        <f t="shared" si="110"/>
        <v>29.065926806711587</v>
      </c>
      <c r="L1749" s="1" t="str">
        <f t="shared" si="111"/>
        <v>Levemente acima do peso</v>
      </c>
      <c r="M1749" t="s">
        <v>14</v>
      </c>
    </row>
    <row r="1750" spans="1:13" x14ac:dyDescent="0.25">
      <c r="A1750">
        <v>1749</v>
      </c>
      <c r="B1750" t="s">
        <v>2473</v>
      </c>
      <c r="C1750" s="2" t="s">
        <v>2474</v>
      </c>
      <c r="D1750" s="2">
        <f t="shared" ca="1" si="108"/>
        <v>48</v>
      </c>
      <c r="E1750" t="s">
        <v>10</v>
      </c>
      <c r="F1750" t="s">
        <v>329</v>
      </c>
      <c r="G1750" t="s">
        <v>103</v>
      </c>
      <c r="H1750" t="str">
        <f t="shared" si="109"/>
        <v>Guarulhos - SP</v>
      </c>
      <c r="I1750" s="1" t="s">
        <v>117</v>
      </c>
      <c r="J1750" s="3">
        <v>80</v>
      </c>
      <c r="K1750" s="4">
        <f t="shared" si="110"/>
        <v>25.249337204898371</v>
      </c>
      <c r="L1750" s="1" t="str">
        <f t="shared" si="111"/>
        <v>Levemente acima do peso</v>
      </c>
      <c r="M1750" t="s">
        <v>83</v>
      </c>
    </row>
    <row r="1751" spans="1:13" x14ac:dyDescent="0.25">
      <c r="A1751">
        <v>1750</v>
      </c>
      <c r="B1751" t="s">
        <v>3624</v>
      </c>
      <c r="C1751" s="2" t="s">
        <v>3625</v>
      </c>
      <c r="D1751" s="2">
        <f t="shared" ca="1" si="108"/>
        <v>61</v>
      </c>
      <c r="E1751" t="s">
        <v>10</v>
      </c>
      <c r="F1751" t="s">
        <v>89</v>
      </c>
      <c r="G1751" t="s">
        <v>12</v>
      </c>
      <c r="H1751" t="str">
        <f t="shared" si="109"/>
        <v>Fortaleza - CE</v>
      </c>
      <c r="I1751" s="1" t="s">
        <v>318</v>
      </c>
      <c r="J1751" s="3">
        <v>67</v>
      </c>
      <c r="K1751" s="4">
        <f t="shared" si="110"/>
        <v>18.174913194444446</v>
      </c>
      <c r="L1751" s="1" t="str">
        <f t="shared" si="111"/>
        <v>Abaixo do peso</v>
      </c>
      <c r="M1751" t="s">
        <v>32</v>
      </c>
    </row>
    <row r="1752" spans="1:13" x14ac:dyDescent="0.25">
      <c r="A1752">
        <v>1751</v>
      </c>
      <c r="B1752" t="s">
        <v>1769</v>
      </c>
      <c r="C1752" s="2" t="s">
        <v>1770</v>
      </c>
      <c r="D1752" s="2">
        <f t="shared" ca="1" si="108"/>
        <v>73</v>
      </c>
      <c r="E1752" t="s">
        <v>10</v>
      </c>
      <c r="F1752" t="s">
        <v>24</v>
      </c>
      <c r="G1752" t="s">
        <v>25</v>
      </c>
      <c r="H1752" t="str">
        <f t="shared" si="109"/>
        <v>Natal - RN</v>
      </c>
      <c r="I1752" s="1" t="s">
        <v>66</v>
      </c>
      <c r="J1752" s="3">
        <v>85</v>
      </c>
      <c r="K1752" s="4">
        <f t="shared" si="110"/>
        <v>24.049343594386603</v>
      </c>
      <c r="L1752" s="1" t="str">
        <f t="shared" si="111"/>
        <v>Peso ideal - parabéns</v>
      </c>
      <c r="M1752" t="s">
        <v>76</v>
      </c>
    </row>
    <row r="1753" spans="1:13" x14ac:dyDescent="0.25">
      <c r="A1753">
        <v>1752</v>
      </c>
      <c r="B1753" t="s">
        <v>3122</v>
      </c>
      <c r="C1753" s="2" t="s">
        <v>3123</v>
      </c>
      <c r="D1753" s="2">
        <f t="shared" ca="1" si="108"/>
        <v>70</v>
      </c>
      <c r="E1753" t="s">
        <v>10</v>
      </c>
      <c r="F1753" t="s">
        <v>189</v>
      </c>
      <c r="G1753" t="s">
        <v>190</v>
      </c>
      <c r="H1753" t="str">
        <f t="shared" si="109"/>
        <v>Cuiabá - MT</v>
      </c>
      <c r="I1753" s="1" t="s">
        <v>160</v>
      </c>
      <c r="J1753" s="3">
        <v>57</v>
      </c>
      <c r="K1753" s="4">
        <f t="shared" si="110"/>
        <v>16.836011342155007</v>
      </c>
      <c r="L1753" s="1" t="str">
        <f t="shared" si="111"/>
        <v>Muito abaixo do peso</v>
      </c>
      <c r="M1753" t="s">
        <v>32</v>
      </c>
    </row>
    <row r="1754" spans="1:13" x14ac:dyDescent="0.25">
      <c r="A1754">
        <v>1753</v>
      </c>
      <c r="B1754" t="s">
        <v>963</v>
      </c>
      <c r="C1754" s="2" t="s">
        <v>964</v>
      </c>
      <c r="D1754" s="2">
        <f t="shared" ca="1" si="108"/>
        <v>35</v>
      </c>
      <c r="E1754" t="s">
        <v>10</v>
      </c>
      <c r="F1754" t="s">
        <v>153</v>
      </c>
      <c r="G1754" t="s">
        <v>154</v>
      </c>
      <c r="H1754" t="str">
        <f t="shared" si="109"/>
        <v>Manaus - AM</v>
      </c>
      <c r="I1754" s="1" t="s">
        <v>639</v>
      </c>
      <c r="J1754" s="3">
        <v>93</v>
      </c>
      <c r="K1754" s="4">
        <f t="shared" si="110"/>
        <v>23.25</v>
      </c>
      <c r="L1754" s="1" t="str">
        <f t="shared" si="111"/>
        <v>Peso ideal - parabéns</v>
      </c>
      <c r="M1754" t="s">
        <v>47</v>
      </c>
    </row>
    <row r="1755" spans="1:13" x14ac:dyDescent="0.25">
      <c r="A1755">
        <v>1754</v>
      </c>
      <c r="B1755" t="s">
        <v>1882</v>
      </c>
      <c r="C1755" s="2" t="s">
        <v>1883</v>
      </c>
      <c r="D1755" s="2">
        <f t="shared" ca="1" si="108"/>
        <v>68</v>
      </c>
      <c r="E1755" t="s">
        <v>10</v>
      </c>
      <c r="F1755" t="s">
        <v>1335</v>
      </c>
      <c r="G1755" t="s">
        <v>51</v>
      </c>
      <c r="H1755" t="str">
        <f t="shared" si="109"/>
        <v>Japeri - RJ</v>
      </c>
      <c r="I1755" s="1" t="s">
        <v>66</v>
      </c>
      <c r="J1755" s="3">
        <v>92</v>
      </c>
      <c r="K1755" s="4">
        <f t="shared" si="110"/>
        <v>26.029877772747852</v>
      </c>
      <c r="L1755" s="1" t="str">
        <f t="shared" si="111"/>
        <v>Levemente acima do peso</v>
      </c>
      <c r="M1755" t="s">
        <v>26</v>
      </c>
    </row>
    <row r="1756" spans="1:13" x14ac:dyDescent="0.25">
      <c r="A1756">
        <v>1755</v>
      </c>
      <c r="B1756" t="s">
        <v>2707</v>
      </c>
      <c r="C1756" s="2" t="s">
        <v>2708</v>
      </c>
      <c r="D1756" s="2">
        <f t="shared" ca="1" si="108"/>
        <v>61</v>
      </c>
      <c r="E1756" t="s">
        <v>23</v>
      </c>
      <c r="F1756" t="s">
        <v>98</v>
      </c>
      <c r="G1756" t="s">
        <v>65</v>
      </c>
      <c r="H1756" t="str">
        <f t="shared" si="109"/>
        <v>Vitória da Conquista - BA</v>
      </c>
      <c r="I1756" s="1" t="s">
        <v>194</v>
      </c>
      <c r="J1756" s="3">
        <v>64</v>
      </c>
      <c r="K1756" s="4">
        <f t="shared" si="110"/>
        <v>18.699780861943022</v>
      </c>
      <c r="L1756" s="1" t="str">
        <f t="shared" si="111"/>
        <v>Peso ideal - parabéns</v>
      </c>
      <c r="M1756" t="s">
        <v>32</v>
      </c>
    </row>
    <row r="1757" spans="1:13" x14ac:dyDescent="0.25">
      <c r="A1757">
        <v>1756</v>
      </c>
      <c r="B1757" t="s">
        <v>2435</v>
      </c>
      <c r="C1757" s="2" t="s">
        <v>2436</v>
      </c>
      <c r="D1757" s="2">
        <f t="shared" ca="1" si="108"/>
        <v>81</v>
      </c>
      <c r="E1757" t="s">
        <v>23</v>
      </c>
      <c r="F1757" t="s">
        <v>2437</v>
      </c>
      <c r="G1757" t="s">
        <v>186</v>
      </c>
      <c r="H1757" t="str">
        <f t="shared" si="109"/>
        <v>Patos de Minas - MG</v>
      </c>
      <c r="I1757" s="1" t="s">
        <v>86</v>
      </c>
      <c r="J1757" s="3">
        <v>72</v>
      </c>
      <c r="K1757" s="4">
        <f t="shared" si="110"/>
        <v>21.977351118708221</v>
      </c>
      <c r="L1757" s="1" t="str">
        <f t="shared" si="111"/>
        <v>Peso ideal - parabéns</v>
      </c>
      <c r="M1757" t="s">
        <v>83</v>
      </c>
    </row>
    <row r="1758" spans="1:13" x14ac:dyDescent="0.25">
      <c r="A1758">
        <v>1757</v>
      </c>
      <c r="B1758" t="s">
        <v>3727</v>
      </c>
      <c r="C1758" s="2" t="s">
        <v>3403</v>
      </c>
      <c r="D1758" s="2">
        <f t="shared" ca="1" si="108"/>
        <v>54</v>
      </c>
      <c r="E1758" t="s">
        <v>23</v>
      </c>
      <c r="F1758" t="s">
        <v>775</v>
      </c>
      <c r="G1758" t="s">
        <v>51</v>
      </c>
      <c r="H1758" t="str">
        <f t="shared" si="109"/>
        <v>Rio de Janeiro - RJ</v>
      </c>
      <c r="I1758" s="1" t="s">
        <v>113</v>
      </c>
      <c r="J1758" s="3">
        <v>52</v>
      </c>
      <c r="K1758" s="4">
        <f t="shared" si="110"/>
        <v>19.571681282697881</v>
      </c>
      <c r="L1758" s="1" t="str">
        <f t="shared" si="111"/>
        <v>Peso ideal - parabéns</v>
      </c>
      <c r="M1758" t="s">
        <v>76</v>
      </c>
    </row>
    <row r="1759" spans="1:13" x14ac:dyDescent="0.25">
      <c r="A1759">
        <v>1758</v>
      </c>
      <c r="B1759" t="s">
        <v>3202</v>
      </c>
      <c r="C1759" s="2" t="s">
        <v>3203</v>
      </c>
      <c r="D1759" s="2">
        <f t="shared" ca="1" si="108"/>
        <v>70</v>
      </c>
      <c r="E1759" t="s">
        <v>23</v>
      </c>
      <c r="F1759" t="s">
        <v>564</v>
      </c>
      <c r="G1759" t="s">
        <v>565</v>
      </c>
      <c r="H1759" t="str">
        <f t="shared" si="109"/>
        <v>Rio Branco - AC</v>
      </c>
      <c r="I1759" s="1" t="s">
        <v>13</v>
      </c>
      <c r="J1759" s="3">
        <v>57</v>
      </c>
      <c r="K1759" s="4">
        <f t="shared" si="110"/>
        <v>19.493177387914233</v>
      </c>
      <c r="L1759" s="1" t="str">
        <f t="shared" si="111"/>
        <v>Peso ideal - parabéns</v>
      </c>
      <c r="M1759" t="s">
        <v>20</v>
      </c>
    </row>
    <row r="1760" spans="1:13" x14ac:dyDescent="0.25">
      <c r="A1760">
        <v>1759</v>
      </c>
      <c r="B1760" t="s">
        <v>729</v>
      </c>
      <c r="C1760" s="2" t="s">
        <v>730</v>
      </c>
      <c r="D1760" s="2">
        <f t="shared" ca="1" si="108"/>
        <v>77</v>
      </c>
      <c r="E1760" t="s">
        <v>23</v>
      </c>
      <c r="F1760" t="s">
        <v>169</v>
      </c>
      <c r="G1760" t="s">
        <v>170</v>
      </c>
      <c r="H1760" t="str">
        <f t="shared" si="109"/>
        <v>Maceió - AL</v>
      </c>
      <c r="I1760" s="1" t="s">
        <v>247</v>
      </c>
      <c r="J1760" s="3">
        <v>47</v>
      </c>
      <c r="K1760" s="4">
        <f t="shared" si="110"/>
        <v>20.888888888888889</v>
      </c>
      <c r="L1760" s="1" t="str">
        <f t="shared" si="111"/>
        <v>Peso ideal - parabéns</v>
      </c>
      <c r="M1760" t="s">
        <v>83</v>
      </c>
    </row>
    <row r="1761" spans="1:13" x14ac:dyDescent="0.25">
      <c r="A1761">
        <v>1760</v>
      </c>
      <c r="B1761" t="s">
        <v>2019</v>
      </c>
      <c r="C1761" s="2" t="s">
        <v>2020</v>
      </c>
      <c r="D1761" s="2">
        <f t="shared" ca="1" si="108"/>
        <v>26</v>
      </c>
      <c r="E1761" t="s">
        <v>23</v>
      </c>
      <c r="F1761" t="s">
        <v>17</v>
      </c>
      <c r="G1761" t="s">
        <v>18</v>
      </c>
      <c r="H1761" t="str">
        <f t="shared" si="109"/>
        <v>Campo Grande - MS</v>
      </c>
      <c r="I1761" s="1" t="s">
        <v>19</v>
      </c>
      <c r="J1761" s="3">
        <v>54</v>
      </c>
      <c r="K1761" s="4">
        <f t="shared" si="110"/>
        <v>17.236426314277505</v>
      </c>
      <c r="L1761" s="1" t="str">
        <f t="shared" si="111"/>
        <v>Abaixo do peso</v>
      </c>
      <c r="M1761" t="s">
        <v>32</v>
      </c>
    </row>
    <row r="1762" spans="1:13" x14ac:dyDescent="0.25">
      <c r="A1762">
        <v>1761</v>
      </c>
      <c r="B1762" t="s">
        <v>1252</v>
      </c>
      <c r="C1762" s="2" t="s">
        <v>1253</v>
      </c>
      <c r="D1762" s="2">
        <f t="shared" ca="1" si="108"/>
        <v>64</v>
      </c>
      <c r="E1762" t="s">
        <v>10</v>
      </c>
      <c r="F1762" t="s">
        <v>153</v>
      </c>
      <c r="G1762" t="s">
        <v>154</v>
      </c>
      <c r="H1762" t="str">
        <f t="shared" si="109"/>
        <v>Manaus - AM</v>
      </c>
      <c r="I1762" s="1" t="s">
        <v>99</v>
      </c>
      <c r="J1762" s="3">
        <v>106</v>
      </c>
      <c r="K1762" s="4">
        <f t="shared" si="110"/>
        <v>28.164523328727814</v>
      </c>
      <c r="L1762" s="1" t="str">
        <f t="shared" si="111"/>
        <v>Levemente acima do peso</v>
      </c>
      <c r="M1762" t="s">
        <v>32</v>
      </c>
    </row>
    <row r="1763" spans="1:13" x14ac:dyDescent="0.25">
      <c r="A1763">
        <v>1762</v>
      </c>
      <c r="B1763" t="s">
        <v>3803</v>
      </c>
      <c r="C1763" s="2" t="s">
        <v>3804</v>
      </c>
      <c r="D1763" s="2">
        <f t="shared" ca="1" si="108"/>
        <v>73</v>
      </c>
      <c r="E1763" t="s">
        <v>10</v>
      </c>
      <c r="F1763" t="s">
        <v>107</v>
      </c>
      <c r="G1763" t="s">
        <v>36</v>
      </c>
      <c r="H1763" t="str">
        <f t="shared" si="109"/>
        <v>São Luís - MA</v>
      </c>
      <c r="I1763" s="1" t="s">
        <v>179</v>
      </c>
      <c r="J1763" s="3">
        <v>101</v>
      </c>
      <c r="K1763" s="4">
        <f t="shared" si="110"/>
        <v>33.359756903157617</v>
      </c>
      <c r="L1763" s="1" t="str">
        <f t="shared" si="111"/>
        <v>Obesidade grau I</v>
      </c>
      <c r="M1763" t="s">
        <v>95</v>
      </c>
    </row>
    <row r="1764" spans="1:13" x14ac:dyDescent="0.25">
      <c r="A1764">
        <v>1763</v>
      </c>
      <c r="B1764" t="s">
        <v>3803</v>
      </c>
      <c r="C1764" s="2" t="s">
        <v>3804</v>
      </c>
      <c r="D1764" s="2">
        <f t="shared" ca="1" si="108"/>
        <v>73</v>
      </c>
      <c r="E1764" t="s">
        <v>10</v>
      </c>
      <c r="F1764" t="s">
        <v>107</v>
      </c>
      <c r="G1764" t="s">
        <v>36</v>
      </c>
      <c r="H1764" t="str">
        <f t="shared" si="109"/>
        <v>São Luís - MA</v>
      </c>
      <c r="I1764" s="1" t="s">
        <v>179</v>
      </c>
      <c r="J1764" s="3">
        <v>101</v>
      </c>
      <c r="K1764" s="4">
        <f t="shared" si="110"/>
        <v>33.359756903157617</v>
      </c>
      <c r="L1764" s="1" t="str">
        <f t="shared" si="111"/>
        <v>Obesidade grau I</v>
      </c>
      <c r="M1764" t="s">
        <v>95</v>
      </c>
    </row>
    <row r="1765" spans="1:13" x14ac:dyDescent="0.25">
      <c r="A1765">
        <v>1764</v>
      </c>
      <c r="B1765" t="s">
        <v>4010</v>
      </c>
      <c r="C1765" s="2" t="s">
        <v>3773</v>
      </c>
      <c r="D1765" s="2">
        <f t="shared" ca="1" si="108"/>
        <v>51</v>
      </c>
      <c r="E1765" t="s">
        <v>10</v>
      </c>
      <c r="F1765" t="s">
        <v>244</v>
      </c>
      <c r="G1765" t="s">
        <v>60</v>
      </c>
      <c r="H1765" t="str">
        <f t="shared" si="109"/>
        <v>Araguaína - TO</v>
      </c>
      <c r="I1765" s="1" t="s">
        <v>262</v>
      </c>
      <c r="J1765" s="3">
        <v>109</v>
      </c>
      <c r="K1765" s="4">
        <f t="shared" si="110"/>
        <v>30.193905817174517</v>
      </c>
      <c r="L1765" s="1" t="str">
        <f t="shared" si="111"/>
        <v>Obesidade grau I</v>
      </c>
      <c r="M1765" t="s">
        <v>83</v>
      </c>
    </row>
    <row r="1766" spans="1:13" x14ac:dyDescent="0.25">
      <c r="A1766">
        <v>1765</v>
      </c>
      <c r="B1766" t="s">
        <v>1908</v>
      </c>
      <c r="C1766" s="2" t="s">
        <v>1909</v>
      </c>
      <c r="D1766" s="2">
        <f t="shared" ca="1" si="108"/>
        <v>45</v>
      </c>
      <c r="E1766" t="s">
        <v>10</v>
      </c>
      <c r="F1766" t="s">
        <v>419</v>
      </c>
      <c r="G1766" t="s">
        <v>25</v>
      </c>
      <c r="H1766" t="str">
        <f t="shared" si="109"/>
        <v>Mossoró - RN</v>
      </c>
      <c r="I1766" s="1" t="s">
        <v>262</v>
      </c>
      <c r="J1766" s="3">
        <v>85</v>
      </c>
      <c r="K1766" s="4">
        <f t="shared" si="110"/>
        <v>23.545706371191137</v>
      </c>
      <c r="L1766" s="1" t="str">
        <f t="shared" si="111"/>
        <v>Peso ideal - parabéns</v>
      </c>
      <c r="M1766" t="s">
        <v>32</v>
      </c>
    </row>
    <row r="1767" spans="1:13" x14ac:dyDescent="0.25">
      <c r="A1767">
        <v>1766</v>
      </c>
      <c r="B1767" t="s">
        <v>4079</v>
      </c>
      <c r="C1767" s="2" t="s">
        <v>4080</v>
      </c>
      <c r="D1767" s="2">
        <f t="shared" ca="1" si="108"/>
        <v>78</v>
      </c>
      <c r="E1767" t="s">
        <v>10</v>
      </c>
      <c r="F1767" t="s">
        <v>3530</v>
      </c>
      <c r="G1767" t="s">
        <v>186</v>
      </c>
      <c r="H1767" t="str">
        <f t="shared" si="109"/>
        <v>Varginha - MG</v>
      </c>
      <c r="I1767" s="1" t="s">
        <v>171</v>
      </c>
      <c r="J1767" s="3">
        <v>106</v>
      </c>
      <c r="K1767" s="4">
        <f t="shared" si="110"/>
        <v>38.007816701925492</v>
      </c>
      <c r="L1767" s="1" t="str">
        <f t="shared" si="111"/>
        <v>Obesidade grau II - severa</v>
      </c>
      <c r="M1767" t="s">
        <v>47</v>
      </c>
    </row>
    <row r="1768" spans="1:13" x14ac:dyDescent="0.25">
      <c r="A1768">
        <v>1767</v>
      </c>
      <c r="B1768" t="s">
        <v>1402</v>
      </c>
      <c r="C1768" s="2" t="s">
        <v>1403</v>
      </c>
      <c r="D1768" s="2">
        <f t="shared" ca="1" si="108"/>
        <v>55</v>
      </c>
      <c r="E1768" t="s">
        <v>10</v>
      </c>
      <c r="F1768" t="s">
        <v>457</v>
      </c>
      <c r="G1768" t="s">
        <v>41</v>
      </c>
      <c r="H1768" t="str">
        <f t="shared" si="109"/>
        <v>João Pessoa - PB</v>
      </c>
      <c r="I1768" s="1" t="s">
        <v>104</v>
      </c>
      <c r="J1768" s="3">
        <v>84</v>
      </c>
      <c r="K1768" s="4">
        <f t="shared" si="110"/>
        <v>29.065743944636683</v>
      </c>
      <c r="L1768" s="1" t="str">
        <f t="shared" si="111"/>
        <v>Levemente acima do peso</v>
      </c>
      <c r="M1768" t="s">
        <v>32</v>
      </c>
    </row>
    <row r="1769" spans="1:13" x14ac:dyDescent="0.25">
      <c r="A1769">
        <v>1768</v>
      </c>
      <c r="B1769" t="s">
        <v>3930</v>
      </c>
      <c r="C1769" s="2" t="s">
        <v>3830</v>
      </c>
      <c r="D1769" s="2">
        <f t="shared" ca="1" si="108"/>
        <v>74</v>
      </c>
      <c r="E1769" t="s">
        <v>10</v>
      </c>
      <c r="F1769" t="s">
        <v>29</v>
      </c>
      <c r="G1769" t="s">
        <v>30</v>
      </c>
      <c r="H1769" t="str">
        <f t="shared" si="109"/>
        <v>Cacoal - RO</v>
      </c>
      <c r="I1769" s="1" t="s">
        <v>400</v>
      </c>
      <c r="J1769" s="3">
        <v>53</v>
      </c>
      <c r="K1769" s="4">
        <f t="shared" si="110"/>
        <v>16.358024691358022</v>
      </c>
      <c r="L1769" s="1" t="str">
        <f t="shared" si="111"/>
        <v>Muito abaixo do peso</v>
      </c>
      <c r="M1769" t="s">
        <v>32</v>
      </c>
    </row>
    <row r="1770" spans="1:13" x14ac:dyDescent="0.25">
      <c r="A1770">
        <v>1769</v>
      </c>
      <c r="B1770" t="s">
        <v>1493</v>
      </c>
      <c r="C1770" s="2" t="s">
        <v>1445</v>
      </c>
      <c r="D1770" s="2">
        <f t="shared" ca="1" si="108"/>
        <v>65</v>
      </c>
      <c r="E1770" t="s">
        <v>10</v>
      </c>
      <c r="F1770" t="s">
        <v>24</v>
      </c>
      <c r="G1770" t="s">
        <v>25</v>
      </c>
      <c r="H1770" t="str">
        <f t="shared" si="109"/>
        <v>Natal - RN</v>
      </c>
      <c r="I1770" s="1" t="s">
        <v>155</v>
      </c>
      <c r="J1770" s="3">
        <v>104</v>
      </c>
      <c r="K1770" s="4">
        <f t="shared" si="110"/>
        <v>31.397174254317108</v>
      </c>
      <c r="L1770" s="1" t="str">
        <f t="shared" si="111"/>
        <v>Obesidade grau I</v>
      </c>
      <c r="M1770" t="s">
        <v>47</v>
      </c>
    </row>
    <row r="1771" spans="1:13" x14ac:dyDescent="0.25">
      <c r="A1771">
        <v>1770</v>
      </c>
      <c r="B1771" t="s">
        <v>3048</v>
      </c>
      <c r="C1771" s="2" t="s">
        <v>3049</v>
      </c>
      <c r="D1771" s="2">
        <f t="shared" ca="1" si="108"/>
        <v>22</v>
      </c>
      <c r="E1771" t="s">
        <v>10</v>
      </c>
      <c r="F1771" t="s">
        <v>189</v>
      </c>
      <c r="G1771" t="s">
        <v>190</v>
      </c>
      <c r="H1771" t="str">
        <f t="shared" si="109"/>
        <v>Cuiabá - MT</v>
      </c>
      <c r="I1771" s="1" t="s">
        <v>108</v>
      </c>
      <c r="J1771" s="3">
        <v>106</v>
      </c>
      <c r="K1771" s="4">
        <f t="shared" si="110"/>
        <v>29.05622104657219</v>
      </c>
      <c r="L1771" s="1" t="str">
        <f t="shared" si="111"/>
        <v>Levemente acima do peso</v>
      </c>
      <c r="M1771" t="s">
        <v>20</v>
      </c>
    </row>
    <row r="1772" spans="1:13" x14ac:dyDescent="0.25">
      <c r="A1772">
        <v>1771</v>
      </c>
      <c r="B1772" t="s">
        <v>718</v>
      </c>
      <c r="C1772" s="2" t="s">
        <v>719</v>
      </c>
      <c r="D1772" s="2">
        <f t="shared" ca="1" si="108"/>
        <v>53</v>
      </c>
      <c r="E1772" t="s">
        <v>10</v>
      </c>
      <c r="F1772" t="s">
        <v>267</v>
      </c>
      <c r="G1772" t="s">
        <v>103</v>
      </c>
      <c r="H1772" t="str">
        <f t="shared" si="109"/>
        <v>São Paulo - SP</v>
      </c>
      <c r="I1772" s="1" t="s">
        <v>281</v>
      </c>
      <c r="J1772" s="3">
        <v>94</v>
      </c>
      <c r="K1772" s="4">
        <f t="shared" si="110"/>
        <v>35.817710714830049</v>
      </c>
      <c r="L1772" s="1" t="str">
        <f t="shared" si="111"/>
        <v>Obesidade grau II - severa</v>
      </c>
      <c r="M1772" t="s">
        <v>83</v>
      </c>
    </row>
    <row r="1773" spans="1:13" x14ac:dyDescent="0.25">
      <c r="A1773">
        <v>1772</v>
      </c>
      <c r="B1773" t="s">
        <v>3509</v>
      </c>
      <c r="C1773" s="2" t="s">
        <v>3510</v>
      </c>
      <c r="D1773" s="2">
        <f t="shared" ca="1" si="108"/>
        <v>51</v>
      </c>
      <c r="E1773" t="s">
        <v>10</v>
      </c>
      <c r="F1773" t="s">
        <v>69</v>
      </c>
      <c r="G1773" t="s">
        <v>70</v>
      </c>
      <c r="H1773" t="str">
        <f t="shared" si="109"/>
        <v>Aracaju - SE</v>
      </c>
      <c r="I1773" s="1" t="s">
        <v>132</v>
      </c>
      <c r="J1773" s="3">
        <v>91</v>
      </c>
      <c r="K1773" s="4">
        <f t="shared" si="110"/>
        <v>26.023048986244955</v>
      </c>
      <c r="L1773" s="1" t="str">
        <f t="shared" si="111"/>
        <v>Levemente acima do peso</v>
      </c>
      <c r="M1773" t="s">
        <v>14</v>
      </c>
    </row>
    <row r="1774" spans="1:13" x14ac:dyDescent="0.25">
      <c r="A1774">
        <v>1773</v>
      </c>
      <c r="B1774" t="s">
        <v>596</v>
      </c>
      <c r="C1774" s="2" t="s">
        <v>597</v>
      </c>
      <c r="D1774" s="2">
        <f t="shared" ca="1" si="108"/>
        <v>77</v>
      </c>
      <c r="E1774" t="s">
        <v>10</v>
      </c>
      <c r="F1774" t="s">
        <v>54</v>
      </c>
      <c r="G1774" t="s">
        <v>55</v>
      </c>
      <c r="H1774" t="str">
        <f t="shared" si="109"/>
        <v>Ponta Grossa - PR</v>
      </c>
      <c r="I1774" s="1" t="s">
        <v>56</v>
      </c>
      <c r="J1774" s="3">
        <v>75</v>
      </c>
      <c r="K1774" s="4">
        <f t="shared" si="110"/>
        <v>26.259584748433181</v>
      </c>
      <c r="L1774" s="1" t="str">
        <f t="shared" si="111"/>
        <v>Levemente acima do peso</v>
      </c>
      <c r="M1774" t="s">
        <v>14</v>
      </c>
    </row>
    <row r="1775" spans="1:13" x14ac:dyDescent="0.25">
      <c r="A1775">
        <v>1774</v>
      </c>
      <c r="B1775" t="s">
        <v>1728</v>
      </c>
      <c r="C1775" s="2" t="s">
        <v>1729</v>
      </c>
      <c r="D1775" s="2">
        <f t="shared" ca="1" si="108"/>
        <v>55</v>
      </c>
      <c r="E1775" t="s">
        <v>23</v>
      </c>
      <c r="F1775" t="s">
        <v>74</v>
      </c>
      <c r="G1775" t="s">
        <v>75</v>
      </c>
      <c r="H1775" t="str">
        <f t="shared" si="109"/>
        <v>Macapá - AP</v>
      </c>
      <c r="I1775" s="1" t="s">
        <v>360</v>
      </c>
      <c r="J1775" s="3">
        <v>67</v>
      </c>
      <c r="K1775" s="4">
        <f t="shared" si="110"/>
        <v>26.83864765261977</v>
      </c>
      <c r="L1775" s="1" t="str">
        <f t="shared" si="111"/>
        <v>Levemente acima do peso</v>
      </c>
      <c r="M1775" t="s">
        <v>32</v>
      </c>
    </row>
    <row r="1776" spans="1:13" x14ac:dyDescent="0.25">
      <c r="A1776">
        <v>1775</v>
      </c>
      <c r="B1776" t="s">
        <v>2670</v>
      </c>
      <c r="C1776" s="2" t="s">
        <v>2671</v>
      </c>
      <c r="D1776" s="2">
        <f t="shared" ca="1" si="108"/>
        <v>54</v>
      </c>
      <c r="E1776" t="s">
        <v>23</v>
      </c>
      <c r="F1776" t="s">
        <v>2672</v>
      </c>
      <c r="G1776" t="s">
        <v>175</v>
      </c>
      <c r="H1776" t="str">
        <f t="shared" si="109"/>
        <v>Gravatá - PE</v>
      </c>
      <c r="I1776" s="1" t="s">
        <v>42</v>
      </c>
      <c r="J1776" s="3">
        <v>59</v>
      </c>
      <c r="K1776" s="4">
        <f t="shared" si="110"/>
        <v>18.413907181423802</v>
      </c>
      <c r="L1776" s="1" t="str">
        <f t="shared" si="111"/>
        <v>Abaixo do peso</v>
      </c>
      <c r="M1776" t="s">
        <v>95</v>
      </c>
    </row>
    <row r="1777" spans="1:13" x14ac:dyDescent="0.25">
      <c r="A1777">
        <v>1776</v>
      </c>
      <c r="B1777" t="s">
        <v>3087</v>
      </c>
      <c r="C1777" s="2" t="s">
        <v>3088</v>
      </c>
      <c r="D1777" s="2">
        <f t="shared" ca="1" si="108"/>
        <v>44</v>
      </c>
      <c r="E1777" t="s">
        <v>23</v>
      </c>
      <c r="F1777" t="s">
        <v>2922</v>
      </c>
      <c r="G1777" t="s">
        <v>186</v>
      </c>
      <c r="H1777" t="str">
        <f t="shared" si="109"/>
        <v>Betim - MG</v>
      </c>
      <c r="I1777" s="1" t="s">
        <v>31</v>
      </c>
      <c r="J1777" s="3">
        <v>70</v>
      </c>
      <c r="K1777" s="4">
        <f t="shared" si="110"/>
        <v>26.026174895895306</v>
      </c>
      <c r="L1777" s="1" t="str">
        <f t="shared" si="111"/>
        <v>Levemente acima do peso</v>
      </c>
      <c r="M1777" t="s">
        <v>76</v>
      </c>
    </row>
    <row r="1778" spans="1:13" x14ac:dyDescent="0.25">
      <c r="A1778">
        <v>1777</v>
      </c>
      <c r="B1778" t="s">
        <v>2420</v>
      </c>
      <c r="C1778" s="2" t="s">
        <v>2421</v>
      </c>
      <c r="D1778" s="2">
        <f t="shared" ca="1" si="108"/>
        <v>48</v>
      </c>
      <c r="E1778" t="s">
        <v>23</v>
      </c>
      <c r="F1778" t="s">
        <v>158</v>
      </c>
      <c r="G1778" t="s">
        <v>159</v>
      </c>
      <c r="H1778" t="str">
        <f t="shared" si="109"/>
        <v>Brasília - DF</v>
      </c>
      <c r="I1778" s="1" t="s">
        <v>56</v>
      </c>
      <c r="J1778" s="3">
        <v>56</v>
      </c>
      <c r="K1778" s="4">
        <f t="shared" si="110"/>
        <v>19.607156612163443</v>
      </c>
      <c r="L1778" s="1" t="str">
        <f t="shared" si="111"/>
        <v>Peso ideal - parabéns</v>
      </c>
      <c r="M1778" t="s">
        <v>47</v>
      </c>
    </row>
    <row r="1779" spans="1:13" x14ac:dyDescent="0.25">
      <c r="A1779">
        <v>1778</v>
      </c>
      <c r="B1779" t="s">
        <v>3700</v>
      </c>
      <c r="C1779" s="2" t="s">
        <v>870</v>
      </c>
      <c r="D1779" s="2">
        <f t="shared" ca="1" si="108"/>
        <v>46</v>
      </c>
      <c r="E1779" t="s">
        <v>23</v>
      </c>
      <c r="F1779" t="s">
        <v>280</v>
      </c>
      <c r="G1779" t="s">
        <v>175</v>
      </c>
      <c r="H1779" t="str">
        <f t="shared" si="109"/>
        <v>Recife - PE</v>
      </c>
      <c r="I1779" s="1" t="s">
        <v>386</v>
      </c>
      <c r="J1779" s="3">
        <v>64</v>
      </c>
      <c r="K1779" s="4">
        <f t="shared" si="110"/>
        <v>23.225431847873423</v>
      </c>
      <c r="L1779" s="1" t="str">
        <f t="shared" si="111"/>
        <v>Peso ideal - parabéns</v>
      </c>
      <c r="M1779" t="s">
        <v>83</v>
      </c>
    </row>
    <row r="1780" spans="1:13" x14ac:dyDescent="0.25">
      <c r="A1780">
        <v>1779</v>
      </c>
      <c r="B1780" t="s">
        <v>2332</v>
      </c>
      <c r="C1780" s="2" t="s">
        <v>2333</v>
      </c>
      <c r="D1780" s="2">
        <f t="shared" ca="1" si="108"/>
        <v>52</v>
      </c>
      <c r="E1780" t="s">
        <v>23</v>
      </c>
      <c r="F1780" t="s">
        <v>17</v>
      </c>
      <c r="G1780" t="s">
        <v>18</v>
      </c>
      <c r="H1780" t="str">
        <f t="shared" si="109"/>
        <v>Campo Grande - MS</v>
      </c>
      <c r="I1780" s="1" t="s">
        <v>213</v>
      </c>
      <c r="J1780" s="3">
        <v>82</v>
      </c>
      <c r="K1780" s="4">
        <f t="shared" si="110"/>
        <v>35.491689750692522</v>
      </c>
      <c r="L1780" s="1" t="str">
        <f t="shared" si="111"/>
        <v>Obesidade grau II - severa</v>
      </c>
      <c r="M1780" t="s">
        <v>83</v>
      </c>
    </row>
    <row r="1781" spans="1:13" x14ac:dyDescent="0.25">
      <c r="A1781">
        <v>1780</v>
      </c>
      <c r="B1781" t="s">
        <v>1279</v>
      </c>
      <c r="C1781" s="2" t="s">
        <v>1280</v>
      </c>
      <c r="D1781" s="2">
        <f t="shared" ca="1" si="108"/>
        <v>66</v>
      </c>
      <c r="E1781" t="s">
        <v>23</v>
      </c>
      <c r="F1781" t="s">
        <v>89</v>
      </c>
      <c r="G1781" t="s">
        <v>12</v>
      </c>
      <c r="H1781" t="str">
        <f t="shared" si="109"/>
        <v>Fortaleza - CE</v>
      </c>
      <c r="I1781" s="1" t="s">
        <v>31</v>
      </c>
      <c r="J1781" s="3">
        <v>72</v>
      </c>
      <c r="K1781" s="4">
        <f t="shared" si="110"/>
        <v>26.769779892920884</v>
      </c>
      <c r="L1781" s="1" t="str">
        <f t="shared" si="111"/>
        <v>Levemente acima do peso</v>
      </c>
      <c r="M1781" t="s">
        <v>32</v>
      </c>
    </row>
    <row r="1782" spans="1:13" x14ac:dyDescent="0.25">
      <c r="A1782">
        <v>1781</v>
      </c>
      <c r="B1782" t="s">
        <v>1891</v>
      </c>
      <c r="C1782" s="2" t="s">
        <v>1892</v>
      </c>
      <c r="D1782" s="2">
        <f t="shared" ca="1" si="108"/>
        <v>49</v>
      </c>
      <c r="E1782" t="s">
        <v>23</v>
      </c>
      <c r="F1782" t="s">
        <v>182</v>
      </c>
      <c r="G1782" t="s">
        <v>55</v>
      </c>
      <c r="H1782" t="str">
        <f t="shared" si="109"/>
        <v>Curitiba - PR</v>
      </c>
      <c r="I1782" s="1" t="s">
        <v>302</v>
      </c>
      <c r="J1782" s="3">
        <v>68</v>
      </c>
      <c r="K1782" s="4">
        <f t="shared" si="110"/>
        <v>29.823253366080436</v>
      </c>
      <c r="L1782" s="1" t="str">
        <f t="shared" si="111"/>
        <v>Levemente acima do peso</v>
      </c>
      <c r="M1782" t="s">
        <v>32</v>
      </c>
    </row>
    <row r="1783" spans="1:13" x14ac:dyDescent="0.25">
      <c r="A1783">
        <v>1782</v>
      </c>
      <c r="B1783" t="s">
        <v>679</v>
      </c>
      <c r="C1783" s="2" t="s">
        <v>680</v>
      </c>
      <c r="D1783" s="2">
        <f t="shared" ca="1" si="108"/>
        <v>61</v>
      </c>
      <c r="E1783" t="s">
        <v>23</v>
      </c>
      <c r="F1783" t="s">
        <v>681</v>
      </c>
      <c r="G1783" t="s">
        <v>175</v>
      </c>
      <c r="H1783" t="str">
        <f t="shared" si="109"/>
        <v>Jaboatão dos Guararapes - PE</v>
      </c>
      <c r="I1783" s="1" t="s">
        <v>286</v>
      </c>
      <c r="J1783" s="3">
        <v>77</v>
      </c>
      <c r="K1783" s="4">
        <f t="shared" si="110"/>
        <v>28.282828282828287</v>
      </c>
      <c r="L1783" s="1" t="str">
        <f t="shared" si="111"/>
        <v>Levemente acima do peso</v>
      </c>
      <c r="M1783" t="s">
        <v>14</v>
      </c>
    </row>
    <row r="1784" spans="1:13" x14ac:dyDescent="0.25">
      <c r="A1784">
        <v>1783</v>
      </c>
      <c r="B1784" t="s">
        <v>242</v>
      </c>
      <c r="C1784" s="2" t="s">
        <v>243</v>
      </c>
      <c r="D1784" s="2">
        <f t="shared" ca="1" si="108"/>
        <v>55</v>
      </c>
      <c r="E1784" t="s">
        <v>23</v>
      </c>
      <c r="F1784" t="s">
        <v>244</v>
      </c>
      <c r="G1784" t="s">
        <v>60</v>
      </c>
      <c r="H1784" t="str">
        <f t="shared" si="109"/>
        <v>Araguaína - TO</v>
      </c>
      <c r="I1784" s="1" t="s">
        <v>86</v>
      </c>
      <c r="J1784" s="3">
        <v>82</v>
      </c>
      <c r="K1784" s="4">
        <f t="shared" si="110"/>
        <v>25.029760996306585</v>
      </c>
      <c r="L1784" s="1" t="str">
        <f t="shared" si="111"/>
        <v>Levemente acima do peso</v>
      </c>
      <c r="M1784" t="s">
        <v>95</v>
      </c>
    </row>
    <row r="1785" spans="1:13" x14ac:dyDescent="0.25">
      <c r="A1785">
        <v>1784</v>
      </c>
      <c r="B1785" t="s">
        <v>3112</v>
      </c>
      <c r="C1785" s="2" t="s">
        <v>3113</v>
      </c>
      <c r="D1785" s="2">
        <f t="shared" ca="1" si="108"/>
        <v>39</v>
      </c>
      <c r="E1785" t="s">
        <v>23</v>
      </c>
      <c r="F1785" t="s">
        <v>236</v>
      </c>
      <c r="G1785" t="s">
        <v>237</v>
      </c>
      <c r="H1785" t="str">
        <f t="shared" si="109"/>
        <v>Teresina - PI</v>
      </c>
      <c r="I1785" s="1" t="s">
        <v>31</v>
      </c>
      <c r="J1785" s="3">
        <v>53</v>
      </c>
      <c r="K1785" s="4">
        <f t="shared" si="110"/>
        <v>19.705532421177875</v>
      </c>
      <c r="L1785" s="1" t="str">
        <f t="shared" si="111"/>
        <v>Peso ideal - parabéns</v>
      </c>
      <c r="M1785" t="s">
        <v>26</v>
      </c>
    </row>
    <row r="1786" spans="1:13" x14ac:dyDescent="0.25">
      <c r="A1786">
        <v>1785</v>
      </c>
      <c r="B1786" t="s">
        <v>3130</v>
      </c>
      <c r="C1786" s="2" t="s">
        <v>3131</v>
      </c>
      <c r="D1786" s="2">
        <f t="shared" ca="1" si="108"/>
        <v>80</v>
      </c>
      <c r="E1786" t="s">
        <v>23</v>
      </c>
      <c r="F1786" t="s">
        <v>189</v>
      </c>
      <c r="G1786" t="s">
        <v>190</v>
      </c>
      <c r="H1786" t="str">
        <f t="shared" si="109"/>
        <v>Cuiabá - MT</v>
      </c>
      <c r="I1786" s="1" t="s">
        <v>71</v>
      </c>
      <c r="J1786" s="3">
        <v>64</v>
      </c>
      <c r="K1786" s="4">
        <f t="shared" si="110"/>
        <v>19.110752784496398</v>
      </c>
      <c r="L1786" s="1" t="str">
        <f t="shared" si="111"/>
        <v>Peso ideal - parabéns</v>
      </c>
      <c r="M1786" t="s">
        <v>32</v>
      </c>
    </row>
    <row r="1787" spans="1:13" x14ac:dyDescent="0.25">
      <c r="A1787">
        <v>1786</v>
      </c>
      <c r="B1787" t="s">
        <v>1338</v>
      </c>
      <c r="C1787" s="2" t="s">
        <v>1339</v>
      </c>
      <c r="D1787" s="2">
        <f t="shared" ca="1" si="108"/>
        <v>59</v>
      </c>
      <c r="E1787" t="s">
        <v>23</v>
      </c>
      <c r="F1787" t="s">
        <v>236</v>
      </c>
      <c r="G1787" t="s">
        <v>237</v>
      </c>
      <c r="H1787" t="str">
        <f t="shared" si="109"/>
        <v>Teresina - PI</v>
      </c>
      <c r="I1787" s="1" t="s">
        <v>179</v>
      </c>
      <c r="J1787" s="3">
        <v>59</v>
      </c>
      <c r="K1787" s="4">
        <f t="shared" si="110"/>
        <v>19.487382745408905</v>
      </c>
      <c r="L1787" s="1" t="str">
        <f t="shared" si="111"/>
        <v>Peso ideal - parabéns</v>
      </c>
      <c r="M1787" t="s">
        <v>26</v>
      </c>
    </row>
    <row r="1788" spans="1:13" x14ac:dyDescent="0.25">
      <c r="A1788">
        <v>1787</v>
      </c>
      <c r="B1788" t="s">
        <v>2966</v>
      </c>
      <c r="C1788" s="2" t="s">
        <v>2967</v>
      </c>
      <c r="D1788" s="2">
        <f t="shared" ca="1" si="108"/>
        <v>74</v>
      </c>
      <c r="E1788" t="s">
        <v>23</v>
      </c>
      <c r="F1788" t="s">
        <v>321</v>
      </c>
      <c r="G1788" t="s">
        <v>273</v>
      </c>
      <c r="H1788" t="str">
        <f t="shared" si="109"/>
        <v>Cariacica - ES</v>
      </c>
      <c r="I1788" s="1" t="s">
        <v>94</v>
      </c>
      <c r="J1788" s="3">
        <v>61</v>
      </c>
      <c r="K1788" s="4">
        <f t="shared" si="110"/>
        <v>20.381569714992146</v>
      </c>
      <c r="L1788" s="1" t="str">
        <f t="shared" si="111"/>
        <v>Peso ideal - parabéns</v>
      </c>
      <c r="M1788" t="s">
        <v>26</v>
      </c>
    </row>
    <row r="1789" spans="1:13" x14ac:dyDescent="0.25">
      <c r="A1789">
        <v>1788</v>
      </c>
      <c r="B1789" t="s">
        <v>3623</v>
      </c>
      <c r="C1789" s="2" t="s">
        <v>3041</v>
      </c>
      <c r="D1789" s="2">
        <f t="shared" ca="1" si="108"/>
        <v>21</v>
      </c>
      <c r="E1789" t="s">
        <v>23</v>
      </c>
      <c r="F1789" t="s">
        <v>564</v>
      </c>
      <c r="G1789" t="s">
        <v>565</v>
      </c>
      <c r="H1789" t="str">
        <f t="shared" si="109"/>
        <v>Rio Branco - AC</v>
      </c>
      <c r="I1789" s="1" t="s">
        <v>56</v>
      </c>
      <c r="J1789" s="3">
        <v>84</v>
      </c>
      <c r="K1789" s="4">
        <f t="shared" si="110"/>
        <v>29.410734918245165</v>
      </c>
      <c r="L1789" s="1" t="str">
        <f t="shared" si="111"/>
        <v>Levemente acima do peso</v>
      </c>
      <c r="M1789" t="s">
        <v>47</v>
      </c>
    </row>
    <row r="1790" spans="1:13" x14ac:dyDescent="0.25">
      <c r="A1790">
        <v>1789</v>
      </c>
      <c r="B1790" t="s">
        <v>2479</v>
      </c>
      <c r="C1790" s="2" t="s">
        <v>2480</v>
      </c>
      <c r="D1790" s="2">
        <f t="shared" ca="1" si="108"/>
        <v>71</v>
      </c>
      <c r="E1790" t="s">
        <v>23</v>
      </c>
      <c r="F1790" t="s">
        <v>873</v>
      </c>
      <c r="G1790" t="s">
        <v>51</v>
      </c>
      <c r="H1790" t="str">
        <f t="shared" si="109"/>
        <v>Duque de Caxias - RJ</v>
      </c>
      <c r="I1790" s="1" t="s">
        <v>113</v>
      </c>
      <c r="J1790" s="3">
        <v>59</v>
      </c>
      <c r="K1790" s="4">
        <f t="shared" si="110"/>
        <v>22.206330686137981</v>
      </c>
      <c r="L1790" s="1" t="str">
        <f t="shared" si="111"/>
        <v>Peso ideal - parabéns</v>
      </c>
      <c r="M1790" t="s">
        <v>95</v>
      </c>
    </row>
    <row r="1791" spans="1:13" x14ac:dyDescent="0.25">
      <c r="A1791">
        <v>1790</v>
      </c>
      <c r="B1791" t="s">
        <v>2856</v>
      </c>
      <c r="C1791" s="2" t="s">
        <v>2857</v>
      </c>
      <c r="D1791" s="2">
        <f t="shared" ca="1" si="108"/>
        <v>26</v>
      </c>
      <c r="E1791" t="s">
        <v>23</v>
      </c>
      <c r="F1791" t="s">
        <v>244</v>
      </c>
      <c r="G1791" t="s">
        <v>60</v>
      </c>
      <c r="H1791" t="str">
        <f t="shared" si="109"/>
        <v>Araguaína - TO</v>
      </c>
      <c r="I1791" s="1" t="s">
        <v>484</v>
      </c>
      <c r="J1791" s="3">
        <v>48</v>
      </c>
      <c r="K1791" s="4">
        <f t="shared" si="110"/>
        <v>19.979188345473464</v>
      </c>
      <c r="L1791" s="1" t="str">
        <f t="shared" si="111"/>
        <v>Peso ideal - parabéns</v>
      </c>
      <c r="M1791" t="s">
        <v>20</v>
      </c>
    </row>
    <row r="1792" spans="1:13" x14ac:dyDescent="0.25">
      <c r="A1792">
        <v>1791</v>
      </c>
      <c r="B1792" t="s">
        <v>2673</v>
      </c>
      <c r="C1792" s="2" t="s">
        <v>2674</v>
      </c>
      <c r="D1792" s="2">
        <f t="shared" ca="1" si="108"/>
        <v>81</v>
      </c>
      <c r="E1792" t="s">
        <v>23</v>
      </c>
      <c r="F1792" t="s">
        <v>564</v>
      </c>
      <c r="G1792" t="s">
        <v>565</v>
      </c>
      <c r="H1792" t="str">
        <f t="shared" si="109"/>
        <v>Rio Branco - AC</v>
      </c>
      <c r="I1792" s="1" t="s">
        <v>205</v>
      </c>
      <c r="J1792" s="3">
        <v>64</v>
      </c>
      <c r="K1792" s="4">
        <f t="shared" si="110"/>
        <v>27.339911999658252</v>
      </c>
      <c r="L1792" s="1" t="str">
        <f t="shared" si="111"/>
        <v>Levemente acima do peso</v>
      </c>
      <c r="M1792" t="s">
        <v>83</v>
      </c>
    </row>
    <row r="1793" spans="1:13" x14ac:dyDescent="0.25">
      <c r="A1793">
        <v>1792</v>
      </c>
      <c r="B1793" t="s">
        <v>3687</v>
      </c>
      <c r="C1793" s="2" t="s">
        <v>3491</v>
      </c>
      <c r="D1793" s="2">
        <f t="shared" ca="1" si="108"/>
        <v>24</v>
      </c>
      <c r="E1793" t="s">
        <v>23</v>
      </c>
      <c r="F1793" t="s">
        <v>2008</v>
      </c>
      <c r="G1793" t="s">
        <v>12</v>
      </c>
      <c r="H1793" t="str">
        <f t="shared" si="109"/>
        <v>Sobral - CE</v>
      </c>
      <c r="I1793" s="1" t="s">
        <v>191</v>
      </c>
      <c r="J1793" s="3">
        <v>74</v>
      </c>
      <c r="K1793" s="4">
        <f t="shared" si="110"/>
        <v>28.906249999999993</v>
      </c>
      <c r="L1793" s="1" t="str">
        <f t="shared" si="111"/>
        <v>Levemente acima do peso</v>
      </c>
      <c r="M1793" t="s">
        <v>83</v>
      </c>
    </row>
    <row r="1794" spans="1:13" x14ac:dyDescent="0.25">
      <c r="A1794">
        <v>1793</v>
      </c>
      <c r="B1794" t="s">
        <v>531</v>
      </c>
      <c r="C1794" s="2" t="s">
        <v>532</v>
      </c>
      <c r="D1794" s="2">
        <f t="shared" ca="1" si="108"/>
        <v>66</v>
      </c>
      <c r="E1794" t="s">
        <v>23</v>
      </c>
      <c r="F1794" t="s">
        <v>169</v>
      </c>
      <c r="G1794" t="s">
        <v>170</v>
      </c>
      <c r="H1794" t="str">
        <f t="shared" si="109"/>
        <v>Maceió - AL</v>
      </c>
      <c r="I1794" s="1" t="s">
        <v>123</v>
      </c>
      <c r="J1794" s="3">
        <v>45</v>
      </c>
      <c r="K1794" s="4">
        <f t="shared" si="110"/>
        <v>14.527376033057852</v>
      </c>
      <c r="L1794" s="1" t="str">
        <f t="shared" si="111"/>
        <v>Muito abaixo do peso</v>
      </c>
      <c r="M1794" t="s">
        <v>95</v>
      </c>
    </row>
    <row r="1795" spans="1:13" x14ac:dyDescent="0.25">
      <c r="A1795">
        <v>1794</v>
      </c>
      <c r="B1795" t="s">
        <v>4161</v>
      </c>
      <c r="C1795" s="2" t="s">
        <v>3733</v>
      </c>
      <c r="D1795" s="2">
        <f t="shared" ref="D1795:D1858" ca="1" si="112">YEAR(TODAY())-YEAR(C1795)</f>
        <v>56</v>
      </c>
      <c r="E1795" t="s">
        <v>23</v>
      </c>
      <c r="F1795" t="s">
        <v>153</v>
      </c>
      <c r="G1795" t="s">
        <v>154</v>
      </c>
      <c r="H1795" t="str">
        <f t="shared" ref="H1795:H1858" si="113">CONCATENATE(F1795," - ",G1795)</f>
        <v>Manaus - AM</v>
      </c>
      <c r="I1795" s="1" t="s">
        <v>90</v>
      </c>
      <c r="J1795" s="3">
        <v>59</v>
      </c>
      <c r="K1795" s="4">
        <f t="shared" ref="K1795:K1858" si="114">J1795/(I1795*I1795)</f>
        <v>19.943212547322879</v>
      </c>
      <c r="L1795" s="1" t="str">
        <f t="shared" ref="L1795:L1858" si="115">IF(K1795&gt;=40,"Obesidade grau III - mórbida",
IF(K1795&gt;=35,"Obesidade grau II - severa",
IF(K1795&gt;=30,"Obesidade grau I",
IF(K1795&gt;=25,"Levemente acima do peso",
IF(K1795&gt;=18.6,"Peso ideal - parabéns",
IF(K1795&gt;=17,"Abaixo do peso",
"Muito abaixo do peso"))))))</f>
        <v>Peso ideal - parabéns</v>
      </c>
      <c r="M1795" t="s">
        <v>83</v>
      </c>
    </row>
    <row r="1796" spans="1:13" x14ac:dyDescent="0.25">
      <c r="A1796">
        <v>1795</v>
      </c>
      <c r="B1796" t="s">
        <v>2973</v>
      </c>
      <c r="C1796" s="2" t="s">
        <v>2974</v>
      </c>
      <c r="D1796" s="2">
        <f t="shared" ca="1" si="112"/>
        <v>35</v>
      </c>
      <c r="E1796" t="s">
        <v>23</v>
      </c>
      <c r="F1796" t="s">
        <v>153</v>
      </c>
      <c r="G1796" t="s">
        <v>154</v>
      </c>
      <c r="H1796" t="str">
        <f t="shared" si="113"/>
        <v>Manaus - AM</v>
      </c>
      <c r="I1796" s="1" t="s">
        <v>247</v>
      </c>
      <c r="J1796" s="3">
        <v>61</v>
      </c>
      <c r="K1796" s="4">
        <f t="shared" si="114"/>
        <v>27.111111111111111</v>
      </c>
      <c r="L1796" s="1" t="str">
        <f t="shared" si="115"/>
        <v>Levemente acima do peso</v>
      </c>
      <c r="M1796" t="s">
        <v>26</v>
      </c>
    </row>
    <row r="1797" spans="1:13" x14ac:dyDescent="0.25">
      <c r="A1797">
        <v>1796</v>
      </c>
      <c r="B1797" t="s">
        <v>1219</v>
      </c>
      <c r="C1797" s="2" t="s">
        <v>1130</v>
      </c>
      <c r="D1797" s="2">
        <f t="shared" ca="1" si="112"/>
        <v>56</v>
      </c>
      <c r="E1797" t="s">
        <v>23</v>
      </c>
      <c r="F1797" t="s">
        <v>280</v>
      </c>
      <c r="G1797" t="s">
        <v>175</v>
      </c>
      <c r="H1797" t="str">
        <f t="shared" si="113"/>
        <v>Recife - PE</v>
      </c>
      <c r="I1797" s="1" t="s">
        <v>86</v>
      </c>
      <c r="J1797" s="3">
        <v>77</v>
      </c>
      <c r="K1797" s="4">
        <f t="shared" si="114"/>
        <v>23.503556057507403</v>
      </c>
      <c r="L1797" s="1" t="str">
        <f t="shared" si="115"/>
        <v>Peso ideal - parabéns</v>
      </c>
      <c r="M1797" t="s">
        <v>83</v>
      </c>
    </row>
    <row r="1798" spans="1:13" x14ac:dyDescent="0.25">
      <c r="A1798">
        <v>1797</v>
      </c>
      <c r="B1798" t="s">
        <v>982</v>
      </c>
      <c r="C1798" s="2" t="s">
        <v>173</v>
      </c>
      <c r="D1798" s="2">
        <f t="shared" ca="1" si="112"/>
        <v>44</v>
      </c>
      <c r="E1798" t="s">
        <v>23</v>
      </c>
      <c r="F1798" t="s">
        <v>523</v>
      </c>
      <c r="G1798" t="s">
        <v>273</v>
      </c>
      <c r="H1798" t="str">
        <f t="shared" si="113"/>
        <v>Viana - ES</v>
      </c>
      <c r="I1798" s="1" t="s">
        <v>213</v>
      </c>
      <c r="J1798" s="3">
        <v>60</v>
      </c>
      <c r="K1798" s="4">
        <f t="shared" si="114"/>
        <v>25.969529085872576</v>
      </c>
      <c r="L1798" s="1" t="str">
        <f t="shared" si="115"/>
        <v>Levemente acima do peso</v>
      </c>
      <c r="M1798" t="s">
        <v>83</v>
      </c>
    </row>
    <row r="1799" spans="1:13" x14ac:dyDescent="0.25">
      <c r="A1799">
        <v>1798</v>
      </c>
      <c r="B1799" t="s">
        <v>3751</v>
      </c>
      <c r="C1799" s="2" t="s">
        <v>3752</v>
      </c>
      <c r="D1799" s="2">
        <f t="shared" ca="1" si="112"/>
        <v>52</v>
      </c>
      <c r="E1799" t="s">
        <v>23</v>
      </c>
      <c r="F1799" t="s">
        <v>126</v>
      </c>
      <c r="G1799" t="s">
        <v>127</v>
      </c>
      <c r="H1799" t="str">
        <f t="shared" si="113"/>
        <v>Boa Vista - RR</v>
      </c>
      <c r="I1799" s="1" t="s">
        <v>179</v>
      </c>
      <c r="J1799" s="3">
        <v>60</v>
      </c>
      <c r="K1799" s="4">
        <f t="shared" si="114"/>
        <v>19.817677368212443</v>
      </c>
      <c r="L1799" s="1" t="str">
        <f t="shared" si="115"/>
        <v>Peso ideal - parabéns</v>
      </c>
      <c r="M1799" t="s">
        <v>14</v>
      </c>
    </row>
    <row r="1800" spans="1:13" x14ac:dyDescent="0.25">
      <c r="A1800">
        <v>1799</v>
      </c>
      <c r="B1800" t="s">
        <v>2645</v>
      </c>
      <c r="C1800" s="2" t="s">
        <v>2646</v>
      </c>
      <c r="D1800" s="2">
        <f t="shared" ca="1" si="112"/>
        <v>28</v>
      </c>
      <c r="E1800" t="s">
        <v>23</v>
      </c>
      <c r="F1800" t="s">
        <v>244</v>
      </c>
      <c r="G1800" t="s">
        <v>60</v>
      </c>
      <c r="H1800" t="str">
        <f t="shared" si="113"/>
        <v>Araguaína - TO</v>
      </c>
      <c r="I1800" s="1" t="s">
        <v>209</v>
      </c>
      <c r="J1800" s="3">
        <v>50</v>
      </c>
      <c r="K1800" s="4">
        <f t="shared" si="114"/>
        <v>21.0828132906055</v>
      </c>
      <c r="L1800" s="1" t="str">
        <f t="shared" si="115"/>
        <v>Peso ideal - parabéns</v>
      </c>
      <c r="M1800" t="s">
        <v>47</v>
      </c>
    </row>
    <row r="1801" spans="1:13" x14ac:dyDescent="0.25">
      <c r="A1801">
        <v>1800</v>
      </c>
      <c r="B1801" t="s">
        <v>3731</v>
      </c>
      <c r="C1801" s="2" t="s">
        <v>3090</v>
      </c>
      <c r="D1801" s="2">
        <f t="shared" ca="1" si="112"/>
        <v>72</v>
      </c>
      <c r="E1801" t="s">
        <v>23</v>
      </c>
      <c r="F1801" t="s">
        <v>1055</v>
      </c>
      <c r="G1801" t="s">
        <v>30</v>
      </c>
      <c r="H1801" t="str">
        <f t="shared" si="113"/>
        <v>Ariquemes - RO</v>
      </c>
      <c r="I1801" s="1" t="s">
        <v>416</v>
      </c>
      <c r="J1801" s="3">
        <v>90</v>
      </c>
      <c r="K1801" s="4">
        <f t="shared" si="114"/>
        <v>34.720882681995292</v>
      </c>
      <c r="L1801" s="1" t="str">
        <f t="shared" si="115"/>
        <v>Obesidade grau I</v>
      </c>
      <c r="M1801" t="s">
        <v>83</v>
      </c>
    </row>
    <row r="1802" spans="1:13" x14ac:dyDescent="0.25">
      <c r="A1802">
        <v>1801</v>
      </c>
      <c r="B1802" t="s">
        <v>1854</v>
      </c>
      <c r="C1802" s="2" t="s">
        <v>1855</v>
      </c>
      <c r="D1802" s="2">
        <f t="shared" ca="1" si="112"/>
        <v>42</v>
      </c>
      <c r="E1802" t="s">
        <v>23</v>
      </c>
      <c r="F1802" t="s">
        <v>40</v>
      </c>
      <c r="G1802" t="s">
        <v>41</v>
      </c>
      <c r="H1802" t="str">
        <f t="shared" si="113"/>
        <v>Campina Grande - PB</v>
      </c>
      <c r="I1802" s="1" t="s">
        <v>447</v>
      </c>
      <c r="J1802" s="3">
        <v>49</v>
      </c>
      <c r="K1802" s="4">
        <f t="shared" si="114"/>
        <v>16</v>
      </c>
      <c r="L1802" s="1" t="str">
        <f t="shared" si="115"/>
        <v>Muito abaixo do peso</v>
      </c>
      <c r="M1802" t="s">
        <v>47</v>
      </c>
    </row>
    <row r="1803" spans="1:13" x14ac:dyDescent="0.25">
      <c r="A1803">
        <v>1802</v>
      </c>
      <c r="B1803" t="s">
        <v>48</v>
      </c>
      <c r="C1803" s="2" t="s">
        <v>49</v>
      </c>
      <c r="D1803" s="2">
        <f t="shared" ca="1" si="112"/>
        <v>47</v>
      </c>
      <c r="E1803" t="s">
        <v>10</v>
      </c>
      <c r="F1803" t="s">
        <v>50</v>
      </c>
      <c r="G1803" t="s">
        <v>51</v>
      </c>
      <c r="H1803" t="str">
        <f t="shared" si="113"/>
        <v>Magé - RJ</v>
      </c>
      <c r="I1803" s="1" t="s">
        <v>37</v>
      </c>
      <c r="J1803" s="3">
        <v>70</v>
      </c>
      <c r="K1803" s="4">
        <f t="shared" si="114"/>
        <v>18.037053260841557</v>
      </c>
      <c r="L1803" s="1" t="str">
        <f t="shared" si="115"/>
        <v>Abaixo do peso</v>
      </c>
      <c r="M1803" t="s">
        <v>20</v>
      </c>
    </row>
    <row r="1804" spans="1:13" x14ac:dyDescent="0.25">
      <c r="A1804">
        <v>1803</v>
      </c>
      <c r="B1804" t="s">
        <v>749</v>
      </c>
      <c r="C1804" s="2" t="s">
        <v>750</v>
      </c>
      <c r="D1804" s="2">
        <f t="shared" ca="1" si="112"/>
        <v>79</v>
      </c>
      <c r="E1804" t="s">
        <v>10</v>
      </c>
      <c r="F1804" t="s">
        <v>17</v>
      </c>
      <c r="G1804" t="s">
        <v>18</v>
      </c>
      <c r="H1804" t="str">
        <f t="shared" si="113"/>
        <v>Campo Grande - MS</v>
      </c>
      <c r="I1804" s="1" t="s">
        <v>166</v>
      </c>
      <c r="J1804" s="3">
        <v>63</v>
      </c>
      <c r="K1804" s="4">
        <f t="shared" si="114"/>
        <v>22.321428571428577</v>
      </c>
      <c r="L1804" s="1" t="str">
        <f t="shared" si="115"/>
        <v>Peso ideal - parabéns</v>
      </c>
      <c r="M1804" t="s">
        <v>76</v>
      </c>
    </row>
    <row r="1805" spans="1:13" x14ac:dyDescent="0.25">
      <c r="A1805">
        <v>1804</v>
      </c>
      <c r="B1805" t="s">
        <v>2956</v>
      </c>
      <c r="C1805" s="2" t="s">
        <v>2957</v>
      </c>
      <c r="D1805" s="2">
        <f t="shared" ca="1" si="112"/>
        <v>76</v>
      </c>
      <c r="E1805" t="s">
        <v>10</v>
      </c>
      <c r="F1805" t="s">
        <v>309</v>
      </c>
      <c r="G1805" t="s">
        <v>310</v>
      </c>
      <c r="H1805" t="str">
        <f t="shared" si="113"/>
        <v>Gravataí - RS</v>
      </c>
      <c r="I1805" s="1" t="s">
        <v>386</v>
      </c>
      <c r="J1805" s="3">
        <v>101</v>
      </c>
      <c r="K1805" s="4">
        <f t="shared" si="114"/>
        <v>36.652634634925242</v>
      </c>
      <c r="L1805" s="1" t="str">
        <f t="shared" si="115"/>
        <v>Obesidade grau II - severa</v>
      </c>
      <c r="M1805" t="s">
        <v>20</v>
      </c>
    </row>
    <row r="1806" spans="1:13" x14ac:dyDescent="0.25">
      <c r="A1806">
        <v>1805</v>
      </c>
      <c r="B1806" t="s">
        <v>1298</v>
      </c>
      <c r="C1806" s="2" t="s">
        <v>1299</v>
      </c>
      <c r="D1806" s="2">
        <f t="shared" ca="1" si="112"/>
        <v>33</v>
      </c>
      <c r="E1806" t="s">
        <v>10</v>
      </c>
      <c r="F1806" t="s">
        <v>158</v>
      </c>
      <c r="G1806" t="s">
        <v>159</v>
      </c>
      <c r="H1806" t="str">
        <f t="shared" si="113"/>
        <v>Brasília - DF</v>
      </c>
      <c r="I1806" s="1" t="s">
        <v>117</v>
      </c>
      <c r="J1806" s="3">
        <v>66</v>
      </c>
      <c r="K1806" s="4">
        <f t="shared" si="114"/>
        <v>20.830703194041156</v>
      </c>
      <c r="L1806" s="1" t="str">
        <f t="shared" si="115"/>
        <v>Peso ideal - parabéns</v>
      </c>
      <c r="M1806" t="s">
        <v>95</v>
      </c>
    </row>
    <row r="1807" spans="1:13" x14ac:dyDescent="0.25">
      <c r="A1807">
        <v>1806</v>
      </c>
      <c r="B1807" t="s">
        <v>1536</v>
      </c>
      <c r="C1807" s="2" t="s">
        <v>1537</v>
      </c>
      <c r="D1807" s="2">
        <f t="shared" ca="1" si="112"/>
        <v>22</v>
      </c>
      <c r="E1807" t="s">
        <v>10</v>
      </c>
      <c r="F1807" t="s">
        <v>1055</v>
      </c>
      <c r="G1807" t="s">
        <v>30</v>
      </c>
      <c r="H1807" t="str">
        <f t="shared" si="113"/>
        <v>Ariquemes - RO</v>
      </c>
      <c r="I1807" s="1" t="s">
        <v>218</v>
      </c>
      <c r="J1807" s="3">
        <v>54</v>
      </c>
      <c r="K1807" s="4">
        <f t="shared" si="114"/>
        <v>14.49703347740879</v>
      </c>
      <c r="L1807" s="1" t="str">
        <f t="shared" si="115"/>
        <v>Muito abaixo do peso</v>
      </c>
      <c r="M1807" t="s">
        <v>95</v>
      </c>
    </row>
    <row r="1808" spans="1:13" x14ac:dyDescent="0.25">
      <c r="A1808">
        <v>1807</v>
      </c>
      <c r="B1808" t="s">
        <v>1179</v>
      </c>
      <c r="C1808" s="2" t="s">
        <v>1180</v>
      </c>
      <c r="D1808" s="2">
        <f t="shared" ca="1" si="112"/>
        <v>81</v>
      </c>
      <c r="E1808" t="s">
        <v>10</v>
      </c>
      <c r="F1808" t="s">
        <v>236</v>
      </c>
      <c r="G1808" t="s">
        <v>237</v>
      </c>
      <c r="H1808" t="str">
        <f t="shared" si="113"/>
        <v>Teresina - PI</v>
      </c>
      <c r="I1808" s="1" t="s">
        <v>166</v>
      </c>
      <c r="J1808" s="3">
        <v>86</v>
      </c>
      <c r="K1808" s="4">
        <f t="shared" si="114"/>
        <v>30.470521541950117</v>
      </c>
      <c r="L1808" s="1" t="str">
        <f t="shared" si="115"/>
        <v>Obesidade grau I</v>
      </c>
      <c r="M1808" t="s">
        <v>20</v>
      </c>
    </row>
    <row r="1809" spans="1:13" x14ac:dyDescent="0.25">
      <c r="A1809">
        <v>1808</v>
      </c>
      <c r="B1809" t="s">
        <v>2116</v>
      </c>
      <c r="C1809" s="2" t="s">
        <v>864</v>
      </c>
      <c r="D1809" s="2">
        <f t="shared" ca="1" si="112"/>
        <v>44</v>
      </c>
      <c r="E1809" t="s">
        <v>10</v>
      </c>
      <c r="F1809" t="s">
        <v>1288</v>
      </c>
      <c r="G1809" t="s">
        <v>131</v>
      </c>
      <c r="H1809" t="str">
        <f t="shared" si="113"/>
        <v>Jaraguá do Sul - SC</v>
      </c>
      <c r="I1809" s="1" t="s">
        <v>19</v>
      </c>
      <c r="J1809" s="3">
        <v>57</v>
      </c>
      <c r="K1809" s="4">
        <f t="shared" si="114"/>
        <v>18.194005553959588</v>
      </c>
      <c r="L1809" s="1" t="str">
        <f t="shared" si="115"/>
        <v>Abaixo do peso</v>
      </c>
      <c r="M1809" t="s">
        <v>14</v>
      </c>
    </row>
    <row r="1810" spans="1:13" x14ac:dyDescent="0.25">
      <c r="A1810">
        <v>1809</v>
      </c>
      <c r="B1810" t="s">
        <v>3842</v>
      </c>
      <c r="C1810" s="2" t="s">
        <v>2974</v>
      </c>
      <c r="D1810" s="2">
        <f t="shared" ca="1" si="112"/>
        <v>35</v>
      </c>
      <c r="E1810" t="s">
        <v>10</v>
      </c>
      <c r="F1810" t="s">
        <v>321</v>
      </c>
      <c r="G1810" t="s">
        <v>273</v>
      </c>
      <c r="H1810" t="str">
        <f t="shared" si="113"/>
        <v>Cariacica - ES</v>
      </c>
      <c r="I1810" s="1" t="s">
        <v>42</v>
      </c>
      <c r="J1810" s="3">
        <v>100</v>
      </c>
      <c r="K1810" s="4">
        <f t="shared" si="114"/>
        <v>31.210012171904747</v>
      </c>
      <c r="L1810" s="1" t="str">
        <f t="shared" si="115"/>
        <v>Obesidade grau I</v>
      </c>
      <c r="M1810" t="s">
        <v>26</v>
      </c>
    </row>
    <row r="1811" spans="1:13" x14ac:dyDescent="0.25">
      <c r="A1811">
        <v>1810</v>
      </c>
      <c r="B1811" t="s">
        <v>2159</v>
      </c>
      <c r="C1811" s="2" t="s">
        <v>2160</v>
      </c>
      <c r="D1811" s="2">
        <f t="shared" ca="1" si="112"/>
        <v>74</v>
      </c>
      <c r="E1811" t="s">
        <v>10</v>
      </c>
      <c r="F1811" t="s">
        <v>107</v>
      </c>
      <c r="G1811" t="s">
        <v>36</v>
      </c>
      <c r="H1811" t="str">
        <f t="shared" si="113"/>
        <v>São Luís - MA</v>
      </c>
      <c r="I1811" s="1" t="s">
        <v>179</v>
      </c>
      <c r="J1811" s="3">
        <v>97</v>
      </c>
      <c r="K1811" s="4">
        <f t="shared" si="114"/>
        <v>32.038578411943455</v>
      </c>
      <c r="L1811" s="1" t="str">
        <f t="shared" si="115"/>
        <v>Obesidade grau I</v>
      </c>
      <c r="M1811" t="s">
        <v>14</v>
      </c>
    </row>
    <row r="1812" spans="1:13" x14ac:dyDescent="0.25">
      <c r="A1812">
        <v>1811</v>
      </c>
      <c r="B1812" t="s">
        <v>3834</v>
      </c>
      <c r="C1812" s="2" t="s">
        <v>3835</v>
      </c>
      <c r="D1812" s="2">
        <f t="shared" ca="1" si="112"/>
        <v>32</v>
      </c>
      <c r="E1812" t="s">
        <v>10</v>
      </c>
      <c r="F1812" t="s">
        <v>107</v>
      </c>
      <c r="G1812" t="s">
        <v>36</v>
      </c>
      <c r="H1812" t="str">
        <f t="shared" si="113"/>
        <v>São Luís - MA</v>
      </c>
      <c r="I1812" s="1" t="s">
        <v>61</v>
      </c>
      <c r="J1812" s="3">
        <v>80</v>
      </c>
      <c r="K1812" s="4">
        <f t="shared" si="114"/>
        <v>22.395789591556788</v>
      </c>
      <c r="L1812" s="1" t="str">
        <f t="shared" si="115"/>
        <v>Peso ideal - parabéns</v>
      </c>
      <c r="M1812" t="s">
        <v>26</v>
      </c>
    </row>
    <row r="1813" spans="1:13" x14ac:dyDescent="0.25">
      <c r="A1813">
        <v>1812</v>
      </c>
      <c r="B1813" t="s">
        <v>1158</v>
      </c>
      <c r="C1813" s="2" t="s">
        <v>1159</v>
      </c>
      <c r="D1813" s="2">
        <f t="shared" ca="1" si="112"/>
        <v>46</v>
      </c>
      <c r="E1813" t="s">
        <v>10</v>
      </c>
      <c r="F1813" t="s">
        <v>45</v>
      </c>
      <c r="G1813" t="s">
        <v>46</v>
      </c>
      <c r="H1813" t="str">
        <f t="shared" si="113"/>
        <v>Goiânia - GO</v>
      </c>
      <c r="I1813" s="1" t="s">
        <v>160</v>
      </c>
      <c r="J1813" s="3">
        <v>54</v>
      </c>
      <c r="K1813" s="4">
        <f t="shared" si="114"/>
        <v>15.949905482041586</v>
      </c>
      <c r="L1813" s="1" t="str">
        <f t="shared" si="115"/>
        <v>Muito abaixo do peso</v>
      </c>
      <c r="M1813" t="s">
        <v>20</v>
      </c>
    </row>
    <row r="1814" spans="1:13" x14ac:dyDescent="0.25">
      <c r="A1814">
        <v>1813</v>
      </c>
      <c r="B1814" t="s">
        <v>2897</v>
      </c>
      <c r="C1814" s="2" t="s">
        <v>2898</v>
      </c>
      <c r="D1814" s="2">
        <f t="shared" ca="1" si="112"/>
        <v>57</v>
      </c>
      <c r="E1814" t="s">
        <v>10</v>
      </c>
      <c r="F1814" t="s">
        <v>135</v>
      </c>
      <c r="G1814" t="s">
        <v>75</v>
      </c>
      <c r="H1814" t="str">
        <f t="shared" si="113"/>
        <v>Santana - AP</v>
      </c>
      <c r="I1814" s="1" t="s">
        <v>166</v>
      </c>
      <c r="J1814" s="3">
        <v>93</v>
      </c>
      <c r="K1814" s="4">
        <f t="shared" si="114"/>
        <v>32.950680272108848</v>
      </c>
      <c r="L1814" s="1" t="str">
        <f t="shared" si="115"/>
        <v>Obesidade grau I</v>
      </c>
      <c r="M1814" t="s">
        <v>47</v>
      </c>
    </row>
    <row r="1815" spans="1:13" x14ac:dyDescent="0.25">
      <c r="A1815">
        <v>1814</v>
      </c>
      <c r="B1815" t="s">
        <v>973</v>
      </c>
      <c r="C1815" s="2" t="s">
        <v>974</v>
      </c>
      <c r="D1815" s="2">
        <f t="shared" ca="1" si="112"/>
        <v>25</v>
      </c>
      <c r="E1815" t="s">
        <v>10</v>
      </c>
      <c r="F1815" t="s">
        <v>354</v>
      </c>
      <c r="G1815" t="s">
        <v>30</v>
      </c>
      <c r="H1815" t="str">
        <f t="shared" si="113"/>
        <v>Porto Velho - RO</v>
      </c>
      <c r="I1815" s="1" t="s">
        <v>13</v>
      </c>
      <c r="J1815" s="3">
        <v>103</v>
      </c>
      <c r="K1815" s="4">
        <f t="shared" si="114"/>
        <v>35.224513525529225</v>
      </c>
      <c r="L1815" s="1" t="str">
        <f t="shared" si="115"/>
        <v>Obesidade grau II - severa</v>
      </c>
      <c r="M1815" t="s">
        <v>32</v>
      </c>
    </row>
    <row r="1816" spans="1:13" x14ac:dyDescent="0.25">
      <c r="A1816">
        <v>1815</v>
      </c>
      <c r="B1816" t="s">
        <v>3231</v>
      </c>
      <c r="C1816" s="2" t="s">
        <v>3232</v>
      </c>
      <c r="D1816" s="2">
        <f t="shared" ca="1" si="112"/>
        <v>33</v>
      </c>
      <c r="E1816" t="s">
        <v>10</v>
      </c>
      <c r="F1816" t="s">
        <v>236</v>
      </c>
      <c r="G1816" t="s">
        <v>237</v>
      </c>
      <c r="H1816" t="str">
        <f t="shared" si="113"/>
        <v>Teresina - PI</v>
      </c>
      <c r="I1816" s="1" t="s">
        <v>194</v>
      </c>
      <c r="J1816" s="3">
        <v>108</v>
      </c>
      <c r="K1816" s="4">
        <f t="shared" si="114"/>
        <v>31.555880204528851</v>
      </c>
      <c r="L1816" s="1" t="str">
        <f t="shared" si="115"/>
        <v>Obesidade grau I</v>
      </c>
      <c r="M1816" t="s">
        <v>47</v>
      </c>
    </row>
    <row r="1817" spans="1:13" x14ac:dyDescent="0.25">
      <c r="A1817">
        <v>1816</v>
      </c>
      <c r="B1817" t="s">
        <v>2171</v>
      </c>
      <c r="C1817" s="2" t="s">
        <v>2172</v>
      </c>
      <c r="D1817" s="2">
        <f t="shared" ca="1" si="112"/>
        <v>56</v>
      </c>
      <c r="E1817" t="s">
        <v>10</v>
      </c>
      <c r="F1817" t="s">
        <v>354</v>
      </c>
      <c r="G1817" t="s">
        <v>30</v>
      </c>
      <c r="H1817" t="str">
        <f t="shared" si="113"/>
        <v>Porto Velho - RO</v>
      </c>
      <c r="I1817" s="1" t="s">
        <v>286</v>
      </c>
      <c r="J1817" s="3">
        <v>99</v>
      </c>
      <c r="K1817" s="4">
        <f t="shared" si="114"/>
        <v>36.363636363636367</v>
      </c>
      <c r="L1817" s="1" t="str">
        <f t="shared" si="115"/>
        <v>Obesidade grau II - severa</v>
      </c>
      <c r="M1817" t="s">
        <v>20</v>
      </c>
    </row>
    <row r="1818" spans="1:13" x14ac:dyDescent="0.25">
      <c r="A1818">
        <v>1817</v>
      </c>
      <c r="B1818" t="s">
        <v>3815</v>
      </c>
      <c r="C1818" s="2" t="s">
        <v>3816</v>
      </c>
      <c r="D1818" s="2">
        <f t="shared" ca="1" si="112"/>
        <v>79</v>
      </c>
      <c r="E1818" t="s">
        <v>10</v>
      </c>
      <c r="F1818" t="s">
        <v>446</v>
      </c>
      <c r="G1818" t="s">
        <v>170</v>
      </c>
      <c r="H1818" t="str">
        <f t="shared" si="113"/>
        <v>Arapiraca - AL</v>
      </c>
      <c r="I1818" s="1" t="s">
        <v>42</v>
      </c>
      <c r="J1818" s="3">
        <v>51</v>
      </c>
      <c r="K1818" s="4">
        <f t="shared" si="114"/>
        <v>15.917106207671422</v>
      </c>
      <c r="L1818" s="1" t="str">
        <f t="shared" si="115"/>
        <v>Muito abaixo do peso</v>
      </c>
      <c r="M1818" t="s">
        <v>26</v>
      </c>
    </row>
    <row r="1819" spans="1:13" x14ac:dyDescent="0.25">
      <c r="A1819">
        <v>1818</v>
      </c>
      <c r="B1819" t="s">
        <v>812</v>
      </c>
      <c r="C1819" s="2" t="s">
        <v>813</v>
      </c>
      <c r="D1819" s="2">
        <f t="shared" ca="1" si="112"/>
        <v>61</v>
      </c>
      <c r="E1819" t="s">
        <v>10</v>
      </c>
      <c r="F1819" t="s">
        <v>158</v>
      </c>
      <c r="G1819" t="s">
        <v>159</v>
      </c>
      <c r="H1819" t="str">
        <f t="shared" si="113"/>
        <v>Brasília - DF</v>
      </c>
      <c r="I1819" s="1" t="s">
        <v>166</v>
      </c>
      <c r="J1819" s="3">
        <v>56</v>
      </c>
      <c r="K1819" s="4">
        <f t="shared" si="114"/>
        <v>19.841269841269845</v>
      </c>
      <c r="L1819" s="1" t="str">
        <f t="shared" si="115"/>
        <v>Peso ideal - parabéns</v>
      </c>
      <c r="M1819" t="s">
        <v>95</v>
      </c>
    </row>
    <row r="1820" spans="1:13" x14ac:dyDescent="0.25">
      <c r="A1820">
        <v>1819</v>
      </c>
      <c r="B1820" t="s">
        <v>229</v>
      </c>
      <c r="C1820" s="2" t="s">
        <v>230</v>
      </c>
      <c r="D1820" s="2">
        <f t="shared" ca="1" si="112"/>
        <v>69</v>
      </c>
      <c r="E1820" t="s">
        <v>10</v>
      </c>
      <c r="F1820" t="s">
        <v>231</v>
      </c>
      <c r="G1820" t="s">
        <v>18</v>
      </c>
      <c r="H1820" t="str">
        <f t="shared" si="113"/>
        <v>Ponta Porã - MS</v>
      </c>
      <c r="I1820" s="1" t="s">
        <v>166</v>
      </c>
      <c r="J1820" s="3">
        <v>101</v>
      </c>
      <c r="K1820" s="4">
        <f t="shared" si="114"/>
        <v>35.785147392290256</v>
      </c>
      <c r="L1820" s="1" t="str">
        <f t="shared" si="115"/>
        <v>Obesidade grau II - severa</v>
      </c>
      <c r="M1820" t="s">
        <v>47</v>
      </c>
    </row>
    <row r="1821" spans="1:13" x14ac:dyDescent="0.25">
      <c r="A1821">
        <v>1820</v>
      </c>
      <c r="B1821" t="s">
        <v>518</v>
      </c>
      <c r="C1821" s="2" t="s">
        <v>519</v>
      </c>
      <c r="D1821" s="2">
        <f t="shared" ca="1" si="112"/>
        <v>73</v>
      </c>
      <c r="E1821" t="s">
        <v>10</v>
      </c>
      <c r="F1821" t="s">
        <v>520</v>
      </c>
      <c r="G1821" t="s">
        <v>186</v>
      </c>
      <c r="H1821" t="str">
        <f t="shared" si="113"/>
        <v>Sete Lagoas - MG</v>
      </c>
      <c r="I1821" s="1" t="s">
        <v>318</v>
      </c>
      <c r="J1821" s="3">
        <v>79</v>
      </c>
      <c r="K1821" s="4">
        <f t="shared" si="114"/>
        <v>21.430121527777779</v>
      </c>
      <c r="L1821" s="1" t="str">
        <f t="shared" si="115"/>
        <v>Peso ideal - parabéns</v>
      </c>
      <c r="M1821" t="s">
        <v>76</v>
      </c>
    </row>
    <row r="1822" spans="1:13" x14ac:dyDescent="0.25">
      <c r="A1822">
        <v>1821</v>
      </c>
      <c r="B1822" t="s">
        <v>1928</v>
      </c>
      <c r="C1822" s="2" t="s">
        <v>1929</v>
      </c>
      <c r="D1822" s="2">
        <f t="shared" ca="1" si="112"/>
        <v>37</v>
      </c>
      <c r="E1822" t="s">
        <v>10</v>
      </c>
      <c r="F1822" t="s">
        <v>69</v>
      </c>
      <c r="G1822" t="s">
        <v>70</v>
      </c>
      <c r="H1822" t="str">
        <f t="shared" si="113"/>
        <v>Aracaju - SE</v>
      </c>
      <c r="I1822" s="1" t="s">
        <v>86</v>
      </c>
      <c r="J1822" s="3">
        <v>84</v>
      </c>
      <c r="K1822" s="4">
        <f t="shared" si="114"/>
        <v>25.640242971826257</v>
      </c>
      <c r="L1822" s="1" t="str">
        <f t="shared" si="115"/>
        <v>Levemente acima do peso</v>
      </c>
      <c r="M1822" t="s">
        <v>47</v>
      </c>
    </row>
    <row r="1823" spans="1:13" x14ac:dyDescent="0.25">
      <c r="A1823">
        <v>1822</v>
      </c>
      <c r="B1823" t="s">
        <v>2475</v>
      </c>
      <c r="C1823" s="2" t="s">
        <v>2476</v>
      </c>
      <c r="D1823" s="2">
        <f t="shared" ca="1" si="112"/>
        <v>77</v>
      </c>
      <c r="E1823" t="s">
        <v>10</v>
      </c>
      <c r="F1823" t="s">
        <v>357</v>
      </c>
      <c r="G1823" t="s">
        <v>131</v>
      </c>
      <c r="H1823" t="str">
        <f t="shared" si="113"/>
        <v>São José - SC</v>
      </c>
      <c r="I1823" s="1" t="s">
        <v>386</v>
      </c>
      <c r="J1823" s="3">
        <v>55</v>
      </c>
      <c r="K1823" s="4">
        <f t="shared" si="114"/>
        <v>19.959355494266223</v>
      </c>
      <c r="L1823" s="1" t="str">
        <f t="shared" si="115"/>
        <v>Peso ideal - parabéns</v>
      </c>
      <c r="M1823" t="s">
        <v>47</v>
      </c>
    </row>
    <row r="1824" spans="1:13" x14ac:dyDescent="0.25">
      <c r="A1824">
        <v>1823</v>
      </c>
      <c r="B1824" t="s">
        <v>1353</v>
      </c>
      <c r="C1824" s="2" t="s">
        <v>1354</v>
      </c>
      <c r="D1824" s="2">
        <f t="shared" ca="1" si="112"/>
        <v>26</v>
      </c>
      <c r="E1824" t="s">
        <v>10</v>
      </c>
      <c r="F1824" t="s">
        <v>1184</v>
      </c>
      <c r="G1824" t="s">
        <v>273</v>
      </c>
      <c r="H1824" t="str">
        <f t="shared" si="113"/>
        <v>Linhares - ES</v>
      </c>
      <c r="I1824" s="1" t="s">
        <v>117</v>
      </c>
      <c r="J1824" s="3">
        <v>62</v>
      </c>
      <c r="K1824" s="4">
        <f t="shared" si="114"/>
        <v>19.568236333796236</v>
      </c>
      <c r="L1824" s="1" t="str">
        <f t="shared" si="115"/>
        <v>Peso ideal - parabéns</v>
      </c>
      <c r="M1824" t="s">
        <v>47</v>
      </c>
    </row>
    <row r="1825" spans="1:13" x14ac:dyDescent="0.25">
      <c r="A1825">
        <v>1824</v>
      </c>
      <c r="B1825" t="s">
        <v>1640</v>
      </c>
      <c r="C1825" s="2" t="s">
        <v>1641</v>
      </c>
      <c r="D1825" s="2">
        <f t="shared" ca="1" si="112"/>
        <v>79</v>
      </c>
      <c r="E1825" t="s">
        <v>10</v>
      </c>
      <c r="F1825" t="s">
        <v>24</v>
      </c>
      <c r="G1825" t="s">
        <v>25</v>
      </c>
      <c r="H1825" t="str">
        <f t="shared" si="113"/>
        <v>Natal - RN</v>
      </c>
      <c r="I1825" s="1" t="s">
        <v>416</v>
      </c>
      <c r="J1825" s="3">
        <v>102</v>
      </c>
      <c r="K1825" s="4">
        <f t="shared" si="114"/>
        <v>39.350333706261331</v>
      </c>
      <c r="L1825" s="1" t="str">
        <f t="shared" si="115"/>
        <v>Obesidade grau II - severa</v>
      </c>
      <c r="M1825" t="s">
        <v>95</v>
      </c>
    </row>
    <row r="1826" spans="1:13" x14ac:dyDescent="0.25">
      <c r="A1826">
        <v>1825</v>
      </c>
      <c r="B1826" t="s">
        <v>1684</v>
      </c>
      <c r="C1826" s="2" t="s">
        <v>1685</v>
      </c>
      <c r="D1826" s="2">
        <f t="shared" ca="1" si="112"/>
        <v>37</v>
      </c>
      <c r="E1826" t="s">
        <v>10</v>
      </c>
      <c r="F1826" t="s">
        <v>446</v>
      </c>
      <c r="G1826" t="s">
        <v>170</v>
      </c>
      <c r="H1826" t="str">
        <f t="shared" si="113"/>
        <v>Arapiraca - AL</v>
      </c>
      <c r="I1826" s="1" t="s">
        <v>90</v>
      </c>
      <c r="J1826" s="3">
        <v>90</v>
      </c>
      <c r="K1826" s="4">
        <f t="shared" si="114"/>
        <v>30.421849648458629</v>
      </c>
      <c r="L1826" s="1" t="str">
        <f t="shared" si="115"/>
        <v>Obesidade grau I</v>
      </c>
      <c r="M1826" t="s">
        <v>20</v>
      </c>
    </row>
    <row r="1827" spans="1:13" x14ac:dyDescent="0.25">
      <c r="A1827">
        <v>1826</v>
      </c>
      <c r="B1827" t="s">
        <v>874</v>
      </c>
      <c r="C1827" s="2" t="s">
        <v>875</v>
      </c>
      <c r="D1827" s="2">
        <f t="shared" ca="1" si="112"/>
        <v>68</v>
      </c>
      <c r="E1827" t="s">
        <v>10</v>
      </c>
      <c r="F1827" t="s">
        <v>876</v>
      </c>
      <c r="G1827" t="s">
        <v>310</v>
      </c>
      <c r="H1827" t="str">
        <f t="shared" si="113"/>
        <v>Caxias do Sul - RS</v>
      </c>
      <c r="I1827" s="1" t="s">
        <v>86</v>
      </c>
      <c r="J1827" s="3">
        <v>108</v>
      </c>
      <c r="K1827" s="4">
        <f t="shared" si="114"/>
        <v>32.966026678062327</v>
      </c>
      <c r="L1827" s="1" t="str">
        <f t="shared" si="115"/>
        <v>Obesidade grau I</v>
      </c>
      <c r="M1827" t="s">
        <v>20</v>
      </c>
    </row>
    <row r="1828" spans="1:13" x14ac:dyDescent="0.25">
      <c r="A1828">
        <v>1827</v>
      </c>
      <c r="B1828" t="s">
        <v>4017</v>
      </c>
      <c r="C1828" s="2" t="s">
        <v>3988</v>
      </c>
      <c r="D1828" s="2">
        <f t="shared" ca="1" si="112"/>
        <v>67</v>
      </c>
      <c r="E1828" t="s">
        <v>10</v>
      </c>
      <c r="F1828" t="s">
        <v>126</v>
      </c>
      <c r="G1828" t="s">
        <v>127</v>
      </c>
      <c r="H1828" t="str">
        <f t="shared" si="113"/>
        <v>Boa Vista - RR</v>
      </c>
      <c r="I1828" s="1" t="s">
        <v>160</v>
      </c>
      <c r="J1828" s="3">
        <v>70</v>
      </c>
      <c r="K1828" s="4">
        <f t="shared" si="114"/>
        <v>20.675803402646501</v>
      </c>
      <c r="L1828" s="1" t="str">
        <f t="shared" si="115"/>
        <v>Peso ideal - parabéns</v>
      </c>
      <c r="M1828" t="s">
        <v>95</v>
      </c>
    </row>
    <row r="1829" spans="1:13" x14ac:dyDescent="0.25">
      <c r="A1829">
        <v>1828</v>
      </c>
      <c r="B1829" t="s">
        <v>2225</v>
      </c>
      <c r="C1829" s="2" t="s">
        <v>2226</v>
      </c>
      <c r="D1829" s="2">
        <f t="shared" ca="1" si="112"/>
        <v>32</v>
      </c>
      <c r="E1829" t="s">
        <v>10</v>
      </c>
      <c r="F1829" t="s">
        <v>107</v>
      </c>
      <c r="G1829" t="s">
        <v>36</v>
      </c>
      <c r="H1829" t="str">
        <f t="shared" si="113"/>
        <v>São Luís - MA</v>
      </c>
      <c r="I1829" s="1" t="s">
        <v>166</v>
      </c>
      <c r="J1829" s="3">
        <v>73</v>
      </c>
      <c r="K1829" s="4">
        <f t="shared" si="114"/>
        <v>25.864512471655331</v>
      </c>
      <c r="L1829" s="1" t="str">
        <f t="shared" si="115"/>
        <v>Levemente acima do peso</v>
      </c>
      <c r="M1829" t="s">
        <v>14</v>
      </c>
    </row>
    <row r="1830" spans="1:13" x14ac:dyDescent="0.25">
      <c r="A1830">
        <v>1829</v>
      </c>
      <c r="B1830" t="s">
        <v>2501</v>
      </c>
      <c r="C1830" s="2" t="s">
        <v>2502</v>
      </c>
      <c r="D1830" s="2">
        <f t="shared" ca="1" si="112"/>
        <v>81</v>
      </c>
      <c r="E1830" t="s">
        <v>10</v>
      </c>
      <c r="F1830" t="s">
        <v>236</v>
      </c>
      <c r="G1830" t="s">
        <v>237</v>
      </c>
      <c r="H1830" t="str">
        <f t="shared" si="113"/>
        <v>Teresina - PI</v>
      </c>
      <c r="I1830" s="1" t="s">
        <v>61</v>
      </c>
      <c r="J1830" s="3">
        <v>65</v>
      </c>
      <c r="K1830" s="4">
        <f t="shared" si="114"/>
        <v>18.196579043139891</v>
      </c>
      <c r="L1830" s="1" t="str">
        <f t="shared" si="115"/>
        <v>Abaixo do peso</v>
      </c>
      <c r="M1830" t="s">
        <v>83</v>
      </c>
    </row>
    <row r="1831" spans="1:13" x14ac:dyDescent="0.25">
      <c r="A1831">
        <v>1830</v>
      </c>
      <c r="B1831" t="s">
        <v>765</v>
      </c>
      <c r="C1831" s="2" t="s">
        <v>766</v>
      </c>
      <c r="D1831" s="2">
        <f t="shared" ca="1" si="112"/>
        <v>70</v>
      </c>
      <c r="E1831" t="s">
        <v>23</v>
      </c>
      <c r="F1831" t="s">
        <v>454</v>
      </c>
      <c r="G1831" t="s">
        <v>60</v>
      </c>
      <c r="H1831" t="str">
        <f t="shared" si="113"/>
        <v>Gurupi - TO</v>
      </c>
      <c r="I1831" s="1" t="s">
        <v>209</v>
      </c>
      <c r="J1831" s="3">
        <v>67</v>
      </c>
      <c r="K1831" s="4">
        <f t="shared" si="114"/>
        <v>28.250969809411369</v>
      </c>
      <c r="L1831" s="1" t="str">
        <f t="shared" si="115"/>
        <v>Levemente acima do peso</v>
      </c>
      <c r="M1831" t="s">
        <v>26</v>
      </c>
    </row>
    <row r="1832" spans="1:13" x14ac:dyDescent="0.25">
      <c r="A1832">
        <v>1831</v>
      </c>
      <c r="B1832" t="s">
        <v>4060</v>
      </c>
      <c r="C1832" s="2" t="s">
        <v>4061</v>
      </c>
      <c r="D1832" s="2">
        <f t="shared" ca="1" si="112"/>
        <v>25</v>
      </c>
      <c r="E1832" t="s">
        <v>23</v>
      </c>
      <c r="F1832" t="s">
        <v>852</v>
      </c>
      <c r="G1832" t="s">
        <v>186</v>
      </c>
      <c r="H1832" t="str">
        <f t="shared" si="113"/>
        <v>Belo Horizonte - MG</v>
      </c>
      <c r="I1832" s="1" t="s">
        <v>582</v>
      </c>
      <c r="J1832" s="3">
        <v>49</v>
      </c>
      <c r="K1832" s="4">
        <f t="shared" si="114"/>
        <v>20.134779750164363</v>
      </c>
      <c r="L1832" s="1" t="str">
        <f t="shared" si="115"/>
        <v>Peso ideal - parabéns</v>
      </c>
      <c r="M1832" t="s">
        <v>83</v>
      </c>
    </row>
    <row r="1833" spans="1:13" x14ac:dyDescent="0.25">
      <c r="A1833">
        <v>1832</v>
      </c>
      <c r="B1833" t="s">
        <v>1015</v>
      </c>
      <c r="C1833" s="2" t="s">
        <v>1016</v>
      </c>
      <c r="D1833" s="2">
        <f t="shared" ca="1" si="112"/>
        <v>56</v>
      </c>
      <c r="E1833" t="s">
        <v>23</v>
      </c>
      <c r="F1833" t="s">
        <v>354</v>
      </c>
      <c r="G1833" t="s">
        <v>30</v>
      </c>
      <c r="H1833" t="str">
        <f t="shared" si="113"/>
        <v>Porto Velho - RO</v>
      </c>
      <c r="I1833" s="1" t="s">
        <v>213</v>
      </c>
      <c r="J1833" s="3">
        <v>66</v>
      </c>
      <c r="K1833" s="4">
        <f t="shared" si="114"/>
        <v>28.566481994459835</v>
      </c>
      <c r="L1833" s="1" t="str">
        <f t="shared" si="115"/>
        <v>Levemente acima do peso</v>
      </c>
      <c r="M1833" t="s">
        <v>32</v>
      </c>
    </row>
    <row r="1834" spans="1:13" x14ac:dyDescent="0.25">
      <c r="A1834">
        <v>1833</v>
      </c>
      <c r="B1834" t="s">
        <v>1148</v>
      </c>
      <c r="C1834" s="2" t="s">
        <v>1149</v>
      </c>
      <c r="D1834" s="2">
        <f t="shared" ca="1" si="112"/>
        <v>69</v>
      </c>
      <c r="E1834" t="s">
        <v>23</v>
      </c>
      <c r="F1834" t="s">
        <v>616</v>
      </c>
      <c r="G1834" t="s">
        <v>273</v>
      </c>
      <c r="H1834" t="str">
        <f t="shared" si="113"/>
        <v>Serra - ES</v>
      </c>
      <c r="I1834" s="1" t="s">
        <v>360</v>
      </c>
      <c r="J1834" s="3">
        <v>87</v>
      </c>
      <c r="K1834" s="4">
        <f t="shared" si="114"/>
        <v>34.850184265342087</v>
      </c>
      <c r="L1834" s="1" t="str">
        <f t="shared" si="115"/>
        <v>Obesidade grau I</v>
      </c>
      <c r="M1834" t="s">
        <v>47</v>
      </c>
    </row>
    <row r="1835" spans="1:13" x14ac:dyDescent="0.25">
      <c r="A1835">
        <v>1834</v>
      </c>
      <c r="B1835" t="s">
        <v>2485</v>
      </c>
      <c r="C1835" s="2" t="s">
        <v>2486</v>
      </c>
      <c r="D1835" s="2">
        <f t="shared" ca="1" si="112"/>
        <v>24</v>
      </c>
      <c r="E1835" t="s">
        <v>23</v>
      </c>
      <c r="F1835" t="s">
        <v>1200</v>
      </c>
      <c r="G1835" t="s">
        <v>41</v>
      </c>
      <c r="H1835" t="str">
        <f t="shared" si="113"/>
        <v>Sousa - PB</v>
      </c>
      <c r="I1835" s="1" t="s">
        <v>205</v>
      </c>
      <c r="J1835" s="3">
        <v>48</v>
      </c>
      <c r="K1835" s="4">
        <f t="shared" si="114"/>
        <v>20.504933999743688</v>
      </c>
      <c r="L1835" s="1" t="str">
        <f t="shared" si="115"/>
        <v>Peso ideal - parabéns</v>
      </c>
      <c r="M1835" t="s">
        <v>20</v>
      </c>
    </row>
    <row r="1836" spans="1:13" x14ac:dyDescent="0.25">
      <c r="A1836">
        <v>1835</v>
      </c>
      <c r="B1836" t="s">
        <v>2844</v>
      </c>
      <c r="C1836" s="2" t="s">
        <v>2845</v>
      </c>
      <c r="D1836" s="2">
        <f t="shared" ca="1" si="112"/>
        <v>56</v>
      </c>
      <c r="E1836" t="s">
        <v>23</v>
      </c>
      <c r="F1836" t="s">
        <v>126</v>
      </c>
      <c r="G1836" t="s">
        <v>127</v>
      </c>
      <c r="H1836" t="str">
        <f t="shared" si="113"/>
        <v>Boa Vista - RR</v>
      </c>
      <c r="I1836" s="1" t="s">
        <v>179</v>
      </c>
      <c r="J1836" s="3">
        <v>78</v>
      </c>
      <c r="K1836" s="4">
        <f t="shared" si="114"/>
        <v>25.762980578676178</v>
      </c>
      <c r="L1836" s="1" t="str">
        <f t="shared" si="115"/>
        <v>Levemente acima do peso</v>
      </c>
      <c r="M1836" t="s">
        <v>47</v>
      </c>
    </row>
    <row r="1837" spans="1:13" x14ac:dyDescent="0.25">
      <c r="A1837">
        <v>1836</v>
      </c>
      <c r="B1837" t="s">
        <v>623</v>
      </c>
      <c r="C1837" s="2" t="s">
        <v>624</v>
      </c>
      <c r="D1837" s="2">
        <f t="shared" ca="1" si="112"/>
        <v>36</v>
      </c>
      <c r="E1837" t="s">
        <v>23</v>
      </c>
      <c r="F1837" t="s">
        <v>616</v>
      </c>
      <c r="G1837" t="s">
        <v>273</v>
      </c>
      <c r="H1837" t="str">
        <f t="shared" si="113"/>
        <v>Serra - ES</v>
      </c>
      <c r="I1837" s="1" t="s">
        <v>447</v>
      </c>
      <c r="J1837" s="3">
        <v>71</v>
      </c>
      <c r="K1837" s="4">
        <f t="shared" si="114"/>
        <v>23.183673469387756</v>
      </c>
      <c r="L1837" s="1" t="str">
        <f t="shared" si="115"/>
        <v>Peso ideal - parabéns</v>
      </c>
      <c r="M1837" t="s">
        <v>32</v>
      </c>
    </row>
    <row r="1838" spans="1:13" x14ac:dyDescent="0.25">
      <c r="A1838">
        <v>1837</v>
      </c>
      <c r="B1838" t="s">
        <v>652</v>
      </c>
      <c r="C1838" s="2" t="s">
        <v>653</v>
      </c>
      <c r="D1838" s="2">
        <f t="shared" ca="1" si="112"/>
        <v>54</v>
      </c>
      <c r="E1838" t="s">
        <v>23</v>
      </c>
      <c r="F1838" t="s">
        <v>354</v>
      </c>
      <c r="G1838" t="s">
        <v>30</v>
      </c>
      <c r="H1838" t="str">
        <f t="shared" si="113"/>
        <v>Porto Velho - RO</v>
      </c>
      <c r="I1838" s="1" t="s">
        <v>71</v>
      </c>
      <c r="J1838" s="3">
        <v>75</v>
      </c>
      <c r="K1838" s="4">
        <f t="shared" si="114"/>
        <v>22.395413419331717</v>
      </c>
      <c r="L1838" s="1" t="str">
        <f t="shared" si="115"/>
        <v>Peso ideal - parabéns</v>
      </c>
      <c r="M1838" t="s">
        <v>20</v>
      </c>
    </row>
    <row r="1839" spans="1:13" x14ac:dyDescent="0.25">
      <c r="A1839">
        <v>1838</v>
      </c>
      <c r="B1839" t="s">
        <v>2339</v>
      </c>
      <c r="C1839" s="2" t="s">
        <v>2340</v>
      </c>
      <c r="D1839" s="2">
        <f t="shared" ca="1" si="112"/>
        <v>23</v>
      </c>
      <c r="E1839" t="s">
        <v>23</v>
      </c>
      <c r="F1839" t="s">
        <v>158</v>
      </c>
      <c r="G1839" t="s">
        <v>159</v>
      </c>
      <c r="H1839" t="str">
        <f t="shared" si="113"/>
        <v>Brasília - DF</v>
      </c>
      <c r="I1839" s="1" t="s">
        <v>213</v>
      </c>
      <c r="J1839" s="3">
        <v>57</v>
      </c>
      <c r="K1839" s="4">
        <f t="shared" si="114"/>
        <v>24.671052631578949</v>
      </c>
      <c r="L1839" s="1" t="str">
        <f t="shared" si="115"/>
        <v>Peso ideal - parabéns</v>
      </c>
      <c r="M1839" t="s">
        <v>95</v>
      </c>
    </row>
    <row r="1840" spans="1:13" x14ac:dyDescent="0.25">
      <c r="A1840">
        <v>1839</v>
      </c>
      <c r="B1840" t="s">
        <v>2206</v>
      </c>
      <c r="C1840" s="2" t="s">
        <v>2207</v>
      </c>
      <c r="D1840" s="2">
        <f t="shared" ca="1" si="112"/>
        <v>45</v>
      </c>
      <c r="E1840" t="s">
        <v>23</v>
      </c>
      <c r="F1840" t="s">
        <v>2208</v>
      </c>
      <c r="G1840" t="s">
        <v>112</v>
      </c>
      <c r="H1840" t="str">
        <f t="shared" si="113"/>
        <v>Capanema - PA</v>
      </c>
      <c r="I1840" s="1" t="s">
        <v>286</v>
      </c>
      <c r="J1840" s="3">
        <v>83</v>
      </c>
      <c r="K1840" s="4">
        <f t="shared" si="114"/>
        <v>30.486685032139579</v>
      </c>
      <c r="L1840" s="1" t="str">
        <f t="shared" si="115"/>
        <v>Obesidade grau I</v>
      </c>
      <c r="M1840" t="s">
        <v>20</v>
      </c>
    </row>
    <row r="1841" spans="1:13" x14ac:dyDescent="0.25">
      <c r="A1841">
        <v>1840</v>
      </c>
      <c r="B1841" t="s">
        <v>3797</v>
      </c>
      <c r="C1841" s="2" t="s">
        <v>3335</v>
      </c>
      <c r="D1841" s="2">
        <f t="shared" ca="1" si="112"/>
        <v>64</v>
      </c>
      <c r="E1841" t="s">
        <v>23</v>
      </c>
      <c r="F1841" t="s">
        <v>189</v>
      </c>
      <c r="G1841" t="s">
        <v>190</v>
      </c>
      <c r="H1841" t="str">
        <f t="shared" si="113"/>
        <v>Cuiabá - MT</v>
      </c>
      <c r="I1841" s="1" t="s">
        <v>71</v>
      </c>
      <c r="J1841" s="3">
        <v>56</v>
      </c>
      <c r="K1841" s="4">
        <f t="shared" si="114"/>
        <v>16.72190868643435</v>
      </c>
      <c r="L1841" s="1" t="str">
        <f t="shared" si="115"/>
        <v>Muito abaixo do peso</v>
      </c>
      <c r="M1841" t="s">
        <v>14</v>
      </c>
    </row>
    <row r="1842" spans="1:13" x14ac:dyDescent="0.25">
      <c r="A1842">
        <v>1841</v>
      </c>
      <c r="B1842" t="s">
        <v>3797</v>
      </c>
      <c r="C1842" s="2" t="s">
        <v>3335</v>
      </c>
      <c r="D1842" s="2">
        <f t="shared" ca="1" si="112"/>
        <v>64</v>
      </c>
      <c r="E1842" t="s">
        <v>23</v>
      </c>
      <c r="F1842" t="s">
        <v>189</v>
      </c>
      <c r="G1842" t="s">
        <v>190</v>
      </c>
      <c r="H1842" t="str">
        <f t="shared" si="113"/>
        <v>Cuiabá - MT</v>
      </c>
      <c r="I1842" s="1" t="s">
        <v>71</v>
      </c>
      <c r="J1842" s="3">
        <v>56</v>
      </c>
      <c r="K1842" s="4">
        <f t="shared" si="114"/>
        <v>16.72190868643435</v>
      </c>
      <c r="L1842" s="1" t="str">
        <f t="shared" si="115"/>
        <v>Muito abaixo do peso</v>
      </c>
      <c r="M1842" t="s">
        <v>14</v>
      </c>
    </row>
    <row r="1843" spans="1:13" x14ac:dyDescent="0.25">
      <c r="A1843">
        <v>1842</v>
      </c>
      <c r="B1843" t="s">
        <v>4095</v>
      </c>
      <c r="C1843" s="2" t="s">
        <v>3194</v>
      </c>
      <c r="D1843" s="2">
        <f t="shared" ca="1" si="112"/>
        <v>76</v>
      </c>
      <c r="E1843" t="s">
        <v>23</v>
      </c>
      <c r="F1843" t="s">
        <v>144</v>
      </c>
      <c r="G1843" t="s">
        <v>12</v>
      </c>
      <c r="H1843" t="str">
        <f t="shared" si="113"/>
        <v>Maranguape - CE</v>
      </c>
      <c r="I1843" s="1" t="s">
        <v>86</v>
      </c>
      <c r="J1843" s="3">
        <v>58</v>
      </c>
      <c r="K1843" s="4">
        <f t="shared" si="114"/>
        <v>17.703977290070512</v>
      </c>
      <c r="L1843" s="1" t="str">
        <f t="shared" si="115"/>
        <v>Abaixo do peso</v>
      </c>
      <c r="M1843" t="s">
        <v>95</v>
      </c>
    </row>
    <row r="1844" spans="1:13" x14ac:dyDescent="0.25">
      <c r="A1844">
        <v>1843</v>
      </c>
      <c r="B1844" t="s">
        <v>1198</v>
      </c>
      <c r="C1844" s="2" t="s">
        <v>1199</v>
      </c>
      <c r="D1844" s="2">
        <f t="shared" ca="1" si="112"/>
        <v>38</v>
      </c>
      <c r="E1844" t="s">
        <v>23</v>
      </c>
      <c r="F1844" t="s">
        <v>1200</v>
      </c>
      <c r="G1844" t="s">
        <v>41</v>
      </c>
      <c r="H1844" t="str">
        <f t="shared" si="113"/>
        <v>Sousa - PB</v>
      </c>
      <c r="I1844" s="1" t="s">
        <v>179</v>
      </c>
      <c r="J1844" s="3">
        <v>50</v>
      </c>
      <c r="K1844" s="4">
        <f t="shared" si="114"/>
        <v>16.514731140177037</v>
      </c>
      <c r="L1844" s="1" t="str">
        <f t="shared" si="115"/>
        <v>Muito abaixo do peso</v>
      </c>
      <c r="M1844" t="s">
        <v>83</v>
      </c>
    </row>
    <row r="1845" spans="1:13" x14ac:dyDescent="0.25">
      <c r="A1845">
        <v>1844</v>
      </c>
      <c r="B1845" t="s">
        <v>1665</v>
      </c>
      <c r="C1845" s="2" t="s">
        <v>1666</v>
      </c>
      <c r="D1845" s="2">
        <f t="shared" ca="1" si="112"/>
        <v>20</v>
      </c>
      <c r="E1845" t="s">
        <v>23</v>
      </c>
      <c r="F1845" t="s">
        <v>204</v>
      </c>
      <c r="G1845" t="s">
        <v>112</v>
      </c>
      <c r="H1845" t="str">
        <f t="shared" si="113"/>
        <v>Belém - PA</v>
      </c>
      <c r="I1845" s="1" t="s">
        <v>198</v>
      </c>
      <c r="J1845" s="3">
        <v>84</v>
      </c>
      <c r="K1845" s="4">
        <f t="shared" si="114"/>
        <v>34.078461600876302</v>
      </c>
      <c r="L1845" s="1" t="str">
        <f t="shared" si="115"/>
        <v>Obesidade grau I</v>
      </c>
      <c r="M1845" t="s">
        <v>20</v>
      </c>
    </row>
    <row r="1846" spans="1:13" x14ac:dyDescent="0.25">
      <c r="A1846">
        <v>1845</v>
      </c>
      <c r="B1846" t="s">
        <v>4157</v>
      </c>
      <c r="C1846" s="2" t="s">
        <v>3333</v>
      </c>
      <c r="D1846" s="2">
        <f t="shared" ca="1" si="112"/>
        <v>23</v>
      </c>
      <c r="E1846" t="s">
        <v>23</v>
      </c>
      <c r="F1846" t="s">
        <v>17</v>
      </c>
      <c r="G1846" t="s">
        <v>18</v>
      </c>
      <c r="H1846" t="str">
        <f t="shared" si="113"/>
        <v>Campo Grande - MS</v>
      </c>
      <c r="I1846" s="1" t="s">
        <v>94</v>
      </c>
      <c r="J1846" s="3">
        <v>81</v>
      </c>
      <c r="K1846" s="4">
        <f t="shared" si="114"/>
        <v>27.064051588760066</v>
      </c>
      <c r="L1846" s="1" t="str">
        <f t="shared" si="115"/>
        <v>Levemente acima do peso</v>
      </c>
      <c r="M1846" t="s">
        <v>14</v>
      </c>
    </row>
    <row r="1847" spans="1:13" x14ac:dyDescent="0.25">
      <c r="A1847">
        <v>1846</v>
      </c>
      <c r="B1847" t="s">
        <v>3828</v>
      </c>
      <c r="C1847" s="2" t="s">
        <v>1405</v>
      </c>
      <c r="D1847" s="2">
        <f t="shared" ca="1" si="112"/>
        <v>35</v>
      </c>
      <c r="E1847" t="s">
        <v>23</v>
      </c>
      <c r="F1847" t="s">
        <v>796</v>
      </c>
      <c r="G1847" t="s">
        <v>131</v>
      </c>
      <c r="H1847" t="str">
        <f t="shared" si="113"/>
        <v>Joinville - SC</v>
      </c>
      <c r="I1847" s="1" t="s">
        <v>205</v>
      </c>
      <c r="J1847" s="3">
        <v>75</v>
      </c>
      <c r="K1847" s="4">
        <f t="shared" si="114"/>
        <v>32.038959374599514</v>
      </c>
      <c r="L1847" s="1" t="str">
        <f t="shared" si="115"/>
        <v>Obesidade grau I</v>
      </c>
      <c r="M1847" t="s">
        <v>20</v>
      </c>
    </row>
    <row r="1848" spans="1:13" x14ac:dyDescent="0.25">
      <c r="A1848">
        <v>1847</v>
      </c>
      <c r="B1848" t="s">
        <v>2324</v>
      </c>
      <c r="C1848" s="2" t="s">
        <v>2325</v>
      </c>
      <c r="D1848" s="2">
        <f t="shared" ca="1" si="112"/>
        <v>65</v>
      </c>
      <c r="E1848" t="s">
        <v>23</v>
      </c>
      <c r="F1848" t="s">
        <v>204</v>
      </c>
      <c r="G1848" t="s">
        <v>112</v>
      </c>
      <c r="H1848" t="str">
        <f t="shared" si="113"/>
        <v>Belém - PA</v>
      </c>
      <c r="I1848" s="1" t="s">
        <v>104</v>
      </c>
      <c r="J1848" s="3">
        <v>74</v>
      </c>
      <c r="K1848" s="4">
        <f t="shared" si="114"/>
        <v>25.605536332179934</v>
      </c>
      <c r="L1848" s="1" t="str">
        <f t="shared" si="115"/>
        <v>Levemente acima do peso</v>
      </c>
      <c r="M1848" t="s">
        <v>83</v>
      </c>
    </row>
    <row r="1849" spans="1:13" x14ac:dyDescent="0.25">
      <c r="A1849">
        <v>1848</v>
      </c>
      <c r="B1849" t="s">
        <v>4053</v>
      </c>
      <c r="C1849" s="2" t="s">
        <v>3068</v>
      </c>
      <c r="D1849" s="2">
        <f t="shared" ca="1" si="112"/>
        <v>27</v>
      </c>
      <c r="E1849" t="s">
        <v>23</v>
      </c>
      <c r="F1849" t="s">
        <v>153</v>
      </c>
      <c r="G1849" t="s">
        <v>154</v>
      </c>
      <c r="H1849" t="str">
        <f t="shared" si="113"/>
        <v>Manaus - AM</v>
      </c>
      <c r="I1849" s="1" t="s">
        <v>447</v>
      </c>
      <c r="J1849" s="3">
        <v>82</v>
      </c>
      <c r="K1849" s="4">
        <f t="shared" si="114"/>
        <v>26.775510204081634</v>
      </c>
      <c r="L1849" s="1" t="str">
        <f t="shared" si="115"/>
        <v>Levemente acima do peso</v>
      </c>
      <c r="M1849" t="s">
        <v>76</v>
      </c>
    </row>
    <row r="1850" spans="1:13" x14ac:dyDescent="0.25">
      <c r="A1850">
        <v>1849</v>
      </c>
      <c r="B1850" t="s">
        <v>2328</v>
      </c>
      <c r="C1850" s="2" t="s">
        <v>2329</v>
      </c>
      <c r="D1850" s="2">
        <f t="shared" ca="1" si="112"/>
        <v>60</v>
      </c>
      <c r="E1850" t="s">
        <v>23</v>
      </c>
      <c r="F1850" t="s">
        <v>89</v>
      </c>
      <c r="G1850" t="s">
        <v>12</v>
      </c>
      <c r="H1850" t="str">
        <f t="shared" si="113"/>
        <v>Fortaleza - CE</v>
      </c>
      <c r="I1850" s="1" t="s">
        <v>213</v>
      </c>
      <c r="J1850" s="3">
        <v>59</v>
      </c>
      <c r="K1850" s="4">
        <f t="shared" si="114"/>
        <v>25.536703601108034</v>
      </c>
      <c r="L1850" s="1" t="str">
        <f t="shared" si="115"/>
        <v>Levemente acima do peso</v>
      </c>
      <c r="M1850" t="s">
        <v>20</v>
      </c>
    </row>
    <row r="1851" spans="1:13" x14ac:dyDescent="0.25">
      <c r="A1851">
        <v>1850</v>
      </c>
      <c r="B1851" t="s">
        <v>832</v>
      </c>
      <c r="C1851" s="2" t="s">
        <v>833</v>
      </c>
      <c r="D1851" s="2">
        <f t="shared" ca="1" si="112"/>
        <v>40</v>
      </c>
      <c r="E1851" t="s">
        <v>23</v>
      </c>
      <c r="F1851" t="s">
        <v>241</v>
      </c>
      <c r="G1851" t="s">
        <v>190</v>
      </c>
      <c r="H1851" t="str">
        <f t="shared" si="113"/>
        <v>Várzea Grande - MT</v>
      </c>
      <c r="I1851" s="1" t="s">
        <v>86</v>
      </c>
      <c r="J1851" s="3">
        <v>71</v>
      </c>
      <c r="K1851" s="4">
        <f t="shared" si="114"/>
        <v>21.672110130948383</v>
      </c>
      <c r="L1851" s="1" t="str">
        <f t="shared" si="115"/>
        <v>Peso ideal - parabéns</v>
      </c>
      <c r="M1851" t="s">
        <v>83</v>
      </c>
    </row>
    <row r="1852" spans="1:13" x14ac:dyDescent="0.25">
      <c r="A1852">
        <v>1851</v>
      </c>
      <c r="B1852" t="s">
        <v>2779</v>
      </c>
      <c r="C1852" s="2" t="s">
        <v>2780</v>
      </c>
      <c r="D1852" s="2">
        <f t="shared" ca="1" si="112"/>
        <v>71</v>
      </c>
      <c r="E1852" t="s">
        <v>23</v>
      </c>
      <c r="F1852" t="s">
        <v>415</v>
      </c>
      <c r="G1852" t="s">
        <v>310</v>
      </c>
      <c r="H1852" t="str">
        <f t="shared" si="113"/>
        <v>Sapucaia do Sul - RS</v>
      </c>
      <c r="I1852" s="1" t="s">
        <v>42</v>
      </c>
      <c r="J1852" s="3">
        <v>56</v>
      </c>
      <c r="K1852" s="4">
        <f t="shared" si="114"/>
        <v>17.477606816266658</v>
      </c>
      <c r="L1852" s="1" t="str">
        <f t="shared" si="115"/>
        <v>Abaixo do peso</v>
      </c>
      <c r="M1852" t="s">
        <v>95</v>
      </c>
    </row>
    <row r="1853" spans="1:13" x14ac:dyDescent="0.25">
      <c r="A1853">
        <v>1852</v>
      </c>
      <c r="B1853" t="s">
        <v>2784</v>
      </c>
      <c r="C1853" s="2" t="s">
        <v>2785</v>
      </c>
      <c r="D1853" s="2">
        <f t="shared" ca="1" si="112"/>
        <v>73</v>
      </c>
      <c r="E1853" t="s">
        <v>23</v>
      </c>
      <c r="F1853" t="s">
        <v>429</v>
      </c>
      <c r="G1853" t="s">
        <v>65</v>
      </c>
      <c r="H1853" t="str">
        <f t="shared" si="113"/>
        <v>Barreiras - BA</v>
      </c>
      <c r="I1853" s="1" t="s">
        <v>582</v>
      </c>
      <c r="J1853" s="3">
        <v>71</v>
      </c>
      <c r="K1853" s="4">
        <f t="shared" si="114"/>
        <v>29.174884944115711</v>
      </c>
      <c r="L1853" s="1" t="str">
        <f t="shared" si="115"/>
        <v>Levemente acima do peso</v>
      </c>
      <c r="M1853" t="s">
        <v>32</v>
      </c>
    </row>
    <row r="1854" spans="1:13" x14ac:dyDescent="0.25">
      <c r="A1854">
        <v>1853</v>
      </c>
      <c r="B1854" t="s">
        <v>3288</v>
      </c>
      <c r="C1854" s="2" t="s">
        <v>3289</v>
      </c>
      <c r="D1854" s="2">
        <f t="shared" ca="1" si="112"/>
        <v>46</v>
      </c>
      <c r="E1854" t="s">
        <v>23</v>
      </c>
      <c r="F1854" t="s">
        <v>267</v>
      </c>
      <c r="G1854" t="s">
        <v>103</v>
      </c>
      <c r="H1854" t="str">
        <f t="shared" si="113"/>
        <v>São Paulo - SP</v>
      </c>
      <c r="I1854" s="1" t="s">
        <v>484</v>
      </c>
      <c r="J1854" s="3">
        <v>52</v>
      </c>
      <c r="K1854" s="4">
        <f t="shared" si="114"/>
        <v>21.644120707596251</v>
      </c>
      <c r="L1854" s="1" t="str">
        <f t="shared" si="115"/>
        <v>Peso ideal - parabéns</v>
      </c>
      <c r="M1854" t="s">
        <v>20</v>
      </c>
    </row>
    <row r="1855" spans="1:13" x14ac:dyDescent="0.25">
      <c r="A1855">
        <v>1854</v>
      </c>
      <c r="B1855" t="s">
        <v>2086</v>
      </c>
      <c r="C1855" s="2" t="s">
        <v>2087</v>
      </c>
      <c r="D1855" s="2">
        <f t="shared" ca="1" si="112"/>
        <v>75</v>
      </c>
      <c r="E1855" t="s">
        <v>23</v>
      </c>
      <c r="F1855" t="s">
        <v>236</v>
      </c>
      <c r="G1855" t="s">
        <v>237</v>
      </c>
      <c r="H1855" t="str">
        <f t="shared" si="113"/>
        <v>Teresina - PI</v>
      </c>
      <c r="I1855" s="1" t="s">
        <v>302</v>
      </c>
      <c r="J1855" s="3">
        <v>66</v>
      </c>
      <c r="K1855" s="4">
        <f t="shared" si="114"/>
        <v>28.946098855313362</v>
      </c>
      <c r="L1855" s="1" t="str">
        <f t="shared" si="115"/>
        <v>Levemente acima do peso</v>
      </c>
      <c r="M1855" t="s">
        <v>83</v>
      </c>
    </row>
    <row r="1856" spans="1:13" x14ac:dyDescent="0.25">
      <c r="A1856">
        <v>1855</v>
      </c>
      <c r="B1856" t="s">
        <v>3391</v>
      </c>
      <c r="C1856" s="2" t="s">
        <v>3392</v>
      </c>
      <c r="D1856" s="2">
        <f t="shared" ca="1" si="112"/>
        <v>48</v>
      </c>
      <c r="E1856" t="s">
        <v>23</v>
      </c>
      <c r="F1856" t="s">
        <v>189</v>
      </c>
      <c r="G1856" t="s">
        <v>190</v>
      </c>
      <c r="H1856" t="str">
        <f t="shared" si="113"/>
        <v>Cuiabá - MT</v>
      </c>
      <c r="I1856" s="1" t="s">
        <v>94</v>
      </c>
      <c r="J1856" s="3">
        <v>45</v>
      </c>
      <c r="K1856" s="4">
        <f t="shared" si="114"/>
        <v>15.035584215977813</v>
      </c>
      <c r="L1856" s="1" t="str">
        <f t="shared" si="115"/>
        <v>Muito abaixo do peso</v>
      </c>
      <c r="M1856" t="s">
        <v>95</v>
      </c>
    </row>
    <row r="1857" spans="1:13" x14ac:dyDescent="0.25">
      <c r="A1857">
        <v>1856</v>
      </c>
      <c r="B1857" t="s">
        <v>440</v>
      </c>
      <c r="C1857" s="2" t="s">
        <v>441</v>
      </c>
      <c r="D1857" s="2">
        <f t="shared" ca="1" si="112"/>
        <v>40</v>
      </c>
      <c r="E1857" t="s">
        <v>23</v>
      </c>
      <c r="F1857" t="s">
        <v>64</v>
      </c>
      <c r="G1857" t="s">
        <v>65</v>
      </c>
      <c r="H1857" t="str">
        <f t="shared" si="113"/>
        <v>Salvador - BA</v>
      </c>
      <c r="I1857" s="1" t="s">
        <v>198</v>
      </c>
      <c r="J1857" s="3">
        <v>45</v>
      </c>
      <c r="K1857" s="4">
        <f t="shared" si="114"/>
        <v>18.25631871475516</v>
      </c>
      <c r="L1857" s="1" t="str">
        <f t="shared" si="115"/>
        <v>Abaixo do peso</v>
      </c>
      <c r="M1857" t="s">
        <v>26</v>
      </c>
    </row>
    <row r="1858" spans="1:13" x14ac:dyDescent="0.25">
      <c r="A1858">
        <v>1857</v>
      </c>
      <c r="B1858" t="s">
        <v>3909</v>
      </c>
      <c r="C1858" s="2" t="s">
        <v>3162</v>
      </c>
      <c r="D1858" s="2">
        <f t="shared" ca="1" si="112"/>
        <v>55</v>
      </c>
      <c r="E1858" t="s">
        <v>23</v>
      </c>
      <c r="F1858" t="s">
        <v>45</v>
      </c>
      <c r="G1858" t="s">
        <v>46</v>
      </c>
      <c r="H1858" t="str">
        <f t="shared" si="113"/>
        <v>Goiânia - GO</v>
      </c>
      <c r="I1858" s="1" t="s">
        <v>213</v>
      </c>
      <c r="J1858" s="3">
        <v>78</v>
      </c>
      <c r="K1858" s="4">
        <f t="shared" si="114"/>
        <v>33.760387811634352</v>
      </c>
      <c r="L1858" s="1" t="str">
        <f t="shared" si="115"/>
        <v>Obesidade grau I</v>
      </c>
      <c r="M1858" t="s">
        <v>95</v>
      </c>
    </row>
    <row r="1859" spans="1:13" x14ac:dyDescent="0.25">
      <c r="A1859">
        <v>1858</v>
      </c>
      <c r="B1859" t="s">
        <v>3339</v>
      </c>
      <c r="C1859" s="2" t="s">
        <v>3340</v>
      </c>
      <c r="D1859" s="2">
        <f t="shared" ref="D1859:D1922" ca="1" si="116">YEAR(TODAY())-YEAR(C1859)</f>
        <v>47</v>
      </c>
      <c r="E1859" t="s">
        <v>23</v>
      </c>
      <c r="F1859" t="s">
        <v>3341</v>
      </c>
      <c r="G1859" t="s">
        <v>103</v>
      </c>
      <c r="H1859" t="str">
        <f t="shared" ref="H1859:H1922" si="117">CONCATENATE(F1859," - ",G1859)</f>
        <v>Sertãozinho - SP</v>
      </c>
      <c r="I1859" s="1" t="s">
        <v>575</v>
      </c>
      <c r="J1859" s="3">
        <v>81</v>
      </c>
      <c r="K1859" s="4">
        <f t="shared" ref="K1859:K1922" si="118">J1859/(I1859*I1859)</f>
        <v>32.039871840512632</v>
      </c>
      <c r="L1859" s="1" t="str">
        <f t="shared" ref="L1859:L1922" si="119">IF(K1859&gt;=40,"Obesidade grau III - mórbida",
IF(K1859&gt;=35,"Obesidade grau II - severa",
IF(K1859&gt;=30,"Obesidade grau I",
IF(K1859&gt;=25,"Levemente acima do peso",
IF(K1859&gt;=18.6,"Peso ideal - parabéns",
IF(K1859&gt;=17,"Abaixo do peso",
"Muito abaixo do peso"))))))</f>
        <v>Obesidade grau I</v>
      </c>
      <c r="M1859" t="s">
        <v>26</v>
      </c>
    </row>
    <row r="1860" spans="1:13" x14ac:dyDescent="0.25">
      <c r="A1860">
        <v>1859</v>
      </c>
      <c r="B1860" t="s">
        <v>2069</v>
      </c>
      <c r="C1860" s="2" t="s">
        <v>2070</v>
      </c>
      <c r="D1860" s="2">
        <f t="shared" ca="1" si="116"/>
        <v>46</v>
      </c>
      <c r="E1860" t="s">
        <v>23</v>
      </c>
      <c r="F1860" t="s">
        <v>395</v>
      </c>
      <c r="G1860" t="s">
        <v>36</v>
      </c>
      <c r="H1860" t="str">
        <f t="shared" si="117"/>
        <v>Imperatriz - MA</v>
      </c>
      <c r="I1860" s="1" t="s">
        <v>86</v>
      </c>
      <c r="J1860" s="3">
        <v>69</v>
      </c>
      <c r="K1860" s="4">
        <f t="shared" si="118"/>
        <v>21.061628155428711</v>
      </c>
      <c r="L1860" s="1" t="str">
        <f t="shared" si="119"/>
        <v>Peso ideal - parabéns</v>
      </c>
      <c r="M1860" t="s">
        <v>76</v>
      </c>
    </row>
    <row r="1861" spans="1:13" x14ac:dyDescent="0.25">
      <c r="A1861">
        <v>1860</v>
      </c>
      <c r="B1861" t="s">
        <v>668</v>
      </c>
      <c r="C1861" s="2" t="s">
        <v>669</v>
      </c>
      <c r="D1861" s="2">
        <f t="shared" ca="1" si="116"/>
        <v>34</v>
      </c>
      <c r="E1861" t="s">
        <v>23</v>
      </c>
      <c r="F1861" t="s">
        <v>107</v>
      </c>
      <c r="G1861" t="s">
        <v>36</v>
      </c>
      <c r="H1861" t="str">
        <f t="shared" si="117"/>
        <v>São Luís - MA</v>
      </c>
      <c r="I1861" s="1" t="s">
        <v>575</v>
      </c>
      <c r="J1861" s="3">
        <v>46</v>
      </c>
      <c r="K1861" s="4">
        <f t="shared" si="118"/>
        <v>18.195482773624459</v>
      </c>
      <c r="L1861" s="1" t="str">
        <f t="shared" si="119"/>
        <v>Abaixo do peso</v>
      </c>
      <c r="M1861" t="s">
        <v>20</v>
      </c>
    </row>
    <row r="1862" spans="1:13" x14ac:dyDescent="0.25">
      <c r="A1862">
        <v>1861</v>
      </c>
      <c r="B1862" t="s">
        <v>785</v>
      </c>
      <c r="C1862" s="2" t="s">
        <v>786</v>
      </c>
      <c r="D1862" s="2">
        <f t="shared" ca="1" si="116"/>
        <v>53</v>
      </c>
      <c r="E1862" t="s">
        <v>23</v>
      </c>
      <c r="F1862" t="s">
        <v>208</v>
      </c>
      <c r="G1862" t="s">
        <v>30</v>
      </c>
      <c r="H1862" t="str">
        <f t="shared" si="117"/>
        <v>Ji-Paraná - RO</v>
      </c>
      <c r="I1862" s="1" t="s">
        <v>94</v>
      </c>
      <c r="J1862" s="3">
        <v>57</v>
      </c>
      <c r="K1862" s="4">
        <f t="shared" si="118"/>
        <v>19.045073340238563</v>
      </c>
      <c r="L1862" s="1" t="str">
        <f t="shared" si="119"/>
        <v>Peso ideal - parabéns</v>
      </c>
      <c r="M1862" t="s">
        <v>32</v>
      </c>
    </row>
    <row r="1863" spans="1:13" x14ac:dyDescent="0.25">
      <c r="A1863">
        <v>1862</v>
      </c>
      <c r="B1863" t="s">
        <v>1660</v>
      </c>
      <c r="C1863" s="2" t="s">
        <v>1661</v>
      </c>
      <c r="D1863" s="2">
        <f t="shared" ca="1" si="116"/>
        <v>78</v>
      </c>
      <c r="E1863" t="s">
        <v>23</v>
      </c>
      <c r="F1863" t="s">
        <v>1662</v>
      </c>
      <c r="G1863" t="s">
        <v>131</v>
      </c>
      <c r="H1863" t="str">
        <f t="shared" si="117"/>
        <v>Biguaçu - SC</v>
      </c>
      <c r="I1863" s="1" t="s">
        <v>484</v>
      </c>
      <c r="J1863" s="3">
        <v>83</v>
      </c>
      <c r="K1863" s="4">
        <f t="shared" si="118"/>
        <v>34.54734651404786</v>
      </c>
      <c r="L1863" s="1" t="str">
        <f t="shared" si="119"/>
        <v>Obesidade grau I</v>
      </c>
      <c r="M1863" t="s">
        <v>83</v>
      </c>
    </row>
    <row r="1864" spans="1:13" x14ac:dyDescent="0.25">
      <c r="A1864">
        <v>1863</v>
      </c>
      <c r="B1864" t="s">
        <v>3328</v>
      </c>
      <c r="C1864" s="2" t="s">
        <v>2940</v>
      </c>
      <c r="D1864" s="2">
        <f t="shared" ca="1" si="116"/>
        <v>21</v>
      </c>
      <c r="E1864" t="s">
        <v>23</v>
      </c>
      <c r="F1864" t="s">
        <v>98</v>
      </c>
      <c r="G1864" t="s">
        <v>65</v>
      </c>
      <c r="H1864" t="str">
        <f t="shared" si="117"/>
        <v>Vitória da Conquista - BA</v>
      </c>
      <c r="I1864" s="1" t="s">
        <v>90</v>
      </c>
      <c r="J1864" s="3">
        <v>76</v>
      </c>
      <c r="K1864" s="4">
        <f t="shared" si="118"/>
        <v>25.689561925365066</v>
      </c>
      <c r="L1864" s="1" t="str">
        <f t="shared" si="119"/>
        <v>Levemente acima do peso</v>
      </c>
      <c r="M1864" t="s">
        <v>26</v>
      </c>
    </row>
    <row r="1865" spans="1:13" x14ac:dyDescent="0.25">
      <c r="A1865">
        <v>1864</v>
      </c>
      <c r="B1865" t="s">
        <v>3764</v>
      </c>
      <c r="C1865" s="2" t="s">
        <v>3760</v>
      </c>
      <c r="D1865" s="2">
        <f t="shared" ca="1" si="116"/>
        <v>50</v>
      </c>
      <c r="E1865" t="s">
        <v>23</v>
      </c>
      <c r="F1865" t="s">
        <v>852</v>
      </c>
      <c r="G1865" t="s">
        <v>186</v>
      </c>
      <c r="H1865" t="str">
        <f t="shared" si="117"/>
        <v>Belo Horizonte - MG</v>
      </c>
      <c r="I1865" s="1" t="s">
        <v>484</v>
      </c>
      <c r="J1865" s="3">
        <v>76</v>
      </c>
      <c r="K1865" s="4">
        <f t="shared" si="118"/>
        <v>31.633714880332981</v>
      </c>
      <c r="L1865" s="1" t="str">
        <f t="shared" si="119"/>
        <v>Obesidade grau I</v>
      </c>
      <c r="M1865" t="s">
        <v>83</v>
      </c>
    </row>
    <row r="1866" spans="1:13" x14ac:dyDescent="0.25">
      <c r="A1866">
        <v>1865</v>
      </c>
      <c r="B1866" t="s">
        <v>3764</v>
      </c>
      <c r="C1866" s="2" t="s">
        <v>3760</v>
      </c>
      <c r="D1866" s="2">
        <f t="shared" ca="1" si="116"/>
        <v>50</v>
      </c>
      <c r="E1866" t="s">
        <v>23</v>
      </c>
      <c r="F1866" t="s">
        <v>852</v>
      </c>
      <c r="G1866" t="s">
        <v>186</v>
      </c>
      <c r="H1866" t="str">
        <f t="shared" si="117"/>
        <v>Belo Horizonte - MG</v>
      </c>
      <c r="I1866" s="1" t="s">
        <v>484</v>
      </c>
      <c r="J1866" s="3">
        <v>76</v>
      </c>
      <c r="K1866" s="4">
        <f t="shared" si="118"/>
        <v>31.633714880332981</v>
      </c>
      <c r="L1866" s="1" t="str">
        <f t="shared" si="119"/>
        <v>Obesidade grau I</v>
      </c>
      <c r="M1866" t="s">
        <v>83</v>
      </c>
    </row>
    <row r="1867" spans="1:13" x14ac:dyDescent="0.25">
      <c r="A1867">
        <v>1866</v>
      </c>
      <c r="B1867" t="s">
        <v>1888</v>
      </c>
      <c r="C1867" s="2" t="s">
        <v>1889</v>
      </c>
      <c r="D1867" s="2">
        <f t="shared" ca="1" si="116"/>
        <v>64</v>
      </c>
      <c r="E1867" t="s">
        <v>23</v>
      </c>
      <c r="F1867" t="s">
        <v>1890</v>
      </c>
      <c r="G1867" t="s">
        <v>186</v>
      </c>
      <c r="H1867" t="str">
        <f t="shared" si="117"/>
        <v>Ribeirão das Neves - MG</v>
      </c>
      <c r="I1867" s="1" t="s">
        <v>386</v>
      </c>
      <c r="J1867" s="3">
        <v>64</v>
      </c>
      <c r="K1867" s="4">
        <f t="shared" si="118"/>
        <v>23.225431847873423</v>
      </c>
      <c r="L1867" s="1" t="str">
        <f t="shared" si="119"/>
        <v>Peso ideal - parabéns</v>
      </c>
      <c r="M1867" t="s">
        <v>14</v>
      </c>
    </row>
    <row r="1868" spans="1:13" x14ac:dyDescent="0.25">
      <c r="A1868">
        <v>1867</v>
      </c>
      <c r="B1868" t="s">
        <v>77</v>
      </c>
      <c r="C1868" s="2" t="s">
        <v>78</v>
      </c>
      <c r="D1868" s="2">
        <f t="shared" ca="1" si="116"/>
        <v>57</v>
      </c>
      <c r="E1868" t="s">
        <v>23</v>
      </c>
      <c r="F1868" t="s">
        <v>79</v>
      </c>
      <c r="G1868" t="s">
        <v>46</v>
      </c>
      <c r="H1868" t="str">
        <f t="shared" si="117"/>
        <v>Novo Gama - GO</v>
      </c>
      <c r="I1868" s="1" t="s">
        <v>42</v>
      </c>
      <c r="J1868" s="3">
        <v>68</v>
      </c>
      <c r="K1868" s="4">
        <f t="shared" si="118"/>
        <v>21.222808276895229</v>
      </c>
      <c r="L1868" s="1" t="str">
        <f t="shared" si="119"/>
        <v>Peso ideal - parabéns</v>
      </c>
      <c r="M1868" t="s">
        <v>20</v>
      </c>
    </row>
    <row r="1869" spans="1:13" x14ac:dyDescent="0.25">
      <c r="A1869">
        <v>1868</v>
      </c>
      <c r="B1869" t="s">
        <v>482</v>
      </c>
      <c r="C1869" s="2" t="s">
        <v>483</v>
      </c>
      <c r="D1869" s="2">
        <f t="shared" ca="1" si="116"/>
        <v>43</v>
      </c>
      <c r="E1869" t="s">
        <v>23</v>
      </c>
      <c r="F1869" t="s">
        <v>17</v>
      </c>
      <c r="G1869" t="s">
        <v>18</v>
      </c>
      <c r="H1869" t="str">
        <f t="shared" si="117"/>
        <v>Campo Grande - MS</v>
      </c>
      <c r="I1869" s="1" t="s">
        <v>484</v>
      </c>
      <c r="J1869" s="3">
        <v>49</v>
      </c>
      <c r="K1869" s="4">
        <f t="shared" si="118"/>
        <v>20.39542143600416</v>
      </c>
      <c r="L1869" s="1" t="str">
        <f t="shared" si="119"/>
        <v>Peso ideal - parabéns</v>
      </c>
      <c r="M1869" t="s">
        <v>83</v>
      </c>
    </row>
    <row r="1870" spans="1:13" x14ac:dyDescent="0.25">
      <c r="A1870">
        <v>1869</v>
      </c>
      <c r="B1870" t="s">
        <v>2818</v>
      </c>
      <c r="C1870" s="2" t="s">
        <v>2819</v>
      </c>
      <c r="D1870" s="2">
        <f t="shared" ca="1" si="116"/>
        <v>46</v>
      </c>
      <c r="E1870" t="s">
        <v>23</v>
      </c>
      <c r="F1870" t="s">
        <v>169</v>
      </c>
      <c r="G1870" t="s">
        <v>170</v>
      </c>
      <c r="H1870" t="str">
        <f t="shared" si="117"/>
        <v>Maceió - AL</v>
      </c>
      <c r="I1870" s="1" t="s">
        <v>194</v>
      </c>
      <c r="J1870" s="3">
        <v>84</v>
      </c>
      <c r="K1870" s="4">
        <f t="shared" si="118"/>
        <v>24.543462381300216</v>
      </c>
      <c r="L1870" s="1" t="str">
        <f t="shared" si="119"/>
        <v>Peso ideal - parabéns</v>
      </c>
      <c r="M1870" t="s">
        <v>76</v>
      </c>
    </row>
    <row r="1871" spans="1:13" x14ac:dyDescent="0.25">
      <c r="A1871">
        <v>1870</v>
      </c>
      <c r="B1871" t="s">
        <v>2253</v>
      </c>
      <c r="C1871" s="2" t="s">
        <v>2254</v>
      </c>
      <c r="D1871" s="2">
        <f t="shared" ca="1" si="116"/>
        <v>49</v>
      </c>
      <c r="E1871" t="s">
        <v>23</v>
      </c>
      <c r="F1871" t="s">
        <v>818</v>
      </c>
      <c r="G1871" t="s">
        <v>103</v>
      </c>
      <c r="H1871" t="str">
        <f t="shared" si="117"/>
        <v>Barueri - SP</v>
      </c>
      <c r="I1871" s="1" t="s">
        <v>447</v>
      </c>
      <c r="J1871" s="3">
        <v>50</v>
      </c>
      <c r="K1871" s="4">
        <f t="shared" si="118"/>
        <v>16.326530612244898</v>
      </c>
      <c r="L1871" s="1" t="str">
        <f t="shared" si="119"/>
        <v>Muito abaixo do peso</v>
      </c>
      <c r="M1871" t="s">
        <v>83</v>
      </c>
    </row>
    <row r="1872" spans="1:13" x14ac:dyDescent="0.25">
      <c r="A1872">
        <v>1871</v>
      </c>
      <c r="B1872" t="s">
        <v>1592</v>
      </c>
      <c r="C1872" s="2" t="s">
        <v>1593</v>
      </c>
      <c r="D1872" s="2">
        <f t="shared" ca="1" si="116"/>
        <v>79</v>
      </c>
      <c r="E1872" t="s">
        <v>23</v>
      </c>
      <c r="F1872" t="s">
        <v>74</v>
      </c>
      <c r="G1872" t="s">
        <v>75</v>
      </c>
      <c r="H1872" t="str">
        <f t="shared" si="117"/>
        <v>Macapá - AP</v>
      </c>
      <c r="I1872" s="1" t="s">
        <v>286</v>
      </c>
      <c r="J1872" s="3">
        <v>66</v>
      </c>
      <c r="K1872" s="4">
        <f t="shared" si="118"/>
        <v>24.242424242424246</v>
      </c>
      <c r="L1872" s="1" t="str">
        <f t="shared" si="119"/>
        <v>Peso ideal - parabéns</v>
      </c>
      <c r="M1872" t="s">
        <v>32</v>
      </c>
    </row>
    <row r="1873" spans="1:13" x14ac:dyDescent="0.25">
      <c r="A1873">
        <v>1872</v>
      </c>
      <c r="B1873" t="s">
        <v>3820</v>
      </c>
      <c r="C1873" s="2" t="s">
        <v>3821</v>
      </c>
      <c r="D1873" s="2">
        <f t="shared" ca="1" si="116"/>
        <v>81</v>
      </c>
      <c r="E1873" t="s">
        <v>23</v>
      </c>
      <c r="F1873" t="s">
        <v>204</v>
      </c>
      <c r="G1873" t="s">
        <v>112</v>
      </c>
      <c r="H1873" t="str">
        <f t="shared" si="117"/>
        <v>Belém - PA</v>
      </c>
      <c r="I1873" s="1" t="s">
        <v>71</v>
      </c>
      <c r="J1873" s="3">
        <v>76</v>
      </c>
      <c r="K1873" s="4">
        <f t="shared" si="118"/>
        <v>22.694018931589476</v>
      </c>
      <c r="L1873" s="1" t="str">
        <f t="shared" si="119"/>
        <v>Peso ideal - parabéns</v>
      </c>
      <c r="M1873" t="s">
        <v>32</v>
      </c>
    </row>
    <row r="1874" spans="1:13" x14ac:dyDescent="0.25">
      <c r="A1874">
        <v>1873</v>
      </c>
      <c r="B1874" t="s">
        <v>3366</v>
      </c>
      <c r="C1874" s="2" t="s">
        <v>899</v>
      </c>
      <c r="D1874" s="2">
        <f t="shared" ca="1" si="116"/>
        <v>37</v>
      </c>
      <c r="E1874" t="s">
        <v>23</v>
      </c>
      <c r="F1874" t="s">
        <v>1105</v>
      </c>
      <c r="G1874" t="s">
        <v>310</v>
      </c>
      <c r="H1874" t="str">
        <f t="shared" si="117"/>
        <v>Novo Hamburgo - RS</v>
      </c>
      <c r="I1874" s="1" t="s">
        <v>205</v>
      </c>
      <c r="J1874" s="3">
        <v>87</v>
      </c>
      <c r="K1874" s="4">
        <f t="shared" si="118"/>
        <v>37.165192874535435</v>
      </c>
      <c r="L1874" s="1" t="str">
        <f t="shared" si="119"/>
        <v>Obesidade grau II - severa</v>
      </c>
      <c r="M1874" t="s">
        <v>76</v>
      </c>
    </row>
    <row r="1875" spans="1:13" x14ac:dyDescent="0.25">
      <c r="A1875">
        <v>1874</v>
      </c>
      <c r="B1875" t="s">
        <v>124</v>
      </c>
      <c r="C1875" s="2" t="s">
        <v>125</v>
      </c>
      <c r="D1875" s="2">
        <f t="shared" ca="1" si="116"/>
        <v>21</v>
      </c>
      <c r="E1875" t="s">
        <v>23</v>
      </c>
      <c r="F1875" t="s">
        <v>126</v>
      </c>
      <c r="G1875" t="s">
        <v>127</v>
      </c>
      <c r="H1875" t="str">
        <f t="shared" si="117"/>
        <v>Boa Vista - RR</v>
      </c>
      <c r="I1875" s="1" t="s">
        <v>104</v>
      </c>
      <c r="J1875" s="3">
        <v>58</v>
      </c>
      <c r="K1875" s="4">
        <f t="shared" si="118"/>
        <v>20.069204152249139</v>
      </c>
      <c r="L1875" s="1" t="str">
        <f t="shared" si="119"/>
        <v>Peso ideal - parabéns</v>
      </c>
      <c r="M1875" t="s">
        <v>32</v>
      </c>
    </row>
    <row r="1876" spans="1:13" x14ac:dyDescent="0.25">
      <c r="A1876">
        <v>1875</v>
      </c>
      <c r="B1876" t="s">
        <v>3023</v>
      </c>
      <c r="C1876" s="2" t="s">
        <v>3024</v>
      </c>
      <c r="D1876" s="2">
        <f t="shared" ca="1" si="116"/>
        <v>74</v>
      </c>
      <c r="E1876" t="s">
        <v>23</v>
      </c>
      <c r="F1876" t="s">
        <v>153</v>
      </c>
      <c r="G1876" t="s">
        <v>154</v>
      </c>
      <c r="H1876" t="str">
        <f t="shared" si="117"/>
        <v>Manaus - AM</v>
      </c>
      <c r="I1876" s="1" t="s">
        <v>209</v>
      </c>
      <c r="J1876" s="3">
        <v>75</v>
      </c>
      <c r="K1876" s="4">
        <f t="shared" si="118"/>
        <v>31.624219935908247</v>
      </c>
      <c r="L1876" s="1" t="str">
        <f t="shared" si="119"/>
        <v>Obesidade grau I</v>
      </c>
      <c r="M1876" t="s">
        <v>76</v>
      </c>
    </row>
    <row r="1877" spans="1:13" x14ac:dyDescent="0.25">
      <c r="A1877">
        <v>1876</v>
      </c>
      <c r="B1877" t="s">
        <v>4043</v>
      </c>
      <c r="C1877" s="2" t="s">
        <v>3245</v>
      </c>
      <c r="D1877" s="2">
        <f t="shared" ca="1" si="116"/>
        <v>76</v>
      </c>
      <c r="E1877" t="s">
        <v>23</v>
      </c>
      <c r="F1877" t="s">
        <v>2922</v>
      </c>
      <c r="G1877" t="s">
        <v>186</v>
      </c>
      <c r="H1877" t="str">
        <f t="shared" si="117"/>
        <v>Betim - MG</v>
      </c>
      <c r="I1877" s="1" t="s">
        <v>171</v>
      </c>
      <c r="J1877" s="3">
        <v>54</v>
      </c>
      <c r="K1877" s="4">
        <f t="shared" si="118"/>
        <v>19.362472659471475</v>
      </c>
      <c r="L1877" s="1" t="str">
        <f t="shared" si="119"/>
        <v>Peso ideal - parabéns</v>
      </c>
      <c r="M1877" t="s">
        <v>14</v>
      </c>
    </row>
    <row r="1878" spans="1:13" x14ac:dyDescent="0.25">
      <c r="A1878">
        <v>1877</v>
      </c>
      <c r="B1878" t="s">
        <v>2949</v>
      </c>
      <c r="C1878" s="2" t="s">
        <v>2950</v>
      </c>
      <c r="D1878" s="2">
        <f t="shared" ca="1" si="116"/>
        <v>45</v>
      </c>
      <c r="E1878" t="s">
        <v>23</v>
      </c>
      <c r="F1878" t="s">
        <v>24</v>
      </c>
      <c r="G1878" t="s">
        <v>25</v>
      </c>
      <c r="H1878" t="str">
        <f t="shared" si="117"/>
        <v>Natal - RN</v>
      </c>
      <c r="I1878" s="1" t="s">
        <v>171</v>
      </c>
      <c r="J1878" s="3">
        <v>48</v>
      </c>
      <c r="K1878" s="4">
        <f t="shared" si="118"/>
        <v>17.21108680841909</v>
      </c>
      <c r="L1878" s="1" t="str">
        <f t="shared" si="119"/>
        <v>Abaixo do peso</v>
      </c>
      <c r="M1878" t="s">
        <v>14</v>
      </c>
    </row>
    <row r="1879" spans="1:13" x14ac:dyDescent="0.25">
      <c r="A1879">
        <v>1878</v>
      </c>
      <c r="B1879" t="s">
        <v>742</v>
      </c>
      <c r="C1879" s="2" t="s">
        <v>743</v>
      </c>
      <c r="D1879" s="2">
        <f t="shared" ca="1" si="116"/>
        <v>53</v>
      </c>
      <c r="E1879" t="s">
        <v>23</v>
      </c>
      <c r="F1879" t="s">
        <v>744</v>
      </c>
      <c r="G1879" t="s">
        <v>103</v>
      </c>
      <c r="H1879" t="str">
        <f t="shared" si="117"/>
        <v>Suzano - SP</v>
      </c>
      <c r="I1879" s="1" t="s">
        <v>94</v>
      </c>
      <c r="J1879" s="3">
        <v>58</v>
      </c>
      <c r="K1879" s="4">
        <f t="shared" si="118"/>
        <v>19.379197433926961</v>
      </c>
      <c r="L1879" s="1" t="str">
        <f t="shared" si="119"/>
        <v>Peso ideal - parabéns</v>
      </c>
      <c r="M1879" t="s">
        <v>20</v>
      </c>
    </row>
    <row r="1880" spans="1:13" x14ac:dyDescent="0.25">
      <c r="A1880">
        <v>1879</v>
      </c>
      <c r="B1880" t="s">
        <v>4046</v>
      </c>
      <c r="C1880" s="2" t="s">
        <v>4047</v>
      </c>
      <c r="D1880" s="2">
        <f t="shared" ca="1" si="116"/>
        <v>22</v>
      </c>
      <c r="E1880" t="s">
        <v>23</v>
      </c>
      <c r="F1880" t="s">
        <v>107</v>
      </c>
      <c r="G1880" t="s">
        <v>36</v>
      </c>
      <c r="H1880" t="str">
        <f t="shared" si="117"/>
        <v>São Luís - MA</v>
      </c>
      <c r="I1880" s="1" t="s">
        <v>247</v>
      </c>
      <c r="J1880" s="3">
        <v>47</v>
      </c>
      <c r="K1880" s="4">
        <f t="shared" si="118"/>
        <v>20.888888888888889</v>
      </c>
      <c r="L1880" s="1" t="str">
        <f t="shared" si="119"/>
        <v>Peso ideal - parabéns</v>
      </c>
      <c r="M1880" t="s">
        <v>76</v>
      </c>
    </row>
    <row r="1881" spans="1:13" x14ac:dyDescent="0.25">
      <c r="A1881">
        <v>1880</v>
      </c>
      <c r="B1881" t="s">
        <v>2830</v>
      </c>
      <c r="C1881" s="2" t="s">
        <v>2831</v>
      </c>
      <c r="D1881" s="2">
        <f t="shared" ca="1" si="116"/>
        <v>40</v>
      </c>
      <c r="E1881" t="s">
        <v>23</v>
      </c>
      <c r="F1881" t="s">
        <v>354</v>
      </c>
      <c r="G1881" t="s">
        <v>30</v>
      </c>
      <c r="H1881" t="str">
        <f t="shared" si="117"/>
        <v>Porto Velho - RO</v>
      </c>
      <c r="I1881" s="1" t="s">
        <v>117</v>
      </c>
      <c r="J1881" s="3">
        <v>68</v>
      </c>
      <c r="K1881" s="4">
        <f t="shared" si="118"/>
        <v>21.461936624163616</v>
      </c>
      <c r="L1881" s="1" t="str">
        <f t="shared" si="119"/>
        <v>Peso ideal - parabéns</v>
      </c>
      <c r="M1881" t="s">
        <v>14</v>
      </c>
    </row>
    <row r="1882" spans="1:13" x14ac:dyDescent="0.25">
      <c r="A1882">
        <v>1881</v>
      </c>
      <c r="B1882" t="s">
        <v>2529</v>
      </c>
      <c r="C1882" s="2" t="s">
        <v>2530</v>
      </c>
      <c r="D1882" s="2">
        <f t="shared" ca="1" si="116"/>
        <v>71</v>
      </c>
      <c r="E1882" t="s">
        <v>23</v>
      </c>
      <c r="F1882" t="s">
        <v>236</v>
      </c>
      <c r="G1882" t="s">
        <v>237</v>
      </c>
      <c r="H1882" t="str">
        <f t="shared" si="117"/>
        <v>Teresina - PI</v>
      </c>
      <c r="I1882" s="1" t="s">
        <v>86</v>
      </c>
      <c r="J1882" s="3">
        <v>84</v>
      </c>
      <c r="K1882" s="4">
        <f t="shared" si="118"/>
        <v>25.640242971826257</v>
      </c>
      <c r="L1882" s="1" t="str">
        <f t="shared" si="119"/>
        <v>Levemente acima do peso</v>
      </c>
      <c r="M1882" t="s">
        <v>95</v>
      </c>
    </row>
    <row r="1883" spans="1:13" x14ac:dyDescent="0.25">
      <c r="A1883">
        <v>1882</v>
      </c>
      <c r="B1883" t="s">
        <v>1367</v>
      </c>
      <c r="C1883" s="2" t="s">
        <v>1368</v>
      </c>
      <c r="D1883" s="2">
        <f t="shared" ca="1" si="116"/>
        <v>39</v>
      </c>
      <c r="E1883" t="s">
        <v>23</v>
      </c>
      <c r="F1883" t="s">
        <v>11</v>
      </c>
      <c r="G1883" t="s">
        <v>12</v>
      </c>
      <c r="H1883" t="str">
        <f t="shared" si="117"/>
        <v>Caucaia - CE</v>
      </c>
      <c r="I1883" s="1" t="s">
        <v>113</v>
      </c>
      <c r="J1883" s="3">
        <v>67</v>
      </c>
      <c r="K1883" s="4">
        <f t="shared" si="118"/>
        <v>25.217358575783809</v>
      </c>
      <c r="L1883" s="1" t="str">
        <f t="shared" si="119"/>
        <v>Levemente acima do peso</v>
      </c>
      <c r="M1883" t="s">
        <v>32</v>
      </c>
    </row>
    <row r="1884" spans="1:13" x14ac:dyDescent="0.25">
      <c r="A1884">
        <v>1883</v>
      </c>
      <c r="B1884" t="s">
        <v>795</v>
      </c>
      <c r="C1884" s="2" t="s">
        <v>794</v>
      </c>
      <c r="D1884" s="2">
        <f t="shared" ca="1" si="116"/>
        <v>56</v>
      </c>
      <c r="E1884" t="s">
        <v>23</v>
      </c>
      <c r="F1884" t="s">
        <v>796</v>
      </c>
      <c r="G1884" t="s">
        <v>131</v>
      </c>
      <c r="H1884" t="str">
        <f t="shared" si="117"/>
        <v>Joinville - SC</v>
      </c>
      <c r="I1884" s="1" t="s">
        <v>194</v>
      </c>
      <c r="J1884" s="3">
        <v>53</v>
      </c>
      <c r="K1884" s="4">
        <f t="shared" si="118"/>
        <v>15.485756026296565</v>
      </c>
      <c r="L1884" s="1" t="str">
        <f t="shared" si="119"/>
        <v>Muito abaixo do peso</v>
      </c>
      <c r="M1884" t="s">
        <v>83</v>
      </c>
    </row>
    <row r="1885" spans="1:13" x14ac:dyDescent="0.25">
      <c r="A1885">
        <v>1884</v>
      </c>
      <c r="B1885" t="s">
        <v>1336</v>
      </c>
      <c r="C1885" s="2" t="s">
        <v>1337</v>
      </c>
      <c r="D1885" s="2">
        <f t="shared" ca="1" si="116"/>
        <v>63</v>
      </c>
      <c r="E1885" t="s">
        <v>23</v>
      </c>
      <c r="F1885" t="s">
        <v>93</v>
      </c>
      <c r="G1885" t="s">
        <v>51</v>
      </c>
      <c r="H1885" t="str">
        <f t="shared" si="117"/>
        <v>Teresópolis - RJ</v>
      </c>
      <c r="I1885" s="1" t="s">
        <v>104</v>
      </c>
      <c r="J1885" s="3">
        <v>53</v>
      </c>
      <c r="K1885" s="4">
        <f t="shared" si="118"/>
        <v>18.339100346020764</v>
      </c>
      <c r="L1885" s="1" t="str">
        <f t="shared" si="119"/>
        <v>Abaixo do peso</v>
      </c>
      <c r="M1885" t="s">
        <v>95</v>
      </c>
    </row>
    <row r="1886" spans="1:13" x14ac:dyDescent="0.25">
      <c r="A1886">
        <v>1885</v>
      </c>
      <c r="B1886" t="s">
        <v>1324</v>
      </c>
      <c r="C1886" s="2" t="s">
        <v>1325</v>
      </c>
      <c r="D1886" s="2">
        <f t="shared" ca="1" si="116"/>
        <v>78</v>
      </c>
      <c r="E1886" t="s">
        <v>23</v>
      </c>
      <c r="F1886" t="s">
        <v>153</v>
      </c>
      <c r="G1886" t="s">
        <v>154</v>
      </c>
      <c r="H1886" t="str">
        <f t="shared" si="117"/>
        <v>Manaus - AM</v>
      </c>
      <c r="I1886" s="1" t="s">
        <v>123</v>
      </c>
      <c r="J1886" s="3">
        <v>50</v>
      </c>
      <c r="K1886" s="4">
        <f t="shared" si="118"/>
        <v>16.141528925619834</v>
      </c>
      <c r="L1886" s="1" t="str">
        <f t="shared" si="119"/>
        <v>Muito abaixo do peso</v>
      </c>
      <c r="M1886" t="s">
        <v>26</v>
      </c>
    </row>
    <row r="1887" spans="1:13" x14ac:dyDescent="0.25">
      <c r="A1887">
        <v>1886</v>
      </c>
      <c r="B1887" t="s">
        <v>1080</v>
      </c>
      <c r="C1887" s="2" t="s">
        <v>1081</v>
      </c>
      <c r="D1887" s="2">
        <f t="shared" ca="1" si="116"/>
        <v>47</v>
      </c>
      <c r="E1887" t="s">
        <v>23</v>
      </c>
      <c r="F1887" t="s">
        <v>564</v>
      </c>
      <c r="G1887" t="s">
        <v>565</v>
      </c>
      <c r="H1887" t="str">
        <f t="shared" si="117"/>
        <v>Rio Branco - AC</v>
      </c>
      <c r="I1887" s="1" t="s">
        <v>281</v>
      </c>
      <c r="J1887" s="3">
        <v>63</v>
      </c>
      <c r="K1887" s="4">
        <f t="shared" si="118"/>
        <v>24.005486968449926</v>
      </c>
      <c r="L1887" s="1" t="str">
        <f t="shared" si="119"/>
        <v>Peso ideal - parabéns</v>
      </c>
      <c r="M1887" t="s">
        <v>32</v>
      </c>
    </row>
    <row r="1888" spans="1:13" x14ac:dyDescent="0.25">
      <c r="A1888">
        <v>1887</v>
      </c>
      <c r="B1888" t="s">
        <v>1881</v>
      </c>
      <c r="C1888" s="2" t="s">
        <v>1370</v>
      </c>
      <c r="D1888" s="2">
        <f t="shared" ca="1" si="116"/>
        <v>74</v>
      </c>
      <c r="E1888" t="s">
        <v>23</v>
      </c>
      <c r="F1888" t="s">
        <v>24</v>
      </c>
      <c r="G1888" t="s">
        <v>25</v>
      </c>
      <c r="H1888" t="str">
        <f t="shared" si="117"/>
        <v>Natal - RN</v>
      </c>
      <c r="I1888" s="1" t="s">
        <v>171</v>
      </c>
      <c r="J1888" s="3">
        <v>65</v>
      </c>
      <c r="K1888" s="4">
        <f t="shared" si="118"/>
        <v>23.306680053067517</v>
      </c>
      <c r="L1888" s="1" t="str">
        <f t="shared" si="119"/>
        <v>Peso ideal - parabéns</v>
      </c>
      <c r="M1888" t="s">
        <v>83</v>
      </c>
    </row>
    <row r="1889" spans="1:13" x14ac:dyDescent="0.25">
      <c r="A1889">
        <v>1888</v>
      </c>
      <c r="B1889" t="s">
        <v>700</v>
      </c>
      <c r="C1889" s="2" t="s">
        <v>701</v>
      </c>
      <c r="D1889" s="2">
        <f t="shared" ca="1" si="116"/>
        <v>58</v>
      </c>
      <c r="E1889" t="s">
        <v>23</v>
      </c>
      <c r="F1889" t="s">
        <v>702</v>
      </c>
      <c r="G1889" t="s">
        <v>55</v>
      </c>
      <c r="H1889" t="str">
        <f t="shared" si="117"/>
        <v>Apucarana - PR</v>
      </c>
      <c r="I1889" s="1" t="s">
        <v>302</v>
      </c>
      <c r="J1889" s="3">
        <v>79</v>
      </c>
      <c r="K1889" s="4">
        <f t="shared" si="118"/>
        <v>34.647603175299331</v>
      </c>
      <c r="L1889" s="1" t="str">
        <f t="shared" si="119"/>
        <v>Obesidade grau I</v>
      </c>
      <c r="M1889" t="s">
        <v>83</v>
      </c>
    </row>
    <row r="1890" spans="1:13" x14ac:dyDescent="0.25">
      <c r="A1890">
        <v>1889</v>
      </c>
      <c r="B1890" t="s">
        <v>751</v>
      </c>
      <c r="C1890" s="2" t="s">
        <v>752</v>
      </c>
      <c r="D1890" s="2">
        <f t="shared" ca="1" si="116"/>
        <v>77</v>
      </c>
      <c r="E1890" t="s">
        <v>23</v>
      </c>
      <c r="F1890" t="s">
        <v>69</v>
      </c>
      <c r="G1890" t="s">
        <v>70</v>
      </c>
      <c r="H1890" t="str">
        <f t="shared" si="117"/>
        <v>Aracaju - SE</v>
      </c>
      <c r="I1890" s="1" t="s">
        <v>113</v>
      </c>
      <c r="J1890" s="3">
        <v>69</v>
      </c>
      <c r="K1890" s="4">
        <f t="shared" si="118"/>
        <v>25.970115548195267</v>
      </c>
      <c r="L1890" s="1" t="str">
        <f t="shared" si="119"/>
        <v>Levemente acima do peso</v>
      </c>
      <c r="M1890" t="s">
        <v>76</v>
      </c>
    </row>
    <row r="1891" spans="1:13" x14ac:dyDescent="0.25">
      <c r="A1891">
        <v>1890</v>
      </c>
      <c r="B1891" t="s">
        <v>3884</v>
      </c>
      <c r="C1891" s="2" t="s">
        <v>3885</v>
      </c>
      <c r="D1891" s="2">
        <f t="shared" ca="1" si="116"/>
        <v>79</v>
      </c>
      <c r="E1891" t="s">
        <v>23</v>
      </c>
      <c r="F1891" t="s">
        <v>64</v>
      </c>
      <c r="G1891" t="s">
        <v>65</v>
      </c>
      <c r="H1891" t="str">
        <f t="shared" si="117"/>
        <v>Salvador - BA</v>
      </c>
      <c r="I1891" s="1" t="s">
        <v>198</v>
      </c>
      <c r="J1891" s="3">
        <v>66</v>
      </c>
      <c r="K1891" s="4">
        <f t="shared" si="118"/>
        <v>26.775934114974238</v>
      </c>
      <c r="L1891" s="1" t="str">
        <f t="shared" si="119"/>
        <v>Levemente acima do peso</v>
      </c>
      <c r="M1891" t="s">
        <v>76</v>
      </c>
    </row>
    <row r="1892" spans="1:13" x14ac:dyDescent="0.25">
      <c r="A1892">
        <v>1891</v>
      </c>
      <c r="B1892" t="s">
        <v>1416</v>
      </c>
      <c r="C1892" s="2" t="s">
        <v>1417</v>
      </c>
      <c r="D1892" s="2">
        <f t="shared" ca="1" si="116"/>
        <v>57</v>
      </c>
      <c r="E1892" t="s">
        <v>23</v>
      </c>
      <c r="F1892" t="s">
        <v>241</v>
      </c>
      <c r="G1892" t="s">
        <v>190</v>
      </c>
      <c r="H1892" t="str">
        <f t="shared" si="117"/>
        <v>Várzea Grande - MT</v>
      </c>
      <c r="I1892" s="1" t="s">
        <v>166</v>
      </c>
      <c r="J1892" s="3">
        <v>88</v>
      </c>
      <c r="K1892" s="4">
        <f t="shared" si="118"/>
        <v>31.17913832199547</v>
      </c>
      <c r="L1892" s="1" t="str">
        <f t="shared" si="119"/>
        <v>Obesidade grau I</v>
      </c>
      <c r="M1892" t="s">
        <v>83</v>
      </c>
    </row>
    <row r="1893" spans="1:13" x14ac:dyDescent="0.25">
      <c r="A1893">
        <v>1892</v>
      </c>
      <c r="B1893" t="s">
        <v>1164</v>
      </c>
      <c r="C1893" s="2" t="s">
        <v>1165</v>
      </c>
      <c r="D1893" s="2">
        <f t="shared" ca="1" si="116"/>
        <v>45</v>
      </c>
      <c r="E1893" t="s">
        <v>23</v>
      </c>
      <c r="F1893" t="s">
        <v>354</v>
      </c>
      <c r="G1893" t="s">
        <v>30</v>
      </c>
      <c r="H1893" t="str">
        <f t="shared" si="117"/>
        <v>Porto Velho - RO</v>
      </c>
      <c r="I1893" s="1" t="s">
        <v>71</v>
      </c>
      <c r="J1893" s="3">
        <v>53</v>
      </c>
      <c r="K1893" s="4">
        <f t="shared" si="118"/>
        <v>15.826092149661081</v>
      </c>
      <c r="L1893" s="1" t="str">
        <f t="shared" si="119"/>
        <v>Muito abaixo do peso</v>
      </c>
      <c r="M1893" t="s">
        <v>20</v>
      </c>
    </row>
    <row r="1894" spans="1:13" x14ac:dyDescent="0.25">
      <c r="A1894">
        <v>1893</v>
      </c>
      <c r="B1894" t="s">
        <v>87</v>
      </c>
      <c r="C1894" s="2" t="s">
        <v>88</v>
      </c>
      <c r="D1894" s="2">
        <f t="shared" ca="1" si="116"/>
        <v>55</v>
      </c>
      <c r="E1894" t="s">
        <v>23</v>
      </c>
      <c r="F1894" t="s">
        <v>89</v>
      </c>
      <c r="G1894" t="s">
        <v>12</v>
      </c>
      <c r="H1894" t="str">
        <f t="shared" si="117"/>
        <v>Fortaleza - CE</v>
      </c>
      <c r="I1894" s="1" t="s">
        <v>90</v>
      </c>
      <c r="J1894" s="3">
        <v>86</v>
      </c>
      <c r="K1894" s="4">
        <f t="shared" si="118"/>
        <v>29.069767441860467</v>
      </c>
      <c r="L1894" s="1" t="str">
        <f t="shared" si="119"/>
        <v>Levemente acima do peso</v>
      </c>
      <c r="M1894" t="s">
        <v>76</v>
      </c>
    </row>
    <row r="1895" spans="1:13" x14ac:dyDescent="0.25">
      <c r="A1895">
        <v>1894</v>
      </c>
      <c r="B1895" t="s">
        <v>1377</v>
      </c>
      <c r="C1895" s="2" t="s">
        <v>1378</v>
      </c>
      <c r="D1895" s="2">
        <f t="shared" ca="1" si="116"/>
        <v>30</v>
      </c>
      <c r="E1895" t="s">
        <v>23</v>
      </c>
      <c r="F1895" t="s">
        <v>126</v>
      </c>
      <c r="G1895" t="s">
        <v>127</v>
      </c>
      <c r="H1895" t="str">
        <f t="shared" si="117"/>
        <v>Boa Vista - RR</v>
      </c>
      <c r="I1895" s="1" t="s">
        <v>575</v>
      </c>
      <c r="J1895" s="3">
        <v>67</v>
      </c>
      <c r="K1895" s="4">
        <f t="shared" si="118"/>
        <v>26.502116213757365</v>
      </c>
      <c r="L1895" s="1" t="str">
        <f t="shared" si="119"/>
        <v>Levemente acima do peso</v>
      </c>
      <c r="M1895" t="s">
        <v>95</v>
      </c>
    </row>
    <row r="1896" spans="1:13" x14ac:dyDescent="0.25">
      <c r="A1896">
        <v>1895</v>
      </c>
      <c r="B1896" t="s">
        <v>2654</v>
      </c>
      <c r="C1896" s="2" t="s">
        <v>2655</v>
      </c>
      <c r="D1896" s="2">
        <f t="shared" ca="1" si="116"/>
        <v>20</v>
      </c>
      <c r="E1896" t="s">
        <v>23</v>
      </c>
      <c r="F1896" t="s">
        <v>520</v>
      </c>
      <c r="G1896" t="s">
        <v>186</v>
      </c>
      <c r="H1896" t="str">
        <f t="shared" si="117"/>
        <v>Sete Lagoas - MG</v>
      </c>
      <c r="I1896" s="1" t="s">
        <v>400</v>
      </c>
      <c r="J1896" s="3">
        <v>49</v>
      </c>
      <c r="K1896" s="4">
        <f t="shared" si="118"/>
        <v>15.123456790123456</v>
      </c>
      <c r="L1896" s="1" t="str">
        <f t="shared" si="119"/>
        <v>Muito abaixo do peso</v>
      </c>
      <c r="M1896" t="s">
        <v>47</v>
      </c>
    </row>
    <row r="1897" spans="1:13" x14ac:dyDescent="0.25">
      <c r="A1897">
        <v>1896</v>
      </c>
      <c r="B1897" t="s">
        <v>1900</v>
      </c>
      <c r="C1897" s="2" t="s">
        <v>1049</v>
      </c>
      <c r="D1897" s="2">
        <f t="shared" ca="1" si="116"/>
        <v>40</v>
      </c>
      <c r="E1897" t="s">
        <v>23</v>
      </c>
      <c r="F1897" t="s">
        <v>1901</v>
      </c>
      <c r="G1897" t="s">
        <v>51</v>
      </c>
      <c r="H1897" t="str">
        <f t="shared" si="117"/>
        <v>Três Rios - RJ</v>
      </c>
      <c r="I1897" s="1" t="s">
        <v>31</v>
      </c>
      <c r="J1897" s="3">
        <v>79</v>
      </c>
      <c r="K1897" s="4">
        <f t="shared" si="118"/>
        <v>29.372397382510414</v>
      </c>
      <c r="L1897" s="1" t="str">
        <f t="shared" si="119"/>
        <v>Levemente acima do peso</v>
      </c>
      <c r="M1897" t="s">
        <v>14</v>
      </c>
    </row>
    <row r="1898" spans="1:13" x14ac:dyDescent="0.25">
      <c r="A1898">
        <v>1897</v>
      </c>
      <c r="B1898" t="s">
        <v>2828</v>
      </c>
      <c r="C1898" s="2" t="s">
        <v>2829</v>
      </c>
      <c r="D1898" s="2">
        <f t="shared" ca="1" si="116"/>
        <v>77</v>
      </c>
      <c r="E1898" t="s">
        <v>23</v>
      </c>
      <c r="F1898" t="s">
        <v>241</v>
      </c>
      <c r="G1898" t="s">
        <v>190</v>
      </c>
      <c r="H1898" t="str">
        <f t="shared" si="117"/>
        <v>Várzea Grande - MT</v>
      </c>
      <c r="I1898" s="1" t="s">
        <v>117</v>
      </c>
      <c r="J1898" s="3">
        <v>56</v>
      </c>
      <c r="K1898" s="4">
        <f t="shared" si="118"/>
        <v>17.674536043428859</v>
      </c>
      <c r="L1898" s="1" t="str">
        <f t="shared" si="119"/>
        <v>Abaixo do peso</v>
      </c>
      <c r="M1898" t="s">
        <v>95</v>
      </c>
    </row>
    <row r="1899" spans="1:13" x14ac:dyDescent="0.25">
      <c r="A1899">
        <v>1898</v>
      </c>
      <c r="B1899" t="s">
        <v>4105</v>
      </c>
      <c r="C1899" s="2" t="s">
        <v>4106</v>
      </c>
      <c r="D1899" s="2">
        <f t="shared" ca="1" si="116"/>
        <v>80</v>
      </c>
      <c r="E1899" t="s">
        <v>23</v>
      </c>
      <c r="F1899" t="s">
        <v>1987</v>
      </c>
      <c r="G1899" t="s">
        <v>46</v>
      </c>
      <c r="H1899" t="str">
        <f t="shared" si="117"/>
        <v>Águas Lindas de Goiás - GO</v>
      </c>
      <c r="I1899" s="1" t="s">
        <v>484</v>
      </c>
      <c r="J1899" s="3">
        <v>66</v>
      </c>
      <c r="K1899" s="4">
        <f t="shared" si="118"/>
        <v>27.471383975026011</v>
      </c>
      <c r="L1899" s="1" t="str">
        <f t="shared" si="119"/>
        <v>Levemente acima do peso</v>
      </c>
      <c r="M1899" t="s">
        <v>32</v>
      </c>
    </row>
    <row r="1900" spans="1:13" x14ac:dyDescent="0.25">
      <c r="A1900">
        <v>1899</v>
      </c>
      <c r="B1900" t="s">
        <v>2351</v>
      </c>
      <c r="C1900" s="2" t="s">
        <v>2352</v>
      </c>
      <c r="D1900" s="2">
        <f t="shared" ca="1" si="116"/>
        <v>44</v>
      </c>
      <c r="E1900" t="s">
        <v>23</v>
      </c>
      <c r="F1900" t="s">
        <v>169</v>
      </c>
      <c r="G1900" t="s">
        <v>170</v>
      </c>
      <c r="H1900" t="str">
        <f t="shared" si="117"/>
        <v>Maceió - AL</v>
      </c>
      <c r="I1900" s="1" t="s">
        <v>56</v>
      </c>
      <c r="J1900" s="3">
        <v>87</v>
      </c>
      <c r="K1900" s="4">
        <f t="shared" si="118"/>
        <v>30.461118308182492</v>
      </c>
      <c r="L1900" s="1" t="str">
        <f t="shared" si="119"/>
        <v>Obesidade grau I</v>
      </c>
      <c r="M1900" t="s">
        <v>26</v>
      </c>
    </row>
    <row r="1901" spans="1:13" x14ac:dyDescent="0.25">
      <c r="A1901">
        <v>1900</v>
      </c>
      <c r="B1901" t="s">
        <v>2431</v>
      </c>
      <c r="C1901" s="2" t="s">
        <v>2432</v>
      </c>
      <c r="D1901" s="2">
        <f t="shared" ca="1" si="116"/>
        <v>70</v>
      </c>
      <c r="E1901" t="s">
        <v>23</v>
      </c>
      <c r="F1901" t="s">
        <v>189</v>
      </c>
      <c r="G1901" t="s">
        <v>190</v>
      </c>
      <c r="H1901" t="str">
        <f t="shared" si="117"/>
        <v>Cuiabá - MT</v>
      </c>
      <c r="I1901" s="1" t="s">
        <v>42</v>
      </c>
      <c r="J1901" s="3">
        <v>85</v>
      </c>
      <c r="K1901" s="4">
        <f t="shared" si="118"/>
        <v>26.528510346119035</v>
      </c>
      <c r="L1901" s="1" t="str">
        <f t="shared" si="119"/>
        <v>Levemente acima do peso</v>
      </c>
      <c r="M1901" t="s">
        <v>95</v>
      </c>
    </row>
    <row r="1902" spans="1:13" x14ac:dyDescent="0.25">
      <c r="A1902">
        <v>1901</v>
      </c>
      <c r="B1902" t="s">
        <v>202</v>
      </c>
      <c r="C1902" s="2" t="s">
        <v>203</v>
      </c>
      <c r="D1902" s="2">
        <f t="shared" ca="1" si="116"/>
        <v>66</v>
      </c>
      <c r="E1902" t="s">
        <v>23</v>
      </c>
      <c r="F1902" t="s">
        <v>204</v>
      </c>
      <c r="G1902" t="s">
        <v>112</v>
      </c>
      <c r="H1902" t="str">
        <f t="shared" si="117"/>
        <v>Belém - PA</v>
      </c>
      <c r="I1902" s="1" t="s">
        <v>205</v>
      </c>
      <c r="J1902" s="3">
        <v>51</v>
      </c>
      <c r="K1902" s="4">
        <f t="shared" si="118"/>
        <v>21.786492374727668</v>
      </c>
      <c r="L1902" s="1" t="str">
        <f t="shared" si="119"/>
        <v>Peso ideal - parabéns</v>
      </c>
      <c r="M1902" t="s">
        <v>95</v>
      </c>
    </row>
    <row r="1903" spans="1:13" x14ac:dyDescent="0.25">
      <c r="A1903">
        <v>1902</v>
      </c>
      <c r="B1903" t="s">
        <v>4002</v>
      </c>
      <c r="C1903" s="2" t="s">
        <v>3806</v>
      </c>
      <c r="D1903" s="2">
        <f t="shared" ca="1" si="116"/>
        <v>20</v>
      </c>
      <c r="E1903" t="s">
        <v>23</v>
      </c>
      <c r="F1903" t="s">
        <v>457</v>
      </c>
      <c r="G1903" t="s">
        <v>41</v>
      </c>
      <c r="H1903" t="str">
        <f t="shared" si="117"/>
        <v>João Pessoa - PB</v>
      </c>
      <c r="I1903" s="1" t="s">
        <v>113</v>
      </c>
      <c r="J1903" s="3">
        <v>48</v>
      </c>
      <c r="K1903" s="4">
        <f t="shared" si="118"/>
        <v>18.066167337874969</v>
      </c>
      <c r="L1903" s="1" t="str">
        <f t="shared" si="119"/>
        <v>Abaixo do peso</v>
      </c>
      <c r="M1903" t="s">
        <v>14</v>
      </c>
    </row>
    <row r="1904" spans="1:13" x14ac:dyDescent="0.25">
      <c r="A1904">
        <v>1903</v>
      </c>
      <c r="B1904" t="s">
        <v>3034</v>
      </c>
      <c r="C1904" s="2" t="s">
        <v>3035</v>
      </c>
      <c r="D1904" s="2">
        <f t="shared" ca="1" si="116"/>
        <v>36</v>
      </c>
      <c r="E1904" t="s">
        <v>23</v>
      </c>
      <c r="F1904" t="s">
        <v>147</v>
      </c>
      <c r="G1904" t="s">
        <v>55</v>
      </c>
      <c r="H1904" t="str">
        <f t="shared" si="117"/>
        <v>Londrina - PR</v>
      </c>
      <c r="I1904" s="1" t="s">
        <v>281</v>
      </c>
      <c r="J1904" s="3">
        <v>50</v>
      </c>
      <c r="K1904" s="4">
        <f t="shared" si="118"/>
        <v>19.051973784484069</v>
      </c>
      <c r="L1904" s="1" t="str">
        <f t="shared" si="119"/>
        <v>Peso ideal - parabéns</v>
      </c>
      <c r="M1904" t="s">
        <v>26</v>
      </c>
    </row>
    <row r="1905" spans="1:13" x14ac:dyDescent="0.25">
      <c r="A1905">
        <v>1904</v>
      </c>
      <c r="B1905" t="s">
        <v>1730</v>
      </c>
      <c r="C1905" s="2" t="s">
        <v>1731</v>
      </c>
      <c r="D1905" s="2">
        <f t="shared" ca="1" si="116"/>
        <v>33</v>
      </c>
      <c r="E1905" t="s">
        <v>23</v>
      </c>
      <c r="F1905" t="s">
        <v>1732</v>
      </c>
      <c r="G1905" t="s">
        <v>175</v>
      </c>
      <c r="H1905" t="str">
        <f t="shared" si="117"/>
        <v>São Lourenço da Mata - PE</v>
      </c>
      <c r="I1905" s="1" t="s">
        <v>94</v>
      </c>
      <c r="J1905" s="3">
        <v>70</v>
      </c>
      <c r="K1905" s="4">
        <f t="shared" si="118"/>
        <v>23.388686558187711</v>
      </c>
      <c r="L1905" s="1" t="str">
        <f t="shared" si="119"/>
        <v>Peso ideal - parabéns</v>
      </c>
      <c r="M1905" t="s">
        <v>95</v>
      </c>
    </row>
    <row r="1906" spans="1:13" x14ac:dyDescent="0.25">
      <c r="A1906">
        <v>1905</v>
      </c>
      <c r="B1906" t="s">
        <v>3552</v>
      </c>
      <c r="C1906" s="2" t="s">
        <v>3553</v>
      </c>
      <c r="D1906" s="2">
        <f t="shared" ca="1" si="116"/>
        <v>79</v>
      </c>
      <c r="E1906" t="s">
        <v>23</v>
      </c>
      <c r="F1906" t="s">
        <v>354</v>
      </c>
      <c r="G1906" t="s">
        <v>30</v>
      </c>
      <c r="H1906" t="str">
        <f t="shared" si="117"/>
        <v>Porto Velho - RO</v>
      </c>
      <c r="I1906" s="1" t="s">
        <v>171</v>
      </c>
      <c r="J1906" s="3">
        <v>83</v>
      </c>
      <c r="K1906" s="4">
        <f t="shared" si="118"/>
        <v>29.760837606224676</v>
      </c>
      <c r="L1906" s="1" t="str">
        <f t="shared" si="119"/>
        <v>Levemente acima do peso</v>
      </c>
      <c r="M1906" t="s">
        <v>47</v>
      </c>
    </row>
    <row r="1907" spans="1:13" x14ac:dyDescent="0.25">
      <c r="A1907">
        <v>1906</v>
      </c>
      <c r="B1907" t="s">
        <v>3771</v>
      </c>
      <c r="C1907" s="2" t="s">
        <v>3221</v>
      </c>
      <c r="D1907" s="2">
        <f t="shared" ca="1" si="116"/>
        <v>56</v>
      </c>
      <c r="E1907" t="s">
        <v>23</v>
      </c>
      <c r="F1907" t="s">
        <v>876</v>
      </c>
      <c r="G1907" t="s">
        <v>310</v>
      </c>
      <c r="H1907" t="str">
        <f t="shared" si="117"/>
        <v>Caxias do Sul - RS</v>
      </c>
      <c r="I1907" s="1" t="s">
        <v>247</v>
      </c>
      <c r="J1907" s="3">
        <v>77</v>
      </c>
      <c r="K1907" s="4">
        <f t="shared" si="118"/>
        <v>34.222222222222221</v>
      </c>
      <c r="L1907" s="1" t="str">
        <f t="shared" si="119"/>
        <v>Obesidade grau I</v>
      </c>
      <c r="M1907" t="s">
        <v>76</v>
      </c>
    </row>
    <row r="1908" spans="1:13" x14ac:dyDescent="0.25">
      <c r="A1908">
        <v>1907</v>
      </c>
      <c r="B1908" t="s">
        <v>3771</v>
      </c>
      <c r="C1908" s="2" t="s">
        <v>3221</v>
      </c>
      <c r="D1908" s="2">
        <f t="shared" ca="1" si="116"/>
        <v>56</v>
      </c>
      <c r="E1908" t="s">
        <v>23</v>
      </c>
      <c r="F1908" t="s">
        <v>876</v>
      </c>
      <c r="G1908" t="s">
        <v>310</v>
      </c>
      <c r="H1908" t="str">
        <f t="shared" si="117"/>
        <v>Caxias do Sul - RS</v>
      </c>
      <c r="I1908" s="1" t="s">
        <v>247</v>
      </c>
      <c r="J1908" s="3">
        <v>77</v>
      </c>
      <c r="K1908" s="4">
        <f t="shared" si="118"/>
        <v>34.222222222222221</v>
      </c>
      <c r="L1908" s="1" t="str">
        <f t="shared" si="119"/>
        <v>Obesidade grau I</v>
      </c>
      <c r="M1908" t="s">
        <v>76</v>
      </c>
    </row>
    <row r="1909" spans="1:13" x14ac:dyDescent="0.25">
      <c r="A1909">
        <v>1908</v>
      </c>
      <c r="B1909" t="s">
        <v>3726</v>
      </c>
      <c r="C1909" s="2" t="s">
        <v>3584</v>
      </c>
      <c r="D1909" s="2">
        <f t="shared" ca="1" si="116"/>
        <v>28</v>
      </c>
      <c r="E1909" t="s">
        <v>23</v>
      </c>
      <c r="F1909" t="s">
        <v>354</v>
      </c>
      <c r="G1909" t="s">
        <v>30</v>
      </c>
      <c r="H1909" t="str">
        <f t="shared" si="117"/>
        <v>Porto Velho - RO</v>
      </c>
      <c r="I1909" s="1" t="s">
        <v>447</v>
      </c>
      <c r="J1909" s="3">
        <v>54</v>
      </c>
      <c r="K1909" s="4">
        <f t="shared" si="118"/>
        <v>17.632653061224488</v>
      </c>
      <c r="L1909" s="1" t="str">
        <f t="shared" si="119"/>
        <v>Abaixo do peso</v>
      </c>
      <c r="M1909" t="s">
        <v>32</v>
      </c>
    </row>
    <row r="1910" spans="1:13" x14ac:dyDescent="0.25">
      <c r="A1910">
        <v>1909</v>
      </c>
      <c r="B1910" t="s">
        <v>1066</v>
      </c>
      <c r="C1910" s="2" t="s">
        <v>1067</v>
      </c>
      <c r="D1910" s="2">
        <f t="shared" ca="1" si="116"/>
        <v>36</v>
      </c>
      <c r="E1910" t="s">
        <v>23</v>
      </c>
      <c r="F1910" t="s">
        <v>1068</v>
      </c>
      <c r="G1910" t="s">
        <v>41</v>
      </c>
      <c r="H1910" t="str">
        <f t="shared" si="117"/>
        <v>Araruna - PB</v>
      </c>
      <c r="I1910" s="1" t="s">
        <v>123</v>
      </c>
      <c r="J1910" s="3">
        <v>51</v>
      </c>
      <c r="K1910" s="4">
        <f t="shared" si="118"/>
        <v>16.464359504132233</v>
      </c>
      <c r="L1910" s="1" t="str">
        <f t="shared" si="119"/>
        <v>Muito abaixo do peso</v>
      </c>
      <c r="M1910" t="s">
        <v>26</v>
      </c>
    </row>
    <row r="1911" spans="1:13" x14ac:dyDescent="0.25">
      <c r="A1911">
        <v>1910</v>
      </c>
      <c r="B1911" t="s">
        <v>1210</v>
      </c>
      <c r="C1911" s="2" t="s">
        <v>1211</v>
      </c>
      <c r="D1911" s="2">
        <f t="shared" ca="1" si="116"/>
        <v>35</v>
      </c>
      <c r="E1911" t="s">
        <v>23</v>
      </c>
      <c r="F1911" t="s">
        <v>236</v>
      </c>
      <c r="G1911" t="s">
        <v>237</v>
      </c>
      <c r="H1911" t="str">
        <f t="shared" si="117"/>
        <v>Teresina - PI</v>
      </c>
      <c r="I1911" s="1" t="s">
        <v>123</v>
      </c>
      <c r="J1911" s="3">
        <v>64</v>
      </c>
      <c r="K1911" s="4">
        <f t="shared" si="118"/>
        <v>20.66115702479339</v>
      </c>
      <c r="L1911" s="1" t="str">
        <f t="shared" si="119"/>
        <v>Peso ideal - parabéns</v>
      </c>
      <c r="M1911" t="s">
        <v>83</v>
      </c>
    </row>
    <row r="1912" spans="1:13" x14ac:dyDescent="0.25">
      <c r="A1912">
        <v>1911</v>
      </c>
      <c r="B1912" t="s">
        <v>2229</v>
      </c>
      <c r="C1912" s="2" t="s">
        <v>2230</v>
      </c>
      <c r="D1912" s="2">
        <f t="shared" ca="1" si="116"/>
        <v>76</v>
      </c>
      <c r="E1912" t="s">
        <v>23</v>
      </c>
      <c r="F1912" t="s">
        <v>45</v>
      </c>
      <c r="G1912" t="s">
        <v>46</v>
      </c>
      <c r="H1912" t="str">
        <f t="shared" si="117"/>
        <v>Goiânia - GO</v>
      </c>
      <c r="I1912" s="1" t="s">
        <v>386</v>
      </c>
      <c r="J1912" s="3">
        <v>64</v>
      </c>
      <c r="K1912" s="4">
        <f t="shared" si="118"/>
        <v>23.225431847873423</v>
      </c>
      <c r="L1912" s="1" t="str">
        <f t="shared" si="119"/>
        <v>Peso ideal - parabéns</v>
      </c>
      <c r="M1912" t="s">
        <v>14</v>
      </c>
    </row>
    <row r="1913" spans="1:13" x14ac:dyDescent="0.25">
      <c r="A1913">
        <v>1912</v>
      </c>
      <c r="B1913" t="s">
        <v>3968</v>
      </c>
      <c r="C1913" s="2" t="s">
        <v>3969</v>
      </c>
      <c r="D1913" s="2">
        <f t="shared" ca="1" si="116"/>
        <v>35</v>
      </c>
      <c r="E1913" t="s">
        <v>23</v>
      </c>
      <c r="F1913" t="s">
        <v>126</v>
      </c>
      <c r="G1913" t="s">
        <v>127</v>
      </c>
      <c r="H1913" t="str">
        <f t="shared" si="117"/>
        <v>Boa Vista - RR</v>
      </c>
      <c r="I1913" s="1" t="s">
        <v>166</v>
      </c>
      <c r="J1913" s="3">
        <v>74</v>
      </c>
      <c r="K1913" s="4">
        <f t="shared" si="118"/>
        <v>26.218820861678008</v>
      </c>
      <c r="L1913" s="1" t="str">
        <f t="shared" si="119"/>
        <v>Levemente acima do peso</v>
      </c>
      <c r="M1913" t="s">
        <v>20</v>
      </c>
    </row>
    <row r="1914" spans="1:13" x14ac:dyDescent="0.25">
      <c r="A1914">
        <v>1913</v>
      </c>
      <c r="B1914" t="s">
        <v>3674</v>
      </c>
      <c r="C1914" s="2" t="s">
        <v>3675</v>
      </c>
      <c r="D1914" s="2">
        <f t="shared" ca="1" si="116"/>
        <v>34</v>
      </c>
      <c r="E1914" t="s">
        <v>23</v>
      </c>
      <c r="F1914" t="s">
        <v>153</v>
      </c>
      <c r="G1914" t="s">
        <v>154</v>
      </c>
      <c r="H1914" t="str">
        <f t="shared" si="117"/>
        <v>Manaus - AM</v>
      </c>
      <c r="I1914" s="1" t="s">
        <v>13</v>
      </c>
      <c r="J1914" s="3">
        <v>66</v>
      </c>
      <c r="K1914" s="4">
        <f t="shared" si="118"/>
        <v>22.571047501795427</v>
      </c>
      <c r="L1914" s="1" t="str">
        <f t="shared" si="119"/>
        <v>Peso ideal - parabéns</v>
      </c>
      <c r="M1914" t="s">
        <v>83</v>
      </c>
    </row>
    <row r="1915" spans="1:13" x14ac:dyDescent="0.25">
      <c r="A1915">
        <v>1914</v>
      </c>
      <c r="B1915" t="s">
        <v>3886</v>
      </c>
      <c r="C1915" s="2" t="s">
        <v>3887</v>
      </c>
      <c r="D1915" s="2">
        <f t="shared" ca="1" si="116"/>
        <v>27</v>
      </c>
      <c r="E1915" t="s">
        <v>23</v>
      </c>
      <c r="F1915" t="s">
        <v>537</v>
      </c>
      <c r="G1915" t="s">
        <v>55</v>
      </c>
      <c r="H1915" t="str">
        <f t="shared" si="117"/>
        <v>Guarapuava - PR</v>
      </c>
      <c r="I1915" s="1" t="s">
        <v>416</v>
      </c>
      <c r="J1915" s="3">
        <v>84</v>
      </c>
      <c r="K1915" s="4">
        <f t="shared" si="118"/>
        <v>32.406157169862269</v>
      </c>
      <c r="L1915" s="1" t="str">
        <f t="shared" si="119"/>
        <v>Obesidade grau I</v>
      </c>
      <c r="M1915" t="s">
        <v>14</v>
      </c>
    </row>
    <row r="1916" spans="1:13" x14ac:dyDescent="0.25">
      <c r="A1916">
        <v>1915</v>
      </c>
      <c r="B1916" t="s">
        <v>861</v>
      </c>
      <c r="C1916" s="2" t="s">
        <v>862</v>
      </c>
      <c r="D1916" s="2">
        <f t="shared" ca="1" si="116"/>
        <v>67</v>
      </c>
      <c r="E1916" t="s">
        <v>23</v>
      </c>
      <c r="F1916" t="s">
        <v>126</v>
      </c>
      <c r="G1916" t="s">
        <v>127</v>
      </c>
      <c r="H1916" t="str">
        <f t="shared" si="117"/>
        <v>Boa Vista - RR</v>
      </c>
      <c r="I1916" s="1" t="s">
        <v>302</v>
      </c>
      <c r="J1916" s="3">
        <v>73</v>
      </c>
      <c r="K1916" s="4">
        <f t="shared" si="118"/>
        <v>32.016139642998112</v>
      </c>
      <c r="L1916" s="1" t="str">
        <f t="shared" si="119"/>
        <v>Obesidade grau I</v>
      </c>
      <c r="M1916" t="s">
        <v>83</v>
      </c>
    </row>
    <row r="1917" spans="1:13" x14ac:dyDescent="0.25">
      <c r="A1917">
        <v>1916</v>
      </c>
      <c r="B1917" t="s">
        <v>2699</v>
      </c>
      <c r="C1917" s="2" t="s">
        <v>2700</v>
      </c>
      <c r="D1917" s="2">
        <f t="shared" ca="1" si="116"/>
        <v>56</v>
      </c>
      <c r="E1917" t="s">
        <v>23</v>
      </c>
      <c r="F1917" t="s">
        <v>733</v>
      </c>
      <c r="G1917" t="s">
        <v>310</v>
      </c>
      <c r="H1917" t="str">
        <f t="shared" si="117"/>
        <v>Porto Alegre - RS</v>
      </c>
      <c r="I1917" s="1" t="s">
        <v>281</v>
      </c>
      <c r="J1917" s="3">
        <v>86</v>
      </c>
      <c r="K1917" s="4">
        <f t="shared" si="118"/>
        <v>32.769394909312595</v>
      </c>
      <c r="L1917" s="1" t="str">
        <f t="shared" si="119"/>
        <v>Obesidade grau I</v>
      </c>
      <c r="M1917" t="s">
        <v>26</v>
      </c>
    </row>
    <row r="1918" spans="1:13" x14ac:dyDescent="0.25">
      <c r="A1918">
        <v>1917</v>
      </c>
      <c r="B1918" t="s">
        <v>3528</v>
      </c>
      <c r="C1918" s="2" t="s">
        <v>3529</v>
      </c>
      <c r="D1918" s="2">
        <f t="shared" ca="1" si="116"/>
        <v>71</v>
      </c>
      <c r="E1918" t="s">
        <v>23</v>
      </c>
      <c r="F1918" t="s">
        <v>3530</v>
      </c>
      <c r="G1918" t="s">
        <v>186</v>
      </c>
      <c r="H1918" t="str">
        <f t="shared" si="117"/>
        <v>Varginha - MG</v>
      </c>
      <c r="I1918" s="1" t="s">
        <v>166</v>
      </c>
      <c r="J1918" s="3">
        <v>85</v>
      </c>
      <c r="K1918" s="4">
        <f t="shared" si="118"/>
        <v>30.116213151927443</v>
      </c>
      <c r="L1918" s="1" t="str">
        <f t="shared" si="119"/>
        <v>Obesidade grau I</v>
      </c>
      <c r="M1918" t="s">
        <v>20</v>
      </c>
    </row>
    <row r="1919" spans="1:13" x14ac:dyDescent="0.25">
      <c r="A1919">
        <v>1918</v>
      </c>
      <c r="B1919" t="s">
        <v>2691</v>
      </c>
      <c r="C1919" s="2" t="s">
        <v>2692</v>
      </c>
      <c r="D1919" s="2">
        <f t="shared" ca="1" si="116"/>
        <v>30</v>
      </c>
      <c r="E1919" t="s">
        <v>23</v>
      </c>
      <c r="F1919" t="s">
        <v>153</v>
      </c>
      <c r="G1919" t="s">
        <v>154</v>
      </c>
      <c r="H1919" t="str">
        <f t="shared" si="117"/>
        <v>Manaus - AM</v>
      </c>
      <c r="I1919" s="1" t="s">
        <v>205</v>
      </c>
      <c r="J1919" s="3">
        <v>64</v>
      </c>
      <c r="K1919" s="4">
        <f t="shared" si="118"/>
        <v>27.339911999658252</v>
      </c>
      <c r="L1919" s="1" t="str">
        <f t="shared" si="119"/>
        <v>Levemente acima do peso</v>
      </c>
      <c r="M1919" t="s">
        <v>83</v>
      </c>
    </row>
    <row r="1920" spans="1:13" x14ac:dyDescent="0.25">
      <c r="A1920">
        <v>1919</v>
      </c>
      <c r="B1920" t="s">
        <v>1232</v>
      </c>
      <c r="C1920" s="2" t="s">
        <v>1233</v>
      </c>
      <c r="D1920" s="2">
        <f t="shared" ca="1" si="116"/>
        <v>73</v>
      </c>
      <c r="E1920" t="s">
        <v>23</v>
      </c>
      <c r="F1920" t="s">
        <v>111</v>
      </c>
      <c r="G1920" t="s">
        <v>112</v>
      </c>
      <c r="H1920" t="str">
        <f t="shared" si="117"/>
        <v>Tucuruí - PA</v>
      </c>
      <c r="I1920" s="1" t="s">
        <v>123</v>
      </c>
      <c r="J1920" s="3">
        <v>50</v>
      </c>
      <c r="K1920" s="4">
        <f t="shared" si="118"/>
        <v>16.141528925619834</v>
      </c>
      <c r="L1920" s="1" t="str">
        <f t="shared" si="119"/>
        <v>Muito abaixo do peso</v>
      </c>
      <c r="M1920" t="s">
        <v>26</v>
      </c>
    </row>
    <row r="1921" spans="1:13" x14ac:dyDescent="0.25">
      <c r="A1921">
        <v>1920</v>
      </c>
      <c r="B1921" t="s">
        <v>4113</v>
      </c>
      <c r="C1921" s="2" t="s">
        <v>3939</v>
      </c>
      <c r="D1921" s="2">
        <f t="shared" ca="1" si="116"/>
        <v>73</v>
      </c>
      <c r="E1921" t="s">
        <v>23</v>
      </c>
      <c r="F1921" t="s">
        <v>457</v>
      </c>
      <c r="G1921" t="s">
        <v>41</v>
      </c>
      <c r="H1921" t="str">
        <f t="shared" si="117"/>
        <v>João Pessoa - PB</v>
      </c>
      <c r="I1921" s="1" t="s">
        <v>86</v>
      </c>
      <c r="J1921" s="3">
        <v>47</v>
      </c>
      <c r="K1921" s="4">
        <f t="shared" si="118"/>
        <v>14.346326424712311</v>
      </c>
      <c r="L1921" s="1" t="str">
        <f t="shared" si="119"/>
        <v>Muito abaixo do peso</v>
      </c>
      <c r="M1921" t="s">
        <v>32</v>
      </c>
    </row>
    <row r="1922" spans="1:13" x14ac:dyDescent="0.25">
      <c r="A1922">
        <v>1921</v>
      </c>
      <c r="B1922" t="s">
        <v>2200</v>
      </c>
      <c r="C1922" s="2" t="s">
        <v>2201</v>
      </c>
      <c r="D1922" s="2">
        <f t="shared" ca="1" si="116"/>
        <v>45</v>
      </c>
      <c r="E1922" t="s">
        <v>23</v>
      </c>
      <c r="F1922" t="s">
        <v>1040</v>
      </c>
      <c r="G1922" t="s">
        <v>55</v>
      </c>
      <c r="H1922" t="str">
        <f t="shared" si="117"/>
        <v>Foz do Iguaçu - PR</v>
      </c>
      <c r="I1922" s="1" t="s">
        <v>575</v>
      </c>
      <c r="J1922" s="3">
        <v>54</v>
      </c>
      <c r="K1922" s="4">
        <f t="shared" si="118"/>
        <v>21.359914560341757</v>
      </c>
      <c r="L1922" s="1" t="str">
        <f t="shared" si="119"/>
        <v>Peso ideal - parabéns</v>
      </c>
      <c r="M1922" t="s">
        <v>14</v>
      </c>
    </row>
    <row r="1923" spans="1:13" x14ac:dyDescent="0.25">
      <c r="A1923">
        <v>1922</v>
      </c>
      <c r="B1923" t="s">
        <v>2429</v>
      </c>
      <c r="C1923" s="2" t="s">
        <v>2430</v>
      </c>
      <c r="D1923" s="2">
        <f t="shared" ref="D1923:D1986" ca="1" si="120">YEAR(TODAY())-YEAR(C1923)</f>
        <v>70</v>
      </c>
      <c r="E1923" t="s">
        <v>23</v>
      </c>
      <c r="F1923" t="s">
        <v>354</v>
      </c>
      <c r="G1923" t="s">
        <v>30</v>
      </c>
      <c r="H1923" t="str">
        <f t="shared" ref="H1923:H1986" si="121">CONCATENATE(F1923," - ",G1923)</f>
        <v>Porto Velho - RO</v>
      </c>
      <c r="I1923" s="1" t="s">
        <v>302</v>
      </c>
      <c r="J1923" s="3">
        <v>68</v>
      </c>
      <c r="K1923" s="4">
        <f t="shared" ref="K1923:K1986" si="122">J1923/(I1923*I1923)</f>
        <v>29.823253366080436</v>
      </c>
      <c r="L1923" s="1" t="str">
        <f t="shared" ref="L1923:L1986" si="123">IF(K1923&gt;=40,"Obesidade grau III - mórbida",
IF(K1923&gt;=35,"Obesidade grau II - severa",
IF(K1923&gt;=30,"Obesidade grau I",
IF(K1923&gt;=25,"Levemente acima do peso",
IF(K1923&gt;=18.6,"Peso ideal - parabéns",
IF(K1923&gt;=17,"Abaixo do peso",
"Muito abaixo do peso"))))))</f>
        <v>Levemente acima do peso</v>
      </c>
      <c r="M1923" t="s">
        <v>76</v>
      </c>
    </row>
    <row r="1924" spans="1:13" x14ac:dyDescent="0.25">
      <c r="A1924">
        <v>1923</v>
      </c>
      <c r="B1924" t="s">
        <v>2637</v>
      </c>
      <c r="C1924" s="2" t="s">
        <v>2638</v>
      </c>
      <c r="D1924" s="2">
        <f t="shared" ca="1" si="120"/>
        <v>70</v>
      </c>
      <c r="E1924" t="s">
        <v>23</v>
      </c>
      <c r="F1924" t="s">
        <v>244</v>
      </c>
      <c r="G1924" t="s">
        <v>60</v>
      </c>
      <c r="H1924" t="str">
        <f t="shared" si="121"/>
        <v>Araguaína - TO</v>
      </c>
      <c r="I1924" s="1" t="s">
        <v>166</v>
      </c>
      <c r="J1924" s="3">
        <v>51</v>
      </c>
      <c r="K1924" s="4">
        <f t="shared" si="122"/>
        <v>18.069727891156464</v>
      </c>
      <c r="L1924" s="1" t="str">
        <f t="shared" si="123"/>
        <v>Abaixo do peso</v>
      </c>
      <c r="M1924" t="s">
        <v>95</v>
      </c>
    </row>
    <row r="1925" spans="1:13" x14ac:dyDescent="0.25">
      <c r="A1925">
        <v>1924</v>
      </c>
      <c r="B1925" t="s">
        <v>3985</v>
      </c>
      <c r="C1925" s="2" t="s">
        <v>3986</v>
      </c>
      <c r="D1925" s="2">
        <f t="shared" ca="1" si="120"/>
        <v>25</v>
      </c>
      <c r="E1925" t="s">
        <v>23</v>
      </c>
      <c r="F1925" t="s">
        <v>1508</v>
      </c>
      <c r="G1925" t="s">
        <v>186</v>
      </c>
      <c r="H1925" t="str">
        <f t="shared" si="121"/>
        <v>Uberaba - MG</v>
      </c>
      <c r="I1925" s="1" t="s">
        <v>179</v>
      </c>
      <c r="J1925" s="3">
        <v>71</v>
      </c>
      <c r="K1925" s="4">
        <f t="shared" si="122"/>
        <v>23.450918219051392</v>
      </c>
      <c r="L1925" s="1" t="str">
        <f t="shared" si="123"/>
        <v>Peso ideal - parabéns</v>
      </c>
      <c r="M1925" t="s">
        <v>14</v>
      </c>
    </row>
    <row r="1926" spans="1:13" x14ac:dyDescent="0.25">
      <c r="A1926">
        <v>1925</v>
      </c>
      <c r="B1926" t="s">
        <v>4128</v>
      </c>
      <c r="C1926" s="2" t="s">
        <v>4129</v>
      </c>
      <c r="D1926" s="2">
        <f t="shared" ca="1" si="120"/>
        <v>21</v>
      </c>
      <c r="E1926" t="s">
        <v>23</v>
      </c>
      <c r="F1926" t="s">
        <v>1676</v>
      </c>
      <c r="G1926" t="s">
        <v>103</v>
      </c>
      <c r="H1926" t="str">
        <f t="shared" si="121"/>
        <v>Atibaia - SP</v>
      </c>
      <c r="I1926" s="1" t="s">
        <v>416</v>
      </c>
      <c r="J1926" s="3">
        <v>87</v>
      </c>
      <c r="K1926" s="4">
        <f t="shared" si="122"/>
        <v>33.56351992592878</v>
      </c>
      <c r="L1926" s="1" t="str">
        <f t="shared" si="123"/>
        <v>Obesidade grau I</v>
      </c>
      <c r="M1926" t="s">
        <v>76</v>
      </c>
    </row>
    <row r="1927" spans="1:13" x14ac:dyDescent="0.25">
      <c r="A1927">
        <v>1926</v>
      </c>
      <c r="B1927" t="s">
        <v>1224</v>
      </c>
      <c r="C1927" s="2" t="s">
        <v>1225</v>
      </c>
      <c r="D1927" s="2">
        <f t="shared" ca="1" si="120"/>
        <v>82</v>
      </c>
      <c r="E1927" t="s">
        <v>23</v>
      </c>
      <c r="F1927" t="s">
        <v>153</v>
      </c>
      <c r="G1927" t="s">
        <v>154</v>
      </c>
      <c r="H1927" t="str">
        <f t="shared" si="121"/>
        <v>Manaus - AM</v>
      </c>
      <c r="I1927" s="1" t="s">
        <v>416</v>
      </c>
      <c r="J1927" s="3">
        <v>48</v>
      </c>
      <c r="K1927" s="4">
        <f t="shared" si="122"/>
        <v>18.517804097064154</v>
      </c>
      <c r="L1927" s="1" t="str">
        <f t="shared" si="123"/>
        <v>Abaixo do peso</v>
      </c>
      <c r="M1927" t="s">
        <v>95</v>
      </c>
    </row>
    <row r="1928" spans="1:13" x14ac:dyDescent="0.25">
      <c r="A1928">
        <v>1927</v>
      </c>
      <c r="B1928" t="s">
        <v>4099</v>
      </c>
      <c r="C1928" s="2" t="s">
        <v>3044</v>
      </c>
      <c r="D1928" s="2">
        <f t="shared" ca="1" si="120"/>
        <v>71</v>
      </c>
      <c r="E1928" t="s">
        <v>10</v>
      </c>
      <c r="F1928" t="s">
        <v>236</v>
      </c>
      <c r="G1928" t="s">
        <v>237</v>
      </c>
      <c r="H1928" t="str">
        <f t="shared" si="121"/>
        <v>Teresina - PI</v>
      </c>
      <c r="I1928" s="1" t="s">
        <v>447</v>
      </c>
      <c r="J1928" s="3">
        <v>102</v>
      </c>
      <c r="K1928" s="4">
        <f t="shared" si="122"/>
        <v>33.306122448979593</v>
      </c>
      <c r="L1928" s="1" t="str">
        <f t="shared" si="123"/>
        <v>Obesidade grau I</v>
      </c>
      <c r="M1928" t="s">
        <v>26</v>
      </c>
    </row>
    <row r="1929" spans="1:13" x14ac:dyDescent="0.25">
      <c r="A1929">
        <v>1928</v>
      </c>
      <c r="B1929" t="s">
        <v>3897</v>
      </c>
      <c r="C1929" s="2" t="s">
        <v>3277</v>
      </c>
      <c r="D1929" s="2">
        <f t="shared" ca="1" si="120"/>
        <v>41</v>
      </c>
      <c r="E1929" t="s">
        <v>10</v>
      </c>
      <c r="F1929" t="s">
        <v>236</v>
      </c>
      <c r="G1929" t="s">
        <v>237</v>
      </c>
      <c r="H1929" t="str">
        <f t="shared" si="121"/>
        <v>Teresina - PI</v>
      </c>
      <c r="I1929" s="1" t="s">
        <v>201</v>
      </c>
      <c r="J1929" s="3">
        <v>96</v>
      </c>
      <c r="K1929" s="4">
        <f t="shared" si="122"/>
        <v>24.989587671803417</v>
      </c>
      <c r="L1929" s="1" t="str">
        <f t="shared" si="123"/>
        <v>Peso ideal - parabéns</v>
      </c>
      <c r="M1929" t="s">
        <v>20</v>
      </c>
    </row>
    <row r="1930" spans="1:13" x14ac:dyDescent="0.25">
      <c r="A1930">
        <v>1929</v>
      </c>
      <c r="B1930" t="s">
        <v>804</v>
      </c>
      <c r="C1930" s="2" t="s">
        <v>805</v>
      </c>
      <c r="D1930" s="2">
        <f t="shared" ca="1" si="120"/>
        <v>77</v>
      </c>
      <c r="E1930" t="s">
        <v>10</v>
      </c>
      <c r="F1930" t="s">
        <v>446</v>
      </c>
      <c r="G1930" t="s">
        <v>170</v>
      </c>
      <c r="H1930" t="str">
        <f t="shared" si="121"/>
        <v>Arapiraca - AL</v>
      </c>
      <c r="I1930" s="1" t="s">
        <v>71</v>
      </c>
      <c r="J1930" s="3">
        <v>83</v>
      </c>
      <c r="K1930" s="4">
        <f t="shared" si="122"/>
        <v>24.784257517393769</v>
      </c>
      <c r="L1930" s="1" t="str">
        <f t="shared" si="123"/>
        <v>Peso ideal - parabéns</v>
      </c>
      <c r="M1930" t="s">
        <v>26</v>
      </c>
    </row>
    <row r="1931" spans="1:13" x14ac:dyDescent="0.25">
      <c r="A1931">
        <v>1930</v>
      </c>
      <c r="B1931" t="s">
        <v>4173</v>
      </c>
      <c r="C1931" s="2" t="s">
        <v>4174</v>
      </c>
      <c r="D1931" s="2">
        <f t="shared" ca="1" si="120"/>
        <v>50</v>
      </c>
      <c r="E1931" t="s">
        <v>10</v>
      </c>
      <c r="F1931" t="s">
        <v>3949</v>
      </c>
      <c r="G1931" t="s">
        <v>55</v>
      </c>
      <c r="H1931" t="str">
        <f t="shared" si="121"/>
        <v>Cianorte - PR</v>
      </c>
      <c r="I1931" s="1" t="s">
        <v>31</v>
      </c>
      <c r="J1931" s="3">
        <v>58</v>
      </c>
      <c r="K1931" s="4">
        <f t="shared" si="122"/>
        <v>21.564544913741823</v>
      </c>
      <c r="L1931" s="1" t="str">
        <f t="shared" si="123"/>
        <v>Peso ideal - parabéns</v>
      </c>
      <c r="M1931" t="s">
        <v>26</v>
      </c>
    </row>
    <row r="1932" spans="1:13" x14ac:dyDescent="0.25">
      <c r="A1932">
        <v>1931</v>
      </c>
      <c r="B1932" t="s">
        <v>3502</v>
      </c>
      <c r="C1932" s="2" t="s">
        <v>2859</v>
      </c>
      <c r="D1932" s="2">
        <f t="shared" ca="1" si="120"/>
        <v>22</v>
      </c>
      <c r="E1932" t="s">
        <v>10</v>
      </c>
      <c r="F1932" t="s">
        <v>59</v>
      </c>
      <c r="G1932" t="s">
        <v>60</v>
      </c>
      <c r="H1932" t="str">
        <f t="shared" si="121"/>
        <v>Palmas - TO</v>
      </c>
      <c r="I1932" s="1" t="s">
        <v>86</v>
      </c>
      <c r="J1932" s="3">
        <v>90</v>
      </c>
      <c r="K1932" s="4">
        <f t="shared" si="122"/>
        <v>27.471688898385274</v>
      </c>
      <c r="L1932" s="1" t="str">
        <f t="shared" si="123"/>
        <v>Levemente acima do peso</v>
      </c>
      <c r="M1932" t="s">
        <v>83</v>
      </c>
    </row>
    <row r="1933" spans="1:13" x14ac:dyDescent="0.25">
      <c r="A1933">
        <v>1932</v>
      </c>
      <c r="B1933" t="s">
        <v>2743</v>
      </c>
      <c r="C1933" s="2" t="s">
        <v>2024</v>
      </c>
      <c r="D1933" s="2">
        <f t="shared" ca="1" si="120"/>
        <v>22</v>
      </c>
      <c r="E1933" t="s">
        <v>10</v>
      </c>
      <c r="F1933" t="s">
        <v>564</v>
      </c>
      <c r="G1933" t="s">
        <v>565</v>
      </c>
      <c r="H1933" t="str">
        <f t="shared" si="121"/>
        <v>Rio Branco - AC</v>
      </c>
      <c r="I1933" s="1" t="s">
        <v>318</v>
      </c>
      <c r="J1933" s="3">
        <v>55</v>
      </c>
      <c r="K1933" s="4">
        <f t="shared" si="122"/>
        <v>14.919704861111111</v>
      </c>
      <c r="L1933" s="1" t="str">
        <f t="shared" si="123"/>
        <v>Muito abaixo do peso</v>
      </c>
      <c r="M1933" t="s">
        <v>32</v>
      </c>
    </row>
    <row r="1934" spans="1:13" x14ac:dyDescent="0.25">
      <c r="A1934">
        <v>1933</v>
      </c>
      <c r="B1934" t="s">
        <v>471</v>
      </c>
      <c r="C1934" s="2" t="s">
        <v>472</v>
      </c>
      <c r="D1934" s="2">
        <f t="shared" ca="1" si="120"/>
        <v>36</v>
      </c>
      <c r="E1934" t="s">
        <v>10</v>
      </c>
      <c r="F1934" t="s">
        <v>236</v>
      </c>
      <c r="G1934" t="s">
        <v>237</v>
      </c>
      <c r="H1934" t="str">
        <f t="shared" si="121"/>
        <v>Teresina - PI</v>
      </c>
      <c r="I1934" s="1" t="s">
        <v>123</v>
      </c>
      <c r="J1934" s="3">
        <v>78</v>
      </c>
      <c r="K1934" s="4">
        <f t="shared" si="122"/>
        <v>25.180785123966942</v>
      </c>
      <c r="L1934" s="1" t="str">
        <f t="shared" si="123"/>
        <v>Levemente acima do peso</v>
      </c>
      <c r="M1934" t="s">
        <v>76</v>
      </c>
    </row>
    <row r="1935" spans="1:13" x14ac:dyDescent="0.25">
      <c r="A1935">
        <v>1934</v>
      </c>
      <c r="B1935" t="s">
        <v>3398</v>
      </c>
      <c r="C1935" s="2" t="s">
        <v>3399</v>
      </c>
      <c r="D1935" s="2">
        <f t="shared" ca="1" si="120"/>
        <v>48</v>
      </c>
      <c r="E1935" t="s">
        <v>10</v>
      </c>
      <c r="F1935" t="s">
        <v>457</v>
      </c>
      <c r="G1935" t="s">
        <v>41</v>
      </c>
      <c r="H1935" t="str">
        <f t="shared" si="121"/>
        <v>João Pessoa - PB</v>
      </c>
      <c r="I1935" s="1" t="s">
        <v>99</v>
      </c>
      <c r="J1935" s="3">
        <v>97</v>
      </c>
      <c r="K1935" s="4">
        <f t="shared" si="122"/>
        <v>25.773195876288661</v>
      </c>
      <c r="L1935" s="1" t="str">
        <f t="shared" si="123"/>
        <v>Levemente acima do peso</v>
      </c>
      <c r="M1935" t="s">
        <v>83</v>
      </c>
    </row>
    <row r="1936" spans="1:13" x14ac:dyDescent="0.25">
      <c r="A1936">
        <v>1935</v>
      </c>
      <c r="B1936" t="s">
        <v>3658</v>
      </c>
      <c r="C1936" s="2" t="s">
        <v>3524</v>
      </c>
      <c r="D1936" s="2">
        <f t="shared" ca="1" si="120"/>
        <v>81</v>
      </c>
      <c r="E1936" t="s">
        <v>10</v>
      </c>
      <c r="F1936" t="s">
        <v>796</v>
      </c>
      <c r="G1936" t="s">
        <v>131</v>
      </c>
      <c r="H1936" t="str">
        <f t="shared" si="121"/>
        <v>Joinville - SC</v>
      </c>
      <c r="I1936" s="1" t="s">
        <v>179</v>
      </c>
      <c r="J1936" s="3">
        <v>58</v>
      </c>
      <c r="K1936" s="4">
        <f t="shared" si="122"/>
        <v>19.157088122605362</v>
      </c>
      <c r="L1936" s="1" t="str">
        <f t="shared" si="123"/>
        <v>Peso ideal - parabéns</v>
      </c>
      <c r="M1936" t="s">
        <v>76</v>
      </c>
    </row>
    <row r="1937" spans="1:13" x14ac:dyDescent="0.25">
      <c r="A1937">
        <v>1936</v>
      </c>
      <c r="B1937" t="s">
        <v>2362</v>
      </c>
      <c r="C1937" s="2" t="s">
        <v>2363</v>
      </c>
      <c r="D1937" s="2">
        <f t="shared" ca="1" si="120"/>
        <v>45</v>
      </c>
      <c r="E1937" t="s">
        <v>10</v>
      </c>
      <c r="F1937" t="s">
        <v>208</v>
      </c>
      <c r="G1937" t="s">
        <v>30</v>
      </c>
      <c r="H1937" t="str">
        <f t="shared" si="121"/>
        <v>Ji-Paraná - RO</v>
      </c>
      <c r="I1937" s="1" t="s">
        <v>148</v>
      </c>
      <c r="J1937" s="3">
        <v>96</v>
      </c>
      <c r="K1937" s="4">
        <f t="shared" si="122"/>
        <v>25.246548323471401</v>
      </c>
      <c r="L1937" s="1" t="str">
        <f t="shared" si="123"/>
        <v>Levemente acima do peso</v>
      </c>
      <c r="M1937" t="s">
        <v>32</v>
      </c>
    </row>
    <row r="1938" spans="1:13" x14ac:dyDescent="0.25">
      <c r="A1938">
        <v>1937</v>
      </c>
      <c r="B1938" t="s">
        <v>1722</v>
      </c>
      <c r="C1938" s="2" t="s">
        <v>1723</v>
      </c>
      <c r="D1938" s="2">
        <f t="shared" ca="1" si="120"/>
        <v>31</v>
      </c>
      <c r="E1938" t="s">
        <v>10</v>
      </c>
      <c r="F1938" t="s">
        <v>11</v>
      </c>
      <c r="G1938" t="s">
        <v>12</v>
      </c>
      <c r="H1938" t="str">
        <f t="shared" si="121"/>
        <v>Caucaia - CE</v>
      </c>
      <c r="I1938" s="1" t="s">
        <v>117</v>
      </c>
      <c r="J1938" s="3">
        <v>108</v>
      </c>
      <c r="K1938" s="4">
        <f t="shared" si="122"/>
        <v>34.086605226612804</v>
      </c>
      <c r="L1938" s="1" t="str">
        <f t="shared" si="123"/>
        <v>Obesidade grau I</v>
      </c>
      <c r="M1938" t="s">
        <v>20</v>
      </c>
    </row>
    <row r="1939" spans="1:13" x14ac:dyDescent="0.25">
      <c r="A1939">
        <v>1938</v>
      </c>
      <c r="B1939" t="s">
        <v>3817</v>
      </c>
      <c r="C1939" s="2" t="s">
        <v>3714</v>
      </c>
      <c r="D1939" s="2">
        <f t="shared" ca="1" si="120"/>
        <v>23</v>
      </c>
      <c r="E1939" t="s">
        <v>10</v>
      </c>
      <c r="F1939" t="s">
        <v>158</v>
      </c>
      <c r="G1939" t="s">
        <v>159</v>
      </c>
      <c r="H1939" t="str">
        <f t="shared" si="121"/>
        <v>Brasília - DF</v>
      </c>
      <c r="I1939" s="1" t="s">
        <v>113</v>
      </c>
      <c r="J1939" s="3">
        <v>105</v>
      </c>
      <c r="K1939" s="4">
        <f t="shared" si="122"/>
        <v>39.519741051601493</v>
      </c>
      <c r="L1939" s="1" t="str">
        <f t="shared" si="123"/>
        <v>Obesidade grau II - severa</v>
      </c>
      <c r="M1939" t="s">
        <v>47</v>
      </c>
    </row>
    <row r="1940" spans="1:13" x14ac:dyDescent="0.25">
      <c r="A1940">
        <v>1939</v>
      </c>
      <c r="B1940" t="s">
        <v>2680</v>
      </c>
      <c r="C1940" s="2" t="s">
        <v>2681</v>
      </c>
      <c r="D1940" s="2">
        <f t="shared" ca="1" si="120"/>
        <v>32</v>
      </c>
      <c r="E1940" t="s">
        <v>10</v>
      </c>
      <c r="F1940" t="s">
        <v>244</v>
      </c>
      <c r="G1940" t="s">
        <v>60</v>
      </c>
      <c r="H1940" t="str">
        <f t="shared" si="121"/>
        <v>Araguaína - TO</v>
      </c>
      <c r="I1940" s="1" t="s">
        <v>113</v>
      </c>
      <c r="J1940" s="3">
        <v>79</v>
      </c>
      <c r="K1940" s="4">
        <f t="shared" si="122"/>
        <v>29.733900410252552</v>
      </c>
      <c r="L1940" s="1" t="str">
        <f t="shared" si="123"/>
        <v>Levemente acima do peso</v>
      </c>
      <c r="M1940" t="s">
        <v>47</v>
      </c>
    </row>
    <row r="1941" spans="1:13" x14ac:dyDescent="0.25">
      <c r="A1941">
        <v>1940</v>
      </c>
      <c r="B1941" t="s">
        <v>2345</v>
      </c>
      <c r="C1941" s="2" t="s">
        <v>2346</v>
      </c>
      <c r="D1941" s="2">
        <f t="shared" ca="1" si="120"/>
        <v>46</v>
      </c>
      <c r="E1941" t="s">
        <v>10</v>
      </c>
      <c r="F1941" t="s">
        <v>138</v>
      </c>
      <c r="G1941" t="s">
        <v>46</v>
      </c>
      <c r="H1941" t="str">
        <f t="shared" si="121"/>
        <v>Aparecida de Goiânia - GO</v>
      </c>
      <c r="I1941" s="1" t="s">
        <v>94</v>
      </c>
      <c r="J1941" s="3">
        <v>74</v>
      </c>
      <c r="K1941" s="4">
        <f t="shared" si="122"/>
        <v>24.725182932941294</v>
      </c>
      <c r="L1941" s="1" t="str">
        <f t="shared" si="123"/>
        <v>Peso ideal - parabéns</v>
      </c>
      <c r="M1941" t="s">
        <v>20</v>
      </c>
    </row>
    <row r="1942" spans="1:13" x14ac:dyDescent="0.25">
      <c r="A1942">
        <v>1941</v>
      </c>
      <c r="B1942" t="s">
        <v>695</v>
      </c>
      <c r="C1942" s="2" t="s">
        <v>696</v>
      </c>
      <c r="D1942" s="2">
        <f t="shared" ca="1" si="120"/>
        <v>30</v>
      </c>
      <c r="E1942" t="s">
        <v>10</v>
      </c>
      <c r="F1942" t="s">
        <v>24</v>
      </c>
      <c r="G1942" t="s">
        <v>25</v>
      </c>
      <c r="H1942" t="str">
        <f t="shared" si="121"/>
        <v>Natal - RN</v>
      </c>
      <c r="I1942" s="1" t="s">
        <v>66</v>
      </c>
      <c r="J1942" s="3">
        <v>85</v>
      </c>
      <c r="K1942" s="4">
        <f t="shared" si="122"/>
        <v>24.049343594386603</v>
      </c>
      <c r="L1942" s="1" t="str">
        <f t="shared" si="123"/>
        <v>Peso ideal - parabéns</v>
      </c>
      <c r="M1942" t="s">
        <v>95</v>
      </c>
    </row>
    <row r="1943" spans="1:13" x14ac:dyDescent="0.25">
      <c r="A1943">
        <v>1942</v>
      </c>
      <c r="B1943" t="s">
        <v>1387</v>
      </c>
      <c r="C1943" s="2" t="s">
        <v>1388</v>
      </c>
      <c r="D1943" s="2">
        <f t="shared" ca="1" si="120"/>
        <v>61</v>
      </c>
      <c r="E1943" t="s">
        <v>10</v>
      </c>
      <c r="F1943" t="s">
        <v>225</v>
      </c>
      <c r="G1943" t="s">
        <v>18</v>
      </c>
      <c r="H1943" t="str">
        <f t="shared" si="121"/>
        <v>Corumbá - MS</v>
      </c>
      <c r="I1943" s="1" t="s">
        <v>19</v>
      </c>
      <c r="J1943" s="3">
        <v>52</v>
      </c>
      <c r="K1943" s="4">
        <f t="shared" si="122"/>
        <v>16.59804015448945</v>
      </c>
      <c r="L1943" s="1" t="str">
        <f t="shared" si="123"/>
        <v>Muito abaixo do peso</v>
      </c>
      <c r="M1943" t="s">
        <v>47</v>
      </c>
    </row>
    <row r="1944" spans="1:13" x14ac:dyDescent="0.25">
      <c r="A1944">
        <v>1943</v>
      </c>
      <c r="B1944" t="s">
        <v>1383</v>
      </c>
      <c r="C1944" s="2" t="s">
        <v>1384</v>
      </c>
      <c r="D1944" s="2">
        <f t="shared" ca="1" si="120"/>
        <v>27</v>
      </c>
      <c r="E1944" t="s">
        <v>10</v>
      </c>
      <c r="F1944" t="s">
        <v>564</v>
      </c>
      <c r="G1944" t="s">
        <v>565</v>
      </c>
      <c r="H1944" t="str">
        <f t="shared" si="121"/>
        <v>Rio Branco - AC</v>
      </c>
      <c r="I1944" s="1" t="s">
        <v>416</v>
      </c>
      <c r="J1944" s="3">
        <v>53</v>
      </c>
      <c r="K1944" s="4">
        <f t="shared" si="122"/>
        <v>20.446742023841672</v>
      </c>
      <c r="L1944" s="1" t="str">
        <f t="shared" si="123"/>
        <v>Peso ideal - parabéns</v>
      </c>
      <c r="M1944" t="s">
        <v>14</v>
      </c>
    </row>
    <row r="1945" spans="1:13" x14ac:dyDescent="0.25">
      <c r="A1945">
        <v>1944</v>
      </c>
      <c r="B1945" t="s">
        <v>3267</v>
      </c>
      <c r="C1945" s="2" t="s">
        <v>3090</v>
      </c>
      <c r="D1945" s="2">
        <f t="shared" ca="1" si="120"/>
        <v>72</v>
      </c>
      <c r="E1945" t="s">
        <v>10</v>
      </c>
      <c r="F1945" t="s">
        <v>169</v>
      </c>
      <c r="G1945" t="s">
        <v>170</v>
      </c>
      <c r="H1945" t="str">
        <f t="shared" si="121"/>
        <v>Maceió - AL</v>
      </c>
      <c r="I1945" s="1" t="s">
        <v>201</v>
      </c>
      <c r="J1945" s="3">
        <v>83</v>
      </c>
      <c r="K1945" s="4">
        <f t="shared" si="122"/>
        <v>21.605581007913372</v>
      </c>
      <c r="L1945" s="1" t="str">
        <f t="shared" si="123"/>
        <v>Peso ideal - parabéns</v>
      </c>
      <c r="M1945" t="s">
        <v>32</v>
      </c>
    </row>
    <row r="1946" spans="1:13" x14ac:dyDescent="0.25">
      <c r="A1946">
        <v>1945</v>
      </c>
      <c r="B1946" t="s">
        <v>3050</v>
      </c>
      <c r="C1946" s="2" t="s">
        <v>3051</v>
      </c>
      <c r="D1946" s="2">
        <f t="shared" ca="1" si="120"/>
        <v>63</v>
      </c>
      <c r="E1946" t="s">
        <v>10</v>
      </c>
      <c r="F1946" t="s">
        <v>272</v>
      </c>
      <c r="G1946" t="s">
        <v>273</v>
      </c>
      <c r="H1946" t="str">
        <f t="shared" si="121"/>
        <v>Vitória - ES</v>
      </c>
      <c r="I1946" s="1" t="s">
        <v>191</v>
      </c>
      <c r="J1946" s="3">
        <v>74</v>
      </c>
      <c r="K1946" s="4">
        <f t="shared" si="122"/>
        <v>28.906249999999993</v>
      </c>
      <c r="L1946" s="1" t="str">
        <f t="shared" si="123"/>
        <v>Levemente acima do peso</v>
      </c>
      <c r="M1946" t="s">
        <v>26</v>
      </c>
    </row>
    <row r="1947" spans="1:13" x14ac:dyDescent="0.25">
      <c r="A1947">
        <v>1946</v>
      </c>
      <c r="B1947" t="s">
        <v>954</v>
      </c>
      <c r="C1947" s="2" t="s">
        <v>955</v>
      </c>
      <c r="D1947" s="2">
        <f t="shared" ca="1" si="120"/>
        <v>40</v>
      </c>
      <c r="E1947" t="s">
        <v>10</v>
      </c>
      <c r="F1947" t="s">
        <v>956</v>
      </c>
      <c r="G1947" t="s">
        <v>154</v>
      </c>
      <c r="H1947" t="str">
        <f t="shared" si="121"/>
        <v>Tefé - AM</v>
      </c>
      <c r="I1947" s="1" t="s">
        <v>155</v>
      </c>
      <c r="J1947" s="3">
        <v>66</v>
      </c>
      <c r="K1947" s="4">
        <f t="shared" si="122"/>
        <v>19.925129815239703</v>
      </c>
      <c r="L1947" s="1" t="str">
        <f t="shared" si="123"/>
        <v>Peso ideal - parabéns</v>
      </c>
      <c r="M1947" t="s">
        <v>76</v>
      </c>
    </row>
    <row r="1948" spans="1:13" x14ac:dyDescent="0.25">
      <c r="A1948">
        <v>1947</v>
      </c>
      <c r="B1948" t="s">
        <v>2912</v>
      </c>
      <c r="C1948" s="2" t="s">
        <v>2825</v>
      </c>
      <c r="D1948" s="2">
        <f t="shared" ca="1" si="120"/>
        <v>48</v>
      </c>
      <c r="E1948" t="s">
        <v>10</v>
      </c>
      <c r="F1948" t="s">
        <v>158</v>
      </c>
      <c r="G1948" t="s">
        <v>159</v>
      </c>
      <c r="H1948" t="str">
        <f t="shared" si="121"/>
        <v>Brasília - DF</v>
      </c>
      <c r="I1948" s="1" t="s">
        <v>171</v>
      </c>
      <c r="J1948" s="3">
        <v>99</v>
      </c>
      <c r="K1948" s="4">
        <f t="shared" si="122"/>
        <v>35.49786654236437</v>
      </c>
      <c r="L1948" s="1" t="str">
        <f t="shared" si="123"/>
        <v>Obesidade grau II - severa</v>
      </c>
      <c r="M1948" t="s">
        <v>47</v>
      </c>
    </row>
    <row r="1949" spans="1:13" x14ac:dyDescent="0.25">
      <c r="A1949">
        <v>1948</v>
      </c>
      <c r="B1949" t="s">
        <v>881</v>
      </c>
      <c r="C1949" s="2" t="s">
        <v>882</v>
      </c>
      <c r="D1949" s="2">
        <f t="shared" ca="1" si="120"/>
        <v>64</v>
      </c>
      <c r="E1949" t="s">
        <v>10</v>
      </c>
      <c r="F1949" t="s">
        <v>204</v>
      </c>
      <c r="G1949" t="s">
        <v>112</v>
      </c>
      <c r="H1949" t="str">
        <f t="shared" si="121"/>
        <v>Belém - PA</v>
      </c>
      <c r="I1949" s="1" t="s">
        <v>160</v>
      </c>
      <c r="J1949" s="3">
        <v>59</v>
      </c>
      <c r="K1949" s="4">
        <f t="shared" si="122"/>
        <v>17.426748582230623</v>
      </c>
      <c r="L1949" s="1" t="str">
        <f t="shared" si="123"/>
        <v>Abaixo do peso</v>
      </c>
      <c r="M1949" t="s">
        <v>47</v>
      </c>
    </row>
    <row r="1950" spans="1:13" x14ac:dyDescent="0.25">
      <c r="A1950">
        <v>1949</v>
      </c>
      <c r="B1950" t="s">
        <v>4004</v>
      </c>
      <c r="C1950" s="2" t="s">
        <v>4005</v>
      </c>
      <c r="D1950" s="2">
        <f t="shared" ca="1" si="120"/>
        <v>19</v>
      </c>
      <c r="E1950" t="s">
        <v>10</v>
      </c>
      <c r="F1950" t="s">
        <v>564</v>
      </c>
      <c r="G1950" t="s">
        <v>565</v>
      </c>
      <c r="H1950" t="str">
        <f t="shared" si="121"/>
        <v>Rio Branco - AC</v>
      </c>
      <c r="I1950" s="1" t="s">
        <v>61</v>
      </c>
      <c r="J1950" s="3">
        <v>96</v>
      </c>
      <c r="K1950" s="4">
        <f t="shared" si="122"/>
        <v>26.874947509868147</v>
      </c>
      <c r="L1950" s="1" t="str">
        <f t="shared" si="123"/>
        <v>Levemente acima do peso</v>
      </c>
      <c r="M1950" t="s">
        <v>32</v>
      </c>
    </row>
    <row r="1951" spans="1:13" x14ac:dyDescent="0.25">
      <c r="A1951">
        <v>1950</v>
      </c>
      <c r="B1951" t="s">
        <v>640</v>
      </c>
      <c r="C1951" s="2" t="s">
        <v>641</v>
      </c>
      <c r="D1951" s="2">
        <f t="shared" ca="1" si="120"/>
        <v>77</v>
      </c>
      <c r="E1951" t="s">
        <v>10</v>
      </c>
      <c r="F1951" t="s">
        <v>126</v>
      </c>
      <c r="G1951" t="s">
        <v>127</v>
      </c>
      <c r="H1951" t="str">
        <f t="shared" si="121"/>
        <v>Boa Vista - RR</v>
      </c>
      <c r="I1951" s="1" t="s">
        <v>191</v>
      </c>
      <c r="J1951" s="3">
        <v>95</v>
      </c>
      <c r="K1951" s="4">
        <f t="shared" si="122"/>
        <v>37.109374999999993</v>
      </c>
      <c r="L1951" s="1" t="str">
        <f t="shared" si="123"/>
        <v>Obesidade grau II - severa</v>
      </c>
      <c r="M1951" t="s">
        <v>83</v>
      </c>
    </row>
    <row r="1952" spans="1:13" x14ac:dyDescent="0.25">
      <c r="A1952">
        <v>1951</v>
      </c>
      <c r="B1952" t="s">
        <v>1517</v>
      </c>
      <c r="C1952" s="2" t="s">
        <v>1518</v>
      </c>
      <c r="D1952" s="2">
        <f t="shared" ca="1" si="120"/>
        <v>56</v>
      </c>
      <c r="E1952" t="s">
        <v>10</v>
      </c>
      <c r="F1952" t="s">
        <v>189</v>
      </c>
      <c r="G1952" t="s">
        <v>190</v>
      </c>
      <c r="H1952" t="str">
        <f t="shared" si="121"/>
        <v>Cuiabá - MT</v>
      </c>
      <c r="I1952" s="1" t="s">
        <v>226</v>
      </c>
      <c r="J1952" s="3">
        <v>91</v>
      </c>
      <c r="K1952" s="4">
        <f t="shared" si="122"/>
        <v>23.211917151311091</v>
      </c>
      <c r="L1952" s="1" t="str">
        <f t="shared" si="123"/>
        <v>Peso ideal - parabéns</v>
      </c>
      <c r="M1952" t="s">
        <v>95</v>
      </c>
    </row>
    <row r="1953" spans="1:13" x14ac:dyDescent="0.25">
      <c r="A1953">
        <v>1952</v>
      </c>
      <c r="B1953" t="s">
        <v>1120</v>
      </c>
      <c r="C1953" s="2" t="s">
        <v>1121</v>
      </c>
      <c r="D1953" s="2">
        <f t="shared" ca="1" si="120"/>
        <v>56</v>
      </c>
      <c r="E1953" t="s">
        <v>10</v>
      </c>
      <c r="F1953" t="s">
        <v>169</v>
      </c>
      <c r="G1953" t="s">
        <v>170</v>
      </c>
      <c r="H1953" t="str">
        <f t="shared" si="121"/>
        <v>Maceió - AL</v>
      </c>
      <c r="I1953" s="1" t="s">
        <v>123</v>
      </c>
      <c r="J1953" s="3">
        <v>96</v>
      </c>
      <c r="K1953" s="4">
        <f t="shared" si="122"/>
        <v>30.991735537190085</v>
      </c>
      <c r="L1953" s="1" t="str">
        <f t="shared" si="123"/>
        <v>Obesidade grau I</v>
      </c>
      <c r="M1953" t="s">
        <v>95</v>
      </c>
    </row>
    <row r="1954" spans="1:13" x14ac:dyDescent="0.25">
      <c r="A1954">
        <v>1953</v>
      </c>
      <c r="B1954" t="s">
        <v>2060</v>
      </c>
      <c r="C1954" s="2" t="s">
        <v>2061</v>
      </c>
      <c r="D1954" s="2">
        <f t="shared" ca="1" si="120"/>
        <v>67</v>
      </c>
      <c r="E1954" t="s">
        <v>10</v>
      </c>
      <c r="F1954" t="s">
        <v>126</v>
      </c>
      <c r="G1954" t="s">
        <v>127</v>
      </c>
      <c r="H1954" t="str">
        <f t="shared" si="121"/>
        <v>Boa Vista - RR</v>
      </c>
      <c r="I1954" s="1" t="s">
        <v>86</v>
      </c>
      <c r="J1954" s="3">
        <v>91</v>
      </c>
      <c r="K1954" s="4">
        <f t="shared" si="122"/>
        <v>27.776929886145112</v>
      </c>
      <c r="L1954" s="1" t="str">
        <f t="shared" si="123"/>
        <v>Levemente acima do peso</v>
      </c>
      <c r="M1954" t="s">
        <v>83</v>
      </c>
    </row>
    <row r="1955" spans="1:13" x14ac:dyDescent="0.25">
      <c r="A1955">
        <v>1954</v>
      </c>
      <c r="B1955" t="s">
        <v>3025</v>
      </c>
      <c r="C1955" s="2" t="s">
        <v>3026</v>
      </c>
      <c r="D1955" s="2">
        <f t="shared" ca="1" si="120"/>
        <v>75</v>
      </c>
      <c r="E1955" t="s">
        <v>10</v>
      </c>
      <c r="F1955" t="s">
        <v>395</v>
      </c>
      <c r="G1955" t="s">
        <v>36</v>
      </c>
      <c r="H1955" t="str">
        <f t="shared" si="121"/>
        <v>Imperatriz - MA</v>
      </c>
      <c r="I1955" s="1" t="s">
        <v>255</v>
      </c>
      <c r="J1955" s="3">
        <v>65</v>
      </c>
      <c r="K1955" s="4">
        <f t="shared" si="122"/>
        <v>16.413726926087726</v>
      </c>
      <c r="L1955" s="1" t="str">
        <f t="shared" si="123"/>
        <v>Muito abaixo do peso</v>
      </c>
      <c r="M1955" t="s">
        <v>95</v>
      </c>
    </row>
    <row r="1956" spans="1:13" x14ac:dyDescent="0.25">
      <c r="A1956">
        <v>1955</v>
      </c>
      <c r="B1956" t="s">
        <v>2514</v>
      </c>
      <c r="C1956" s="2" t="s">
        <v>2515</v>
      </c>
      <c r="D1956" s="2">
        <f t="shared" ca="1" si="120"/>
        <v>81</v>
      </c>
      <c r="E1956" t="s">
        <v>10</v>
      </c>
      <c r="F1956" t="s">
        <v>1055</v>
      </c>
      <c r="G1956" t="s">
        <v>30</v>
      </c>
      <c r="H1956" t="str">
        <f t="shared" si="121"/>
        <v>Ariquemes - RO</v>
      </c>
      <c r="I1956" s="1" t="s">
        <v>286</v>
      </c>
      <c r="J1956" s="3">
        <v>64</v>
      </c>
      <c r="K1956" s="4">
        <f t="shared" si="122"/>
        <v>23.507805325987146</v>
      </c>
      <c r="L1956" s="1" t="str">
        <f t="shared" si="123"/>
        <v>Peso ideal - parabéns</v>
      </c>
      <c r="M1956" t="s">
        <v>95</v>
      </c>
    </row>
    <row r="1957" spans="1:13" x14ac:dyDescent="0.25">
      <c r="A1957">
        <v>1956</v>
      </c>
      <c r="B1957" t="s">
        <v>747</v>
      </c>
      <c r="C1957" s="2" t="s">
        <v>748</v>
      </c>
      <c r="D1957" s="2">
        <f t="shared" ca="1" si="120"/>
        <v>38</v>
      </c>
      <c r="E1957" t="s">
        <v>10</v>
      </c>
      <c r="F1957" t="s">
        <v>169</v>
      </c>
      <c r="G1957" t="s">
        <v>170</v>
      </c>
      <c r="H1957" t="str">
        <f t="shared" si="121"/>
        <v>Maceió - AL</v>
      </c>
      <c r="I1957" s="1" t="s">
        <v>66</v>
      </c>
      <c r="J1957" s="3">
        <v>71</v>
      </c>
      <c r="K1957" s="4">
        <f t="shared" si="122"/>
        <v>20.088275237664103</v>
      </c>
      <c r="L1957" s="1" t="str">
        <f t="shared" si="123"/>
        <v>Peso ideal - parabéns</v>
      </c>
      <c r="M1957" t="s">
        <v>95</v>
      </c>
    </row>
    <row r="1958" spans="1:13" x14ac:dyDescent="0.25">
      <c r="A1958">
        <v>1957</v>
      </c>
      <c r="B1958" t="s">
        <v>3409</v>
      </c>
      <c r="C1958" s="2" t="s">
        <v>3280</v>
      </c>
      <c r="D1958" s="2">
        <f t="shared" ca="1" si="120"/>
        <v>24</v>
      </c>
      <c r="E1958" t="s">
        <v>10</v>
      </c>
      <c r="F1958" t="s">
        <v>236</v>
      </c>
      <c r="G1958" t="s">
        <v>237</v>
      </c>
      <c r="H1958" t="str">
        <f t="shared" si="121"/>
        <v>Teresina - PI</v>
      </c>
      <c r="I1958" s="1" t="s">
        <v>108</v>
      </c>
      <c r="J1958" s="3">
        <v>69</v>
      </c>
      <c r="K1958" s="4">
        <f t="shared" si="122"/>
        <v>18.913955209561141</v>
      </c>
      <c r="L1958" s="1" t="str">
        <f t="shared" si="123"/>
        <v>Peso ideal - parabéns</v>
      </c>
      <c r="M1958" t="s">
        <v>20</v>
      </c>
    </row>
    <row r="1959" spans="1:13" x14ac:dyDescent="0.25">
      <c r="A1959">
        <v>1958</v>
      </c>
      <c r="B1959" t="s">
        <v>316</v>
      </c>
      <c r="C1959" s="2" t="s">
        <v>317</v>
      </c>
      <c r="D1959" s="2">
        <f t="shared" ca="1" si="120"/>
        <v>60</v>
      </c>
      <c r="E1959" t="s">
        <v>10</v>
      </c>
      <c r="F1959" t="s">
        <v>69</v>
      </c>
      <c r="G1959" t="s">
        <v>70</v>
      </c>
      <c r="H1959" t="str">
        <f t="shared" si="121"/>
        <v>Aracaju - SE</v>
      </c>
      <c r="I1959" s="1" t="s">
        <v>318</v>
      </c>
      <c r="J1959" s="3">
        <v>81</v>
      </c>
      <c r="K1959" s="4">
        <f t="shared" si="122"/>
        <v>21.97265625</v>
      </c>
      <c r="L1959" s="1" t="str">
        <f t="shared" si="123"/>
        <v>Peso ideal - parabéns</v>
      </c>
      <c r="M1959" t="s">
        <v>95</v>
      </c>
    </row>
    <row r="1960" spans="1:13" x14ac:dyDescent="0.25">
      <c r="A1960">
        <v>1959</v>
      </c>
      <c r="B1960" t="s">
        <v>2455</v>
      </c>
      <c r="C1960" s="2" t="s">
        <v>2456</v>
      </c>
      <c r="D1960" s="2">
        <f t="shared" ca="1" si="120"/>
        <v>20</v>
      </c>
      <c r="E1960" t="s">
        <v>10</v>
      </c>
      <c r="F1960" t="s">
        <v>784</v>
      </c>
      <c r="G1960" t="s">
        <v>273</v>
      </c>
      <c r="H1960" t="str">
        <f t="shared" si="121"/>
        <v>Vila Velha - ES</v>
      </c>
      <c r="I1960" s="1" t="s">
        <v>148</v>
      </c>
      <c r="J1960" s="3">
        <v>109</v>
      </c>
      <c r="K1960" s="4">
        <f t="shared" si="122"/>
        <v>28.665351742274822</v>
      </c>
      <c r="L1960" s="1" t="str">
        <f t="shared" si="123"/>
        <v>Levemente acima do peso</v>
      </c>
      <c r="M1960" t="s">
        <v>14</v>
      </c>
    </row>
    <row r="1961" spans="1:13" x14ac:dyDescent="0.25">
      <c r="A1961">
        <v>1960</v>
      </c>
      <c r="B1961" t="s">
        <v>2021</v>
      </c>
      <c r="C1961" s="2" t="s">
        <v>2022</v>
      </c>
      <c r="D1961" s="2">
        <f t="shared" ca="1" si="120"/>
        <v>59</v>
      </c>
      <c r="E1961" t="s">
        <v>10</v>
      </c>
      <c r="F1961" t="s">
        <v>69</v>
      </c>
      <c r="G1961" t="s">
        <v>70</v>
      </c>
      <c r="H1961" t="str">
        <f t="shared" si="121"/>
        <v>Aracaju - SE</v>
      </c>
      <c r="I1961" s="1" t="s">
        <v>166</v>
      </c>
      <c r="J1961" s="3">
        <v>72</v>
      </c>
      <c r="K1961" s="4">
        <f t="shared" si="122"/>
        <v>25.510204081632658</v>
      </c>
      <c r="L1961" s="1" t="str">
        <f t="shared" si="123"/>
        <v>Levemente acima do peso</v>
      </c>
      <c r="M1961" t="s">
        <v>20</v>
      </c>
    </row>
    <row r="1962" spans="1:13" x14ac:dyDescent="0.25">
      <c r="A1962">
        <v>1961</v>
      </c>
      <c r="B1962" t="s">
        <v>3067</v>
      </c>
      <c r="C1962" s="2" t="s">
        <v>3068</v>
      </c>
      <c r="D1962" s="2">
        <f t="shared" ca="1" si="120"/>
        <v>27</v>
      </c>
      <c r="E1962" t="s">
        <v>10</v>
      </c>
      <c r="F1962" t="s">
        <v>158</v>
      </c>
      <c r="G1962" t="s">
        <v>159</v>
      </c>
      <c r="H1962" t="str">
        <f t="shared" si="121"/>
        <v>Brasília - DF</v>
      </c>
      <c r="I1962" s="1" t="s">
        <v>194</v>
      </c>
      <c r="J1962" s="3">
        <v>57</v>
      </c>
      <c r="K1962" s="4">
        <f t="shared" si="122"/>
        <v>16.654492330168004</v>
      </c>
      <c r="L1962" s="1" t="str">
        <f t="shared" si="123"/>
        <v>Muito abaixo do peso</v>
      </c>
      <c r="M1962" t="s">
        <v>47</v>
      </c>
    </row>
    <row r="1963" spans="1:13" x14ac:dyDescent="0.25">
      <c r="A1963">
        <v>1962</v>
      </c>
      <c r="B1963" t="s">
        <v>1573</v>
      </c>
      <c r="C1963" s="2" t="s">
        <v>1574</v>
      </c>
      <c r="D1963" s="2">
        <f t="shared" ca="1" si="120"/>
        <v>32</v>
      </c>
      <c r="E1963" t="s">
        <v>10</v>
      </c>
      <c r="F1963" t="s">
        <v>69</v>
      </c>
      <c r="G1963" t="s">
        <v>70</v>
      </c>
      <c r="H1963" t="str">
        <f t="shared" si="121"/>
        <v>Aracaju - SE</v>
      </c>
      <c r="I1963" s="1" t="s">
        <v>90</v>
      </c>
      <c r="J1963" s="3">
        <v>81</v>
      </c>
      <c r="K1963" s="4">
        <f t="shared" si="122"/>
        <v>27.379664683612766</v>
      </c>
      <c r="L1963" s="1" t="str">
        <f t="shared" si="123"/>
        <v>Levemente acima do peso</v>
      </c>
      <c r="M1963" t="s">
        <v>14</v>
      </c>
    </row>
    <row r="1964" spans="1:13" x14ac:dyDescent="0.25">
      <c r="A1964">
        <v>1963</v>
      </c>
      <c r="B1964" t="s">
        <v>727</v>
      </c>
      <c r="C1964" s="2" t="s">
        <v>728</v>
      </c>
      <c r="D1964" s="2">
        <f t="shared" ca="1" si="120"/>
        <v>62</v>
      </c>
      <c r="E1964" t="s">
        <v>10</v>
      </c>
      <c r="F1964" t="s">
        <v>208</v>
      </c>
      <c r="G1964" t="s">
        <v>30</v>
      </c>
      <c r="H1964" t="str">
        <f t="shared" si="121"/>
        <v>Ji-Paraná - RO</v>
      </c>
      <c r="I1964" s="1" t="s">
        <v>61</v>
      </c>
      <c r="J1964" s="3">
        <v>84</v>
      </c>
      <c r="K1964" s="4">
        <f t="shared" si="122"/>
        <v>23.515579071134628</v>
      </c>
      <c r="L1964" s="1" t="str">
        <f t="shared" si="123"/>
        <v>Peso ideal - parabéns</v>
      </c>
      <c r="M1964" t="s">
        <v>32</v>
      </c>
    </row>
    <row r="1965" spans="1:13" x14ac:dyDescent="0.25">
      <c r="A1965">
        <v>1964</v>
      </c>
      <c r="B1965" t="s">
        <v>3777</v>
      </c>
      <c r="C1965" s="2" t="s">
        <v>3778</v>
      </c>
      <c r="D1965" s="2">
        <f t="shared" ca="1" si="120"/>
        <v>20</v>
      </c>
      <c r="E1965" t="s">
        <v>10</v>
      </c>
      <c r="F1965" t="s">
        <v>126</v>
      </c>
      <c r="G1965" t="s">
        <v>127</v>
      </c>
      <c r="H1965" t="str">
        <f t="shared" si="121"/>
        <v>Boa Vista - RR</v>
      </c>
      <c r="I1965" s="1" t="s">
        <v>262</v>
      </c>
      <c r="J1965" s="3">
        <v>50</v>
      </c>
      <c r="K1965" s="4">
        <f t="shared" si="122"/>
        <v>13.850415512465375</v>
      </c>
      <c r="L1965" s="1" t="str">
        <f t="shared" si="123"/>
        <v>Muito abaixo do peso</v>
      </c>
      <c r="M1965" t="s">
        <v>14</v>
      </c>
    </row>
    <row r="1966" spans="1:13" x14ac:dyDescent="0.25">
      <c r="A1966">
        <v>1965</v>
      </c>
      <c r="B1966" t="s">
        <v>3777</v>
      </c>
      <c r="C1966" s="2" t="s">
        <v>3778</v>
      </c>
      <c r="D1966" s="2">
        <f t="shared" ca="1" si="120"/>
        <v>20</v>
      </c>
      <c r="E1966" t="s">
        <v>10</v>
      </c>
      <c r="F1966" t="s">
        <v>126</v>
      </c>
      <c r="G1966" t="s">
        <v>127</v>
      </c>
      <c r="H1966" t="str">
        <f t="shared" si="121"/>
        <v>Boa Vista - RR</v>
      </c>
      <c r="I1966" s="1" t="s">
        <v>262</v>
      </c>
      <c r="J1966" s="3">
        <v>50</v>
      </c>
      <c r="K1966" s="4">
        <f t="shared" si="122"/>
        <v>13.850415512465375</v>
      </c>
      <c r="L1966" s="1" t="str">
        <f t="shared" si="123"/>
        <v>Muito abaixo do peso</v>
      </c>
      <c r="M1966" t="s">
        <v>14</v>
      </c>
    </row>
    <row r="1967" spans="1:13" x14ac:dyDescent="0.25">
      <c r="A1967">
        <v>1966</v>
      </c>
      <c r="B1967" t="s">
        <v>3906</v>
      </c>
      <c r="C1967" s="2" t="s">
        <v>3907</v>
      </c>
      <c r="D1967" s="2">
        <f t="shared" ca="1" si="120"/>
        <v>62</v>
      </c>
      <c r="E1967" t="s">
        <v>10</v>
      </c>
      <c r="F1967" t="s">
        <v>321</v>
      </c>
      <c r="G1967" t="s">
        <v>273</v>
      </c>
      <c r="H1967" t="str">
        <f t="shared" si="121"/>
        <v>Cariacica - ES</v>
      </c>
      <c r="I1967" s="1" t="s">
        <v>201</v>
      </c>
      <c r="J1967" s="3">
        <v>57</v>
      </c>
      <c r="K1967" s="4">
        <f t="shared" si="122"/>
        <v>14.837567680133279</v>
      </c>
      <c r="L1967" s="1" t="str">
        <f t="shared" si="123"/>
        <v>Muito abaixo do peso</v>
      </c>
      <c r="M1967" t="s">
        <v>76</v>
      </c>
    </row>
    <row r="1968" spans="1:13" x14ac:dyDescent="0.25">
      <c r="A1968">
        <v>1967</v>
      </c>
      <c r="B1968" t="s">
        <v>905</v>
      </c>
      <c r="C1968" s="2" t="s">
        <v>906</v>
      </c>
      <c r="D1968" s="2">
        <f t="shared" ca="1" si="120"/>
        <v>82</v>
      </c>
      <c r="E1968" t="s">
        <v>10</v>
      </c>
      <c r="F1968" t="s">
        <v>74</v>
      </c>
      <c r="G1968" t="s">
        <v>75</v>
      </c>
      <c r="H1968" t="str">
        <f t="shared" si="121"/>
        <v>Macapá - AP</v>
      </c>
      <c r="I1968" s="1" t="s">
        <v>155</v>
      </c>
      <c r="J1968" s="3">
        <v>55</v>
      </c>
      <c r="K1968" s="4">
        <f t="shared" si="122"/>
        <v>16.604274846033086</v>
      </c>
      <c r="L1968" s="1" t="str">
        <f t="shared" si="123"/>
        <v>Muito abaixo do peso</v>
      </c>
      <c r="M1968" t="s">
        <v>14</v>
      </c>
    </row>
    <row r="1969" spans="1:13" x14ac:dyDescent="0.25">
      <c r="A1969">
        <v>1968</v>
      </c>
      <c r="B1969" t="s">
        <v>1208</v>
      </c>
      <c r="C1969" s="2" t="s">
        <v>1209</v>
      </c>
      <c r="D1969" s="2">
        <f t="shared" ca="1" si="120"/>
        <v>72</v>
      </c>
      <c r="E1969" t="s">
        <v>10</v>
      </c>
      <c r="F1969" t="s">
        <v>135</v>
      </c>
      <c r="G1969" t="s">
        <v>75</v>
      </c>
      <c r="H1969" t="str">
        <f t="shared" si="121"/>
        <v>Santana - AP</v>
      </c>
      <c r="I1969" s="1" t="s">
        <v>386</v>
      </c>
      <c r="J1969" s="3">
        <v>89</v>
      </c>
      <c r="K1969" s="4">
        <f t="shared" si="122"/>
        <v>32.29786616344898</v>
      </c>
      <c r="L1969" s="1" t="str">
        <f t="shared" si="123"/>
        <v>Obesidade grau I</v>
      </c>
      <c r="M1969" t="s">
        <v>95</v>
      </c>
    </row>
    <row r="1970" spans="1:13" x14ac:dyDescent="0.25">
      <c r="A1970">
        <v>1969</v>
      </c>
      <c r="B1970" t="s">
        <v>1275</v>
      </c>
      <c r="C1970" s="2" t="s">
        <v>1276</v>
      </c>
      <c r="D1970" s="2">
        <f t="shared" ca="1" si="120"/>
        <v>29</v>
      </c>
      <c r="E1970" t="s">
        <v>10</v>
      </c>
      <c r="F1970" t="s">
        <v>321</v>
      </c>
      <c r="G1970" t="s">
        <v>273</v>
      </c>
      <c r="H1970" t="str">
        <f t="shared" si="121"/>
        <v>Cariacica - ES</v>
      </c>
      <c r="I1970" s="1" t="s">
        <v>194</v>
      </c>
      <c r="J1970" s="3">
        <v>59</v>
      </c>
      <c r="K1970" s="4">
        <f t="shared" si="122"/>
        <v>17.238860482103725</v>
      </c>
      <c r="L1970" s="1" t="str">
        <f t="shared" si="123"/>
        <v>Abaixo do peso</v>
      </c>
      <c r="M1970" t="s">
        <v>47</v>
      </c>
    </row>
    <row r="1971" spans="1:13" x14ac:dyDescent="0.25">
      <c r="A1971">
        <v>1970</v>
      </c>
      <c r="B1971" t="s">
        <v>621</v>
      </c>
      <c r="C1971" s="2" t="s">
        <v>622</v>
      </c>
      <c r="D1971" s="2">
        <f t="shared" ca="1" si="120"/>
        <v>22</v>
      </c>
      <c r="E1971" t="s">
        <v>10</v>
      </c>
      <c r="F1971" t="s">
        <v>297</v>
      </c>
      <c r="G1971" t="s">
        <v>310</v>
      </c>
      <c r="H1971" t="str">
        <f t="shared" si="121"/>
        <v>Santa Maria - RS</v>
      </c>
      <c r="I1971" s="1" t="s">
        <v>113</v>
      </c>
      <c r="J1971" s="3">
        <v>100</v>
      </c>
      <c r="K1971" s="4">
        <f t="shared" si="122"/>
        <v>37.637848620572854</v>
      </c>
      <c r="L1971" s="1" t="str">
        <f t="shared" si="123"/>
        <v>Obesidade grau II - severa</v>
      </c>
      <c r="M1971" t="s">
        <v>20</v>
      </c>
    </row>
    <row r="1972" spans="1:13" x14ac:dyDescent="0.25">
      <c r="A1972">
        <v>1971</v>
      </c>
      <c r="B1972" t="s">
        <v>2761</v>
      </c>
      <c r="C1972" s="2" t="s">
        <v>2762</v>
      </c>
      <c r="D1972" s="2">
        <f t="shared" ca="1" si="120"/>
        <v>44</v>
      </c>
      <c r="E1972" t="s">
        <v>10</v>
      </c>
      <c r="F1972" t="s">
        <v>457</v>
      </c>
      <c r="G1972" t="s">
        <v>41</v>
      </c>
      <c r="H1972" t="str">
        <f t="shared" si="121"/>
        <v>João Pessoa - PB</v>
      </c>
      <c r="I1972" s="1" t="s">
        <v>191</v>
      </c>
      <c r="J1972" s="3">
        <v>78</v>
      </c>
      <c r="K1972" s="4">
        <f t="shared" si="122"/>
        <v>30.468749999999993</v>
      </c>
      <c r="L1972" s="1" t="str">
        <f t="shared" si="123"/>
        <v>Obesidade grau I</v>
      </c>
      <c r="M1972" t="s">
        <v>47</v>
      </c>
    </row>
    <row r="1973" spans="1:13" x14ac:dyDescent="0.25">
      <c r="A1973">
        <v>1972</v>
      </c>
      <c r="B1973" t="s">
        <v>489</v>
      </c>
      <c r="C1973" s="2" t="s">
        <v>490</v>
      </c>
      <c r="D1973" s="2">
        <f t="shared" ca="1" si="120"/>
        <v>33</v>
      </c>
      <c r="E1973" t="s">
        <v>10</v>
      </c>
      <c r="F1973" t="s">
        <v>457</v>
      </c>
      <c r="G1973" t="s">
        <v>41</v>
      </c>
      <c r="H1973" t="str">
        <f t="shared" si="121"/>
        <v>João Pessoa - PB</v>
      </c>
      <c r="I1973" s="1" t="s">
        <v>166</v>
      </c>
      <c r="J1973" s="3">
        <v>53</v>
      </c>
      <c r="K1973" s="4">
        <f t="shared" si="122"/>
        <v>18.778344671201818</v>
      </c>
      <c r="L1973" s="1" t="str">
        <f t="shared" si="123"/>
        <v>Peso ideal - parabéns</v>
      </c>
      <c r="M1973" t="s">
        <v>20</v>
      </c>
    </row>
    <row r="1974" spans="1:13" x14ac:dyDescent="0.25">
      <c r="A1974">
        <v>1973</v>
      </c>
      <c r="B1974" t="s">
        <v>2108</v>
      </c>
      <c r="C1974" s="2" t="s">
        <v>2109</v>
      </c>
      <c r="D1974" s="2">
        <f t="shared" ca="1" si="120"/>
        <v>51</v>
      </c>
      <c r="E1974" t="s">
        <v>10</v>
      </c>
      <c r="F1974" t="s">
        <v>2110</v>
      </c>
      <c r="G1974" t="s">
        <v>186</v>
      </c>
      <c r="H1974" t="str">
        <f t="shared" si="121"/>
        <v>Sabará - MG</v>
      </c>
      <c r="I1974" s="1" t="s">
        <v>639</v>
      </c>
      <c r="J1974" s="3">
        <v>55</v>
      </c>
      <c r="K1974" s="4">
        <f t="shared" si="122"/>
        <v>13.75</v>
      </c>
      <c r="L1974" s="1" t="str">
        <f t="shared" si="123"/>
        <v>Muito abaixo do peso</v>
      </c>
      <c r="M1974" t="s">
        <v>26</v>
      </c>
    </row>
    <row r="1975" spans="1:13" x14ac:dyDescent="0.25">
      <c r="A1975">
        <v>1974</v>
      </c>
      <c r="B1975" t="s">
        <v>265</v>
      </c>
      <c r="C1975" s="2" t="s">
        <v>266</v>
      </c>
      <c r="D1975" s="2">
        <f t="shared" ca="1" si="120"/>
        <v>77</v>
      </c>
      <c r="E1975" t="s">
        <v>23</v>
      </c>
      <c r="F1975" t="s">
        <v>267</v>
      </c>
      <c r="G1975" t="s">
        <v>103</v>
      </c>
      <c r="H1975" t="str">
        <f t="shared" si="121"/>
        <v>São Paulo - SP</v>
      </c>
      <c r="I1975" s="1" t="s">
        <v>94</v>
      </c>
      <c r="J1975" s="3">
        <v>72</v>
      </c>
      <c r="K1975" s="4">
        <f t="shared" si="122"/>
        <v>24.056934745564501</v>
      </c>
      <c r="L1975" s="1" t="str">
        <f t="shared" si="123"/>
        <v>Peso ideal - parabéns</v>
      </c>
      <c r="M1975" t="s">
        <v>95</v>
      </c>
    </row>
    <row r="1976" spans="1:13" x14ac:dyDescent="0.25">
      <c r="A1976">
        <v>1975</v>
      </c>
      <c r="B1976" t="s">
        <v>3910</v>
      </c>
      <c r="C1976" s="2" t="s">
        <v>3911</v>
      </c>
      <c r="D1976" s="2">
        <f t="shared" ca="1" si="120"/>
        <v>41</v>
      </c>
      <c r="E1976" t="s">
        <v>23</v>
      </c>
      <c r="F1976" t="s">
        <v>107</v>
      </c>
      <c r="G1976" t="s">
        <v>36</v>
      </c>
      <c r="H1976" t="str">
        <f t="shared" si="121"/>
        <v>São Luís - MA</v>
      </c>
      <c r="I1976" s="1" t="s">
        <v>113</v>
      </c>
      <c r="J1976" s="3">
        <v>87</v>
      </c>
      <c r="K1976" s="4">
        <f t="shared" si="122"/>
        <v>32.744928299898383</v>
      </c>
      <c r="L1976" s="1" t="str">
        <f t="shared" si="123"/>
        <v>Obesidade grau I</v>
      </c>
      <c r="M1976" t="s">
        <v>26</v>
      </c>
    </row>
    <row r="1977" spans="1:13" x14ac:dyDescent="0.25">
      <c r="A1977">
        <v>1976</v>
      </c>
      <c r="B1977" t="s">
        <v>3038</v>
      </c>
      <c r="C1977" s="2" t="s">
        <v>3039</v>
      </c>
      <c r="D1977" s="2">
        <f t="shared" ca="1" si="120"/>
        <v>79</v>
      </c>
      <c r="E1977" t="s">
        <v>23</v>
      </c>
      <c r="F1977" t="s">
        <v>189</v>
      </c>
      <c r="G1977" t="s">
        <v>190</v>
      </c>
      <c r="H1977" t="str">
        <f t="shared" si="121"/>
        <v>Cuiabá - MT</v>
      </c>
      <c r="I1977" s="1" t="s">
        <v>191</v>
      </c>
      <c r="J1977" s="3">
        <v>52</v>
      </c>
      <c r="K1977" s="4">
        <f t="shared" si="122"/>
        <v>20.312499999999996</v>
      </c>
      <c r="L1977" s="1" t="str">
        <f t="shared" si="123"/>
        <v>Peso ideal - parabéns</v>
      </c>
      <c r="M1977" t="s">
        <v>20</v>
      </c>
    </row>
    <row r="1978" spans="1:13" x14ac:dyDescent="0.25">
      <c r="A1978">
        <v>1977</v>
      </c>
      <c r="B1978" t="s">
        <v>2042</v>
      </c>
      <c r="C1978" s="2" t="s">
        <v>2043</v>
      </c>
      <c r="D1978" s="2">
        <f t="shared" ca="1" si="120"/>
        <v>63</v>
      </c>
      <c r="E1978" t="s">
        <v>23</v>
      </c>
      <c r="F1978" t="s">
        <v>564</v>
      </c>
      <c r="G1978" t="s">
        <v>565</v>
      </c>
      <c r="H1978" t="str">
        <f t="shared" si="121"/>
        <v>Rio Branco - AC</v>
      </c>
      <c r="I1978" s="1" t="s">
        <v>13</v>
      </c>
      <c r="J1978" s="3">
        <v>58</v>
      </c>
      <c r="K1978" s="4">
        <f t="shared" si="122"/>
        <v>19.835162956123252</v>
      </c>
      <c r="L1978" s="1" t="str">
        <f t="shared" si="123"/>
        <v>Peso ideal - parabéns</v>
      </c>
      <c r="M1978" t="s">
        <v>32</v>
      </c>
    </row>
    <row r="1979" spans="1:13" x14ac:dyDescent="0.25">
      <c r="A1979">
        <v>1978</v>
      </c>
      <c r="B1979" t="s">
        <v>452</v>
      </c>
      <c r="C1979" s="2" t="s">
        <v>453</v>
      </c>
      <c r="D1979" s="2">
        <f t="shared" ca="1" si="120"/>
        <v>56</v>
      </c>
      <c r="E1979" t="s">
        <v>23</v>
      </c>
      <c r="F1979" t="s">
        <v>454</v>
      </c>
      <c r="G1979" t="s">
        <v>60</v>
      </c>
      <c r="H1979" t="str">
        <f t="shared" si="121"/>
        <v>Gurupi - TO</v>
      </c>
      <c r="I1979" s="1" t="s">
        <v>386</v>
      </c>
      <c r="J1979" s="3">
        <v>53</v>
      </c>
      <c r="K1979" s="4">
        <f t="shared" si="122"/>
        <v>19.233560749020178</v>
      </c>
      <c r="L1979" s="1" t="str">
        <f t="shared" si="123"/>
        <v>Peso ideal - parabéns</v>
      </c>
      <c r="M1979" t="s">
        <v>32</v>
      </c>
    </row>
    <row r="1980" spans="1:13" x14ac:dyDescent="0.25">
      <c r="A1980">
        <v>1979</v>
      </c>
      <c r="B1980" t="s">
        <v>1542</v>
      </c>
      <c r="C1980" s="2" t="s">
        <v>1543</v>
      </c>
      <c r="D1980" s="2">
        <f t="shared" ca="1" si="120"/>
        <v>62</v>
      </c>
      <c r="E1980" t="s">
        <v>23</v>
      </c>
      <c r="F1980" t="s">
        <v>876</v>
      </c>
      <c r="G1980" t="s">
        <v>310</v>
      </c>
      <c r="H1980" t="str">
        <f t="shared" si="121"/>
        <v>Caxias do Sul - RS</v>
      </c>
      <c r="I1980" s="1" t="s">
        <v>160</v>
      </c>
      <c r="J1980" s="3">
        <v>57</v>
      </c>
      <c r="K1980" s="4">
        <f t="shared" si="122"/>
        <v>16.836011342155007</v>
      </c>
      <c r="L1980" s="1" t="str">
        <f t="shared" si="123"/>
        <v>Muito abaixo do peso</v>
      </c>
      <c r="M1980" t="s">
        <v>47</v>
      </c>
    </row>
    <row r="1981" spans="1:13" x14ac:dyDescent="0.25">
      <c r="A1981">
        <v>1980</v>
      </c>
      <c r="B1981" t="s">
        <v>1663</v>
      </c>
      <c r="C1981" s="2" t="s">
        <v>1664</v>
      </c>
      <c r="D1981" s="2">
        <f t="shared" ca="1" si="120"/>
        <v>45</v>
      </c>
      <c r="E1981" t="s">
        <v>23</v>
      </c>
      <c r="F1981" t="s">
        <v>1621</v>
      </c>
      <c r="G1981" t="s">
        <v>273</v>
      </c>
      <c r="H1981" t="str">
        <f t="shared" si="121"/>
        <v>Guarapari - ES</v>
      </c>
      <c r="I1981" s="1" t="s">
        <v>575</v>
      </c>
      <c r="J1981" s="3">
        <v>62</v>
      </c>
      <c r="K1981" s="4">
        <f t="shared" si="122"/>
        <v>24.524346347059055</v>
      </c>
      <c r="L1981" s="1" t="str">
        <f t="shared" si="123"/>
        <v>Peso ideal - parabéns</v>
      </c>
      <c r="M1981" t="s">
        <v>83</v>
      </c>
    </row>
    <row r="1982" spans="1:13" x14ac:dyDescent="0.25">
      <c r="A1982">
        <v>1981</v>
      </c>
      <c r="B1982" t="s">
        <v>3174</v>
      </c>
      <c r="C1982" s="2" t="s">
        <v>3175</v>
      </c>
      <c r="D1982" s="2">
        <f t="shared" ca="1" si="120"/>
        <v>51</v>
      </c>
      <c r="E1982" t="s">
        <v>23</v>
      </c>
      <c r="F1982" t="s">
        <v>40</v>
      </c>
      <c r="G1982" t="s">
        <v>41</v>
      </c>
      <c r="H1982" t="str">
        <f t="shared" si="121"/>
        <v>Campina Grande - PB</v>
      </c>
      <c r="I1982" s="1" t="s">
        <v>386</v>
      </c>
      <c r="J1982" s="3">
        <v>49</v>
      </c>
      <c r="K1982" s="4">
        <f t="shared" si="122"/>
        <v>17.781971258528088</v>
      </c>
      <c r="L1982" s="1" t="str">
        <f t="shared" si="123"/>
        <v>Abaixo do peso</v>
      </c>
      <c r="M1982" t="s">
        <v>14</v>
      </c>
    </row>
    <row r="1983" spans="1:13" x14ac:dyDescent="0.25">
      <c r="A1983">
        <v>1982</v>
      </c>
      <c r="B1983" t="s">
        <v>4029</v>
      </c>
      <c r="C1983" s="2" t="s">
        <v>2823</v>
      </c>
      <c r="D1983" s="2">
        <f t="shared" ca="1" si="120"/>
        <v>45</v>
      </c>
      <c r="E1983" t="s">
        <v>23</v>
      </c>
      <c r="F1983" t="s">
        <v>280</v>
      </c>
      <c r="G1983" t="s">
        <v>175</v>
      </c>
      <c r="H1983" t="str">
        <f t="shared" si="121"/>
        <v>Recife - PE</v>
      </c>
      <c r="I1983" s="1" t="s">
        <v>56</v>
      </c>
      <c r="J1983" s="3">
        <v>58</v>
      </c>
      <c r="K1983" s="4">
        <f t="shared" si="122"/>
        <v>20.307412205454995</v>
      </c>
      <c r="L1983" s="1" t="str">
        <f t="shared" si="123"/>
        <v>Peso ideal - parabéns</v>
      </c>
      <c r="M1983" t="s">
        <v>32</v>
      </c>
    </row>
    <row r="1984" spans="1:13" x14ac:dyDescent="0.25">
      <c r="A1984">
        <v>1983</v>
      </c>
      <c r="B1984" t="s">
        <v>983</v>
      </c>
      <c r="C1984" s="2" t="s">
        <v>984</v>
      </c>
      <c r="D1984" s="2">
        <f t="shared" ca="1" si="120"/>
        <v>67</v>
      </c>
      <c r="E1984" t="s">
        <v>23</v>
      </c>
      <c r="F1984" t="s">
        <v>985</v>
      </c>
      <c r="G1984" t="s">
        <v>55</v>
      </c>
      <c r="H1984" t="str">
        <f t="shared" si="121"/>
        <v>Rolândia - PR</v>
      </c>
      <c r="I1984" s="1" t="s">
        <v>104</v>
      </c>
      <c r="J1984" s="3">
        <v>90</v>
      </c>
      <c r="K1984" s="4">
        <f t="shared" si="122"/>
        <v>31.141868512110729</v>
      </c>
      <c r="L1984" s="1" t="str">
        <f t="shared" si="123"/>
        <v>Obesidade grau I</v>
      </c>
      <c r="M1984" t="s">
        <v>14</v>
      </c>
    </row>
    <row r="1985" spans="1:13" x14ac:dyDescent="0.25">
      <c r="A1985">
        <v>1984</v>
      </c>
      <c r="B1985" t="s">
        <v>4045</v>
      </c>
      <c r="C1985" s="2" t="s">
        <v>3551</v>
      </c>
      <c r="D1985" s="2">
        <f t="shared" ca="1" si="120"/>
        <v>68</v>
      </c>
      <c r="E1985" t="s">
        <v>23</v>
      </c>
      <c r="F1985" t="s">
        <v>29</v>
      </c>
      <c r="G1985" t="s">
        <v>30</v>
      </c>
      <c r="H1985" t="str">
        <f t="shared" si="121"/>
        <v>Cacoal - RO</v>
      </c>
      <c r="I1985" s="1" t="s">
        <v>179</v>
      </c>
      <c r="J1985" s="3">
        <v>73</v>
      </c>
      <c r="K1985" s="4">
        <f t="shared" si="122"/>
        <v>24.111507464658473</v>
      </c>
      <c r="L1985" s="1" t="str">
        <f t="shared" si="123"/>
        <v>Peso ideal - parabéns</v>
      </c>
      <c r="M1985" t="s">
        <v>76</v>
      </c>
    </row>
    <row r="1986" spans="1:13" x14ac:dyDescent="0.25">
      <c r="A1986">
        <v>1985</v>
      </c>
      <c r="B1986" t="s">
        <v>4020</v>
      </c>
      <c r="C1986" s="2" t="s">
        <v>4021</v>
      </c>
      <c r="D1986" s="2">
        <f t="shared" ca="1" si="120"/>
        <v>58</v>
      </c>
      <c r="E1986" t="s">
        <v>23</v>
      </c>
      <c r="F1986" t="s">
        <v>135</v>
      </c>
      <c r="G1986" t="s">
        <v>75</v>
      </c>
      <c r="H1986" t="str">
        <f t="shared" si="121"/>
        <v>Santana - AP</v>
      </c>
      <c r="I1986" s="1" t="s">
        <v>575</v>
      </c>
      <c r="J1986" s="3">
        <v>82</v>
      </c>
      <c r="K1986" s="4">
        <f t="shared" si="122"/>
        <v>32.435425813852298</v>
      </c>
      <c r="L1986" s="1" t="str">
        <f t="shared" si="123"/>
        <v>Obesidade grau I</v>
      </c>
      <c r="M1986" t="s">
        <v>76</v>
      </c>
    </row>
    <row r="1987" spans="1:13" x14ac:dyDescent="0.25">
      <c r="A1987">
        <v>1986</v>
      </c>
      <c r="B1987" t="s">
        <v>716</v>
      </c>
      <c r="C1987" s="2" t="s">
        <v>717</v>
      </c>
      <c r="D1987" s="2">
        <f t="shared" ref="D1987:D2050" ca="1" si="124">YEAR(TODAY())-YEAR(C1987)</f>
        <v>33</v>
      </c>
      <c r="E1987" t="s">
        <v>23</v>
      </c>
      <c r="F1987" t="s">
        <v>64</v>
      </c>
      <c r="G1987" t="s">
        <v>65</v>
      </c>
      <c r="H1987" t="str">
        <f t="shared" ref="H1987:H2050" si="125">CONCATENATE(F1987," - ",G1987)</f>
        <v>Salvador - BA</v>
      </c>
      <c r="I1987" s="1" t="s">
        <v>166</v>
      </c>
      <c r="J1987" s="3">
        <v>87</v>
      </c>
      <c r="K1987" s="4">
        <f t="shared" ref="K1987:K2050" si="126">J1987/(I1987*I1987)</f>
        <v>30.824829931972793</v>
      </c>
      <c r="L1987" s="1" t="str">
        <f t="shared" ref="L1987:L2050" si="127">IF(K1987&gt;=40,"Obesidade grau III - mórbida",
IF(K1987&gt;=35,"Obesidade grau II - severa",
IF(K1987&gt;=30,"Obesidade grau I",
IF(K1987&gt;=25,"Levemente acima do peso",
IF(K1987&gt;=18.6,"Peso ideal - parabéns",
IF(K1987&gt;=17,"Abaixo do peso",
"Muito abaixo do peso"))))))</f>
        <v>Obesidade grau I</v>
      </c>
      <c r="M1987" t="s">
        <v>20</v>
      </c>
    </row>
    <row r="1988" spans="1:13" x14ac:dyDescent="0.25">
      <c r="A1988">
        <v>1987</v>
      </c>
      <c r="B1988" t="s">
        <v>827</v>
      </c>
      <c r="C1988" s="2" t="s">
        <v>828</v>
      </c>
      <c r="D1988" s="2">
        <f t="shared" ca="1" si="124"/>
        <v>35</v>
      </c>
      <c r="E1988" t="s">
        <v>23</v>
      </c>
      <c r="F1988" t="s">
        <v>69</v>
      </c>
      <c r="G1988" t="s">
        <v>70</v>
      </c>
      <c r="H1988" t="str">
        <f t="shared" si="125"/>
        <v>Aracaju - SE</v>
      </c>
      <c r="I1988" s="1" t="s">
        <v>71</v>
      </c>
      <c r="J1988" s="3">
        <v>52</v>
      </c>
      <c r="K1988" s="4">
        <f t="shared" si="126"/>
        <v>15.527486637403324</v>
      </c>
      <c r="L1988" s="1" t="str">
        <f t="shared" si="127"/>
        <v>Muito abaixo do peso</v>
      </c>
      <c r="M1988" t="s">
        <v>20</v>
      </c>
    </row>
    <row r="1989" spans="1:13" x14ac:dyDescent="0.25">
      <c r="A1989">
        <v>1988</v>
      </c>
      <c r="B1989" t="s">
        <v>3994</v>
      </c>
      <c r="C1989" s="2" t="s">
        <v>3995</v>
      </c>
      <c r="D1989" s="2">
        <f t="shared" ca="1" si="124"/>
        <v>50</v>
      </c>
      <c r="E1989" t="s">
        <v>23</v>
      </c>
      <c r="F1989" t="s">
        <v>2621</v>
      </c>
      <c r="G1989" t="s">
        <v>112</v>
      </c>
      <c r="H1989" t="str">
        <f t="shared" si="125"/>
        <v>Altamira - PA</v>
      </c>
      <c r="I1989" s="1" t="s">
        <v>166</v>
      </c>
      <c r="J1989" s="3">
        <v>51</v>
      </c>
      <c r="K1989" s="4">
        <f t="shared" si="126"/>
        <v>18.069727891156464</v>
      </c>
      <c r="L1989" s="1" t="str">
        <f t="shared" si="127"/>
        <v>Abaixo do peso</v>
      </c>
      <c r="M1989" t="s">
        <v>20</v>
      </c>
    </row>
    <row r="1990" spans="1:13" x14ac:dyDescent="0.25">
      <c r="A1990">
        <v>1989</v>
      </c>
      <c r="B1990" t="s">
        <v>3407</v>
      </c>
      <c r="C1990" s="2" t="s">
        <v>3408</v>
      </c>
      <c r="D1990" s="2">
        <f t="shared" ca="1" si="124"/>
        <v>47</v>
      </c>
      <c r="E1990" t="s">
        <v>23</v>
      </c>
      <c r="F1990" t="s">
        <v>1978</v>
      </c>
      <c r="G1990" t="s">
        <v>131</v>
      </c>
      <c r="H1990" t="str">
        <f t="shared" si="125"/>
        <v>Navegantes - SC</v>
      </c>
      <c r="I1990" s="1" t="s">
        <v>117</v>
      </c>
      <c r="J1990" s="3">
        <v>66</v>
      </c>
      <c r="K1990" s="4">
        <f t="shared" si="126"/>
        <v>20.830703194041156</v>
      </c>
      <c r="L1990" s="1" t="str">
        <f t="shared" si="127"/>
        <v>Peso ideal - parabéns</v>
      </c>
      <c r="M1990" t="s">
        <v>14</v>
      </c>
    </row>
    <row r="1991" spans="1:13" x14ac:dyDescent="0.25">
      <c r="A1991">
        <v>1990</v>
      </c>
      <c r="B1991" t="s">
        <v>1833</v>
      </c>
      <c r="C1991" s="2" t="s">
        <v>1834</v>
      </c>
      <c r="D1991" s="2">
        <f t="shared" ca="1" si="124"/>
        <v>62</v>
      </c>
      <c r="E1991" t="s">
        <v>23</v>
      </c>
      <c r="F1991" t="s">
        <v>59</v>
      </c>
      <c r="G1991" t="s">
        <v>60</v>
      </c>
      <c r="H1991" t="str">
        <f t="shared" si="125"/>
        <v>Palmas - TO</v>
      </c>
      <c r="I1991" s="1" t="s">
        <v>360</v>
      </c>
      <c r="J1991" s="3">
        <v>46</v>
      </c>
      <c r="K1991" s="4">
        <f t="shared" si="126"/>
        <v>18.426534209261334</v>
      </c>
      <c r="L1991" s="1" t="str">
        <f t="shared" si="127"/>
        <v>Abaixo do peso</v>
      </c>
      <c r="M1991" t="s">
        <v>14</v>
      </c>
    </row>
    <row r="1992" spans="1:13" x14ac:dyDescent="0.25">
      <c r="A1992">
        <v>1991</v>
      </c>
      <c r="B1992" t="s">
        <v>4151</v>
      </c>
      <c r="C1992" s="2" t="s">
        <v>3736</v>
      </c>
      <c r="D1992" s="2">
        <f t="shared" ca="1" si="124"/>
        <v>67</v>
      </c>
      <c r="E1992" t="s">
        <v>23</v>
      </c>
      <c r="F1992" t="s">
        <v>1037</v>
      </c>
      <c r="G1992" t="s">
        <v>46</v>
      </c>
      <c r="H1992" t="str">
        <f t="shared" si="125"/>
        <v>Itumbiara - GO</v>
      </c>
      <c r="I1992" s="1" t="s">
        <v>171</v>
      </c>
      <c r="J1992" s="3">
        <v>74</v>
      </c>
      <c r="K1992" s="4">
        <f t="shared" si="126"/>
        <v>26.533758829646096</v>
      </c>
      <c r="L1992" s="1" t="str">
        <f t="shared" si="127"/>
        <v>Levemente acima do peso</v>
      </c>
      <c r="M1992" t="s">
        <v>83</v>
      </c>
    </row>
    <row r="1993" spans="1:13" x14ac:dyDescent="0.25">
      <c r="A1993">
        <v>1992</v>
      </c>
      <c r="B1993" t="s">
        <v>2916</v>
      </c>
      <c r="C1993" s="2" t="s">
        <v>2917</v>
      </c>
      <c r="D1993" s="2">
        <f t="shared" ca="1" si="124"/>
        <v>67</v>
      </c>
      <c r="E1993" t="s">
        <v>23</v>
      </c>
      <c r="F1993" t="s">
        <v>291</v>
      </c>
      <c r="G1993" t="s">
        <v>131</v>
      </c>
      <c r="H1993" t="str">
        <f t="shared" si="125"/>
        <v>Blumenau - SC</v>
      </c>
      <c r="I1993" s="1" t="s">
        <v>71</v>
      </c>
      <c r="J1993" s="3">
        <v>85</v>
      </c>
      <c r="K1993" s="4">
        <f t="shared" si="126"/>
        <v>25.381468541909282</v>
      </c>
      <c r="L1993" s="1" t="str">
        <f t="shared" si="127"/>
        <v>Levemente acima do peso</v>
      </c>
      <c r="M1993" t="s">
        <v>95</v>
      </c>
    </row>
    <row r="1994" spans="1:13" x14ac:dyDescent="0.25">
      <c r="A1994">
        <v>1993</v>
      </c>
      <c r="B1994" t="s">
        <v>176</v>
      </c>
      <c r="C1994" s="2" t="s">
        <v>177</v>
      </c>
      <c r="D1994" s="2">
        <f t="shared" ca="1" si="124"/>
        <v>37</v>
      </c>
      <c r="E1994" t="s">
        <v>10</v>
      </c>
      <c r="F1994" t="s">
        <v>178</v>
      </c>
      <c r="G1994" t="s">
        <v>46</v>
      </c>
      <c r="H1994" t="str">
        <f t="shared" si="125"/>
        <v>Santo Antônio do Descoberto - GO</v>
      </c>
      <c r="I1994" s="1" t="s">
        <v>179</v>
      </c>
      <c r="J1994" s="3">
        <v>65</v>
      </c>
      <c r="K1994" s="4">
        <f t="shared" si="126"/>
        <v>21.469150482230148</v>
      </c>
      <c r="L1994" s="1" t="str">
        <f t="shared" si="127"/>
        <v>Peso ideal - parabéns</v>
      </c>
      <c r="M1994" t="s">
        <v>32</v>
      </c>
    </row>
    <row r="1995" spans="1:13" x14ac:dyDescent="0.25">
      <c r="A1995">
        <v>1994</v>
      </c>
      <c r="B1995" t="s">
        <v>3354</v>
      </c>
      <c r="C1995" s="2" t="s">
        <v>3355</v>
      </c>
      <c r="D1995" s="2">
        <f t="shared" ca="1" si="124"/>
        <v>74</v>
      </c>
      <c r="E1995" t="s">
        <v>10</v>
      </c>
      <c r="F1995" t="s">
        <v>2211</v>
      </c>
      <c r="G1995" t="s">
        <v>186</v>
      </c>
      <c r="H1995" t="str">
        <f t="shared" si="125"/>
        <v>Araxá - MG</v>
      </c>
      <c r="I1995" s="1" t="s">
        <v>191</v>
      </c>
      <c r="J1995" s="3">
        <v>87</v>
      </c>
      <c r="K1995" s="4">
        <f t="shared" si="126"/>
        <v>33.984374999999993</v>
      </c>
      <c r="L1995" s="1" t="str">
        <f t="shared" si="127"/>
        <v>Obesidade grau I</v>
      </c>
      <c r="M1995" t="s">
        <v>47</v>
      </c>
    </row>
    <row r="1996" spans="1:13" x14ac:dyDescent="0.25">
      <c r="A1996">
        <v>1995</v>
      </c>
      <c r="B1996" t="s">
        <v>1441</v>
      </c>
      <c r="C1996" s="2" t="s">
        <v>1442</v>
      </c>
      <c r="D1996" s="2">
        <f t="shared" ca="1" si="124"/>
        <v>39</v>
      </c>
      <c r="E1996" t="s">
        <v>10</v>
      </c>
      <c r="F1996" t="s">
        <v>1443</v>
      </c>
      <c r="G1996" t="s">
        <v>70</v>
      </c>
      <c r="H1996" t="str">
        <f t="shared" si="125"/>
        <v>Lagarto - SE</v>
      </c>
      <c r="I1996" s="1" t="s">
        <v>148</v>
      </c>
      <c r="J1996" s="3">
        <v>79</v>
      </c>
      <c r="K1996" s="4">
        <f t="shared" si="126"/>
        <v>20.775805391190008</v>
      </c>
      <c r="L1996" s="1" t="str">
        <f t="shared" si="127"/>
        <v>Peso ideal - parabéns</v>
      </c>
      <c r="M1996" t="s">
        <v>95</v>
      </c>
    </row>
    <row r="1997" spans="1:13" x14ac:dyDescent="0.25">
      <c r="A1997">
        <v>1996</v>
      </c>
      <c r="B1997" t="s">
        <v>3737</v>
      </c>
      <c r="C1997" s="2" t="s">
        <v>3738</v>
      </c>
      <c r="D1997" s="2">
        <f t="shared" ca="1" si="124"/>
        <v>58</v>
      </c>
      <c r="E1997" t="s">
        <v>10</v>
      </c>
      <c r="F1997" t="s">
        <v>158</v>
      </c>
      <c r="G1997" t="s">
        <v>159</v>
      </c>
      <c r="H1997" t="str">
        <f t="shared" si="125"/>
        <v>Brasília - DF</v>
      </c>
      <c r="I1997" s="1" t="s">
        <v>19</v>
      </c>
      <c r="J1997" s="3">
        <v>70</v>
      </c>
      <c r="K1997" s="4">
        <f t="shared" si="126"/>
        <v>22.343515592581952</v>
      </c>
      <c r="L1997" s="1" t="str">
        <f t="shared" si="127"/>
        <v>Peso ideal - parabéns</v>
      </c>
      <c r="M1997" t="s">
        <v>95</v>
      </c>
    </row>
    <row r="1998" spans="1:13" x14ac:dyDescent="0.25">
      <c r="A1998">
        <v>1997</v>
      </c>
      <c r="B1998" t="s">
        <v>577</v>
      </c>
      <c r="C1998" s="2" t="s">
        <v>578</v>
      </c>
      <c r="D1998" s="2">
        <f t="shared" ca="1" si="124"/>
        <v>41</v>
      </c>
      <c r="E1998" t="s">
        <v>10</v>
      </c>
      <c r="F1998" t="s">
        <v>579</v>
      </c>
      <c r="G1998" t="s">
        <v>103</v>
      </c>
      <c r="H1998" t="str">
        <f t="shared" si="125"/>
        <v>Guarujá - SP</v>
      </c>
      <c r="I1998" s="1" t="s">
        <v>94</v>
      </c>
      <c r="J1998" s="3">
        <v>83</v>
      </c>
      <c r="K1998" s="4">
        <f t="shared" si="126"/>
        <v>27.732299776136855</v>
      </c>
      <c r="L1998" s="1" t="str">
        <f t="shared" si="127"/>
        <v>Levemente acima do peso</v>
      </c>
      <c r="M1998" t="s">
        <v>47</v>
      </c>
    </row>
    <row r="1999" spans="1:13" x14ac:dyDescent="0.25">
      <c r="A1999">
        <v>1998</v>
      </c>
      <c r="B1999" t="s">
        <v>3585</v>
      </c>
      <c r="C1999" s="2" t="s">
        <v>3586</v>
      </c>
      <c r="D1999" s="2">
        <f t="shared" ca="1" si="124"/>
        <v>54</v>
      </c>
      <c r="E1999" t="s">
        <v>10</v>
      </c>
      <c r="F1999" t="s">
        <v>138</v>
      </c>
      <c r="G1999" t="s">
        <v>46</v>
      </c>
      <c r="H1999" t="str">
        <f t="shared" si="125"/>
        <v>Aparecida de Goiânia - GO</v>
      </c>
      <c r="I1999" s="1" t="s">
        <v>318</v>
      </c>
      <c r="J1999" s="3">
        <v>73</v>
      </c>
      <c r="K1999" s="4">
        <f t="shared" si="126"/>
        <v>19.802517361111111</v>
      </c>
      <c r="L1999" s="1" t="str">
        <f t="shared" si="127"/>
        <v>Peso ideal - parabéns</v>
      </c>
      <c r="M1999" t="s">
        <v>20</v>
      </c>
    </row>
    <row r="2000" spans="1:13" x14ac:dyDescent="0.25">
      <c r="A2000">
        <v>1999</v>
      </c>
      <c r="B2000" t="s">
        <v>276</v>
      </c>
      <c r="C2000" s="2" t="s">
        <v>277</v>
      </c>
      <c r="D2000" s="2">
        <f t="shared" ca="1" si="124"/>
        <v>65</v>
      </c>
      <c r="E2000" t="s">
        <v>10</v>
      </c>
      <c r="F2000" t="s">
        <v>182</v>
      </c>
      <c r="G2000" t="s">
        <v>55</v>
      </c>
      <c r="H2000" t="str">
        <f t="shared" si="125"/>
        <v>Curitiba - PR</v>
      </c>
      <c r="I2000" s="1" t="s">
        <v>132</v>
      </c>
      <c r="J2000" s="3">
        <v>54</v>
      </c>
      <c r="K2000" s="4">
        <f t="shared" si="126"/>
        <v>15.442248848980523</v>
      </c>
      <c r="L2000" s="1" t="str">
        <f t="shared" si="127"/>
        <v>Muito abaixo do peso</v>
      </c>
      <c r="M2000" t="s">
        <v>83</v>
      </c>
    </row>
    <row r="2001" spans="1:13" x14ac:dyDescent="0.25">
      <c r="A2001">
        <v>2000</v>
      </c>
      <c r="B2001" t="s">
        <v>2870</v>
      </c>
      <c r="C2001" s="2" t="s">
        <v>2871</v>
      </c>
      <c r="D2001" s="2">
        <f t="shared" ca="1" si="124"/>
        <v>53</v>
      </c>
      <c r="E2001" t="s">
        <v>10</v>
      </c>
      <c r="F2001" t="s">
        <v>656</v>
      </c>
      <c r="G2001" t="s">
        <v>237</v>
      </c>
      <c r="H2001" t="str">
        <f t="shared" si="125"/>
        <v>Picos - PI</v>
      </c>
      <c r="I2001" s="1" t="s">
        <v>416</v>
      </c>
      <c r="J2001" s="3">
        <v>89</v>
      </c>
      <c r="K2001" s="4">
        <f t="shared" si="126"/>
        <v>34.335095096639783</v>
      </c>
      <c r="L2001" s="1" t="str">
        <f t="shared" si="127"/>
        <v>Obesidade grau I</v>
      </c>
      <c r="M2001" t="s">
        <v>32</v>
      </c>
    </row>
    <row r="2002" spans="1:13" x14ac:dyDescent="0.25">
      <c r="A2002">
        <v>2001</v>
      </c>
      <c r="B2002" t="s">
        <v>100</v>
      </c>
      <c r="C2002" s="2" t="s">
        <v>101</v>
      </c>
      <c r="D2002" s="2">
        <f t="shared" ca="1" si="124"/>
        <v>48</v>
      </c>
      <c r="E2002" t="s">
        <v>10</v>
      </c>
      <c r="F2002" t="s">
        <v>102</v>
      </c>
      <c r="G2002" t="s">
        <v>103</v>
      </c>
      <c r="H2002" t="str">
        <f t="shared" si="125"/>
        <v>Mauá - SP</v>
      </c>
      <c r="I2002" s="1" t="s">
        <v>104</v>
      </c>
      <c r="J2002" s="3">
        <v>81</v>
      </c>
      <c r="K2002" s="4">
        <f t="shared" si="126"/>
        <v>28.027681660899656</v>
      </c>
      <c r="L2002" s="1" t="str">
        <f t="shared" si="127"/>
        <v>Levemente acima do peso</v>
      </c>
      <c r="M2002" t="s">
        <v>76</v>
      </c>
    </row>
    <row r="2003" spans="1:13" x14ac:dyDescent="0.25">
      <c r="A2003">
        <v>2002</v>
      </c>
      <c r="B2003" t="s">
        <v>3722</v>
      </c>
      <c r="C2003" s="2" t="s">
        <v>3723</v>
      </c>
      <c r="D2003" s="2">
        <f t="shared" ca="1" si="124"/>
        <v>28</v>
      </c>
      <c r="E2003" t="s">
        <v>10</v>
      </c>
      <c r="F2003" t="s">
        <v>784</v>
      </c>
      <c r="G2003" t="s">
        <v>273</v>
      </c>
      <c r="H2003" t="str">
        <f t="shared" si="125"/>
        <v>Vila Velha - ES</v>
      </c>
      <c r="I2003" s="1" t="s">
        <v>104</v>
      </c>
      <c r="J2003" s="3">
        <v>72</v>
      </c>
      <c r="K2003" s="4">
        <f t="shared" si="126"/>
        <v>24.913494809688583</v>
      </c>
      <c r="L2003" s="1" t="str">
        <f t="shared" si="127"/>
        <v>Peso ideal - parabéns</v>
      </c>
      <c r="M2003" t="s">
        <v>20</v>
      </c>
    </row>
    <row r="2004" spans="1:13" x14ac:dyDescent="0.25">
      <c r="A2004">
        <v>2003</v>
      </c>
      <c r="B2004" t="s">
        <v>2741</v>
      </c>
      <c r="C2004" s="2" t="s">
        <v>2742</v>
      </c>
      <c r="D2004" s="2">
        <f t="shared" ca="1" si="124"/>
        <v>30</v>
      </c>
      <c r="E2004" t="s">
        <v>10</v>
      </c>
      <c r="F2004" t="s">
        <v>760</v>
      </c>
      <c r="G2004" t="s">
        <v>310</v>
      </c>
      <c r="H2004" t="str">
        <f t="shared" si="125"/>
        <v>São Leopoldo - RS</v>
      </c>
      <c r="I2004" s="1" t="s">
        <v>639</v>
      </c>
      <c r="J2004" s="3">
        <v>92</v>
      </c>
      <c r="K2004" s="4">
        <f t="shared" si="126"/>
        <v>23</v>
      </c>
      <c r="L2004" s="1" t="str">
        <f t="shared" si="127"/>
        <v>Peso ideal - parabéns</v>
      </c>
      <c r="M2004" t="s">
        <v>26</v>
      </c>
    </row>
    <row r="2005" spans="1:13" x14ac:dyDescent="0.25">
      <c r="A2005">
        <v>2004</v>
      </c>
      <c r="B2005" t="s">
        <v>1260</v>
      </c>
      <c r="C2005" s="2" t="s">
        <v>1261</v>
      </c>
      <c r="D2005" s="2">
        <f t="shared" ca="1" si="124"/>
        <v>68</v>
      </c>
      <c r="E2005" t="s">
        <v>10</v>
      </c>
      <c r="F2005" t="s">
        <v>733</v>
      </c>
      <c r="G2005" t="s">
        <v>310</v>
      </c>
      <c r="H2005" t="str">
        <f t="shared" si="125"/>
        <v>Porto Alegre - RS</v>
      </c>
      <c r="I2005" s="1" t="s">
        <v>281</v>
      </c>
      <c r="J2005" s="3">
        <v>98</v>
      </c>
      <c r="K2005" s="4">
        <f t="shared" si="126"/>
        <v>37.341868617588773</v>
      </c>
      <c r="L2005" s="1" t="str">
        <f t="shared" si="127"/>
        <v>Obesidade grau II - severa</v>
      </c>
      <c r="M2005" t="s">
        <v>83</v>
      </c>
    </row>
    <row r="2006" spans="1:13" x14ac:dyDescent="0.25">
      <c r="A2006">
        <v>2005</v>
      </c>
      <c r="B2006" t="s">
        <v>3117</v>
      </c>
      <c r="C2006" s="2" t="s">
        <v>3118</v>
      </c>
      <c r="D2006" s="2">
        <f t="shared" ca="1" si="124"/>
        <v>73</v>
      </c>
      <c r="E2006" t="s">
        <v>10</v>
      </c>
      <c r="F2006" t="s">
        <v>2981</v>
      </c>
      <c r="G2006" t="s">
        <v>103</v>
      </c>
      <c r="H2006" t="str">
        <f t="shared" si="125"/>
        <v>Marília - SP</v>
      </c>
      <c r="I2006" s="1" t="s">
        <v>61</v>
      </c>
      <c r="J2006" s="3">
        <v>61</v>
      </c>
      <c r="K2006" s="4">
        <f t="shared" si="126"/>
        <v>17.076789563562052</v>
      </c>
      <c r="L2006" s="1" t="str">
        <f t="shared" si="127"/>
        <v>Abaixo do peso</v>
      </c>
      <c r="M2006" t="s">
        <v>20</v>
      </c>
    </row>
    <row r="2007" spans="1:13" x14ac:dyDescent="0.25">
      <c r="A2007">
        <v>2006</v>
      </c>
      <c r="B2007" t="s">
        <v>3292</v>
      </c>
      <c r="C2007" s="2" t="s">
        <v>3293</v>
      </c>
      <c r="D2007" s="2">
        <f t="shared" ca="1" si="124"/>
        <v>44</v>
      </c>
      <c r="E2007" t="s">
        <v>10</v>
      </c>
      <c r="F2007" t="s">
        <v>1612</v>
      </c>
      <c r="G2007" t="s">
        <v>175</v>
      </c>
      <c r="H2007" t="str">
        <f t="shared" si="125"/>
        <v>Petrolina - PE</v>
      </c>
      <c r="I2007" s="1" t="s">
        <v>148</v>
      </c>
      <c r="J2007" s="3">
        <v>82</v>
      </c>
      <c r="K2007" s="4">
        <f t="shared" si="126"/>
        <v>21.56476002629849</v>
      </c>
      <c r="L2007" s="1" t="str">
        <f t="shared" si="127"/>
        <v>Peso ideal - parabéns</v>
      </c>
      <c r="M2007" t="s">
        <v>83</v>
      </c>
    </row>
    <row r="2008" spans="1:13" x14ac:dyDescent="0.25">
      <c r="A2008">
        <v>2007</v>
      </c>
      <c r="B2008" t="s">
        <v>1129</v>
      </c>
      <c r="C2008" s="2" t="s">
        <v>1130</v>
      </c>
      <c r="D2008" s="2">
        <f t="shared" ca="1" si="124"/>
        <v>56</v>
      </c>
      <c r="E2008" t="s">
        <v>10</v>
      </c>
      <c r="F2008" t="s">
        <v>1131</v>
      </c>
      <c r="G2008" t="s">
        <v>103</v>
      </c>
      <c r="H2008" t="str">
        <f t="shared" si="125"/>
        <v>São Bernardo do Campo - SP</v>
      </c>
      <c r="I2008" s="1" t="s">
        <v>318</v>
      </c>
      <c r="J2008" s="3">
        <v>52</v>
      </c>
      <c r="K2008" s="4">
        <f t="shared" si="126"/>
        <v>14.105902777777779</v>
      </c>
      <c r="L2008" s="1" t="str">
        <f t="shared" si="127"/>
        <v>Muito abaixo do peso</v>
      </c>
      <c r="M2008" t="s">
        <v>76</v>
      </c>
    </row>
    <row r="2009" spans="1:13" x14ac:dyDescent="0.25">
      <c r="A2009">
        <v>2008</v>
      </c>
      <c r="B2009" t="s">
        <v>2987</v>
      </c>
      <c r="C2009" s="2" t="s">
        <v>2988</v>
      </c>
      <c r="D2009" s="2">
        <f t="shared" ca="1" si="124"/>
        <v>51</v>
      </c>
      <c r="E2009" t="s">
        <v>10</v>
      </c>
      <c r="F2009" t="s">
        <v>169</v>
      </c>
      <c r="G2009" t="s">
        <v>170</v>
      </c>
      <c r="H2009" t="str">
        <f t="shared" si="125"/>
        <v>Maceió - AL</v>
      </c>
      <c r="I2009" s="1" t="s">
        <v>166</v>
      </c>
      <c r="J2009" s="3">
        <v>62</v>
      </c>
      <c r="K2009" s="4">
        <f t="shared" si="126"/>
        <v>21.9671201814059</v>
      </c>
      <c r="L2009" s="1" t="str">
        <f t="shared" si="127"/>
        <v>Peso ideal - parabéns</v>
      </c>
      <c r="M2009" t="s">
        <v>14</v>
      </c>
    </row>
    <row r="2010" spans="1:13" x14ac:dyDescent="0.25">
      <c r="A2010">
        <v>2009</v>
      </c>
      <c r="B2010" t="s">
        <v>413</v>
      </c>
      <c r="C2010" s="2" t="s">
        <v>414</v>
      </c>
      <c r="D2010" s="2">
        <f t="shared" ca="1" si="124"/>
        <v>56</v>
      </c>
      <c r="E2010" t="s">
        <v>10</v>
      </c>
      <c r="F2010" t="s">
        <v>415</v>
      </c>
      <c r="G2010" t="s">
        <v>310</v>
      </c>
      <c r="H2010" t="str">
        <f t="shared" si="125"/>
        <v>Sapucaia do Sul - RS</v>
      </c>
      <c r="I2010" s="1" t="s">
        <v>416</v>
      </c>
      <c r="J2010" s="3">
        <v>104</v>
      </c>
      <c r="K2010" s="4">
        <f t="shared" si="126"/>
        <v>40.121908876972334</v>
      </c>
      <c r="L2010" s="1" t="str">
        <f t="shared" si="127"/>
        <v>Obesidade grau III - mórbida</v>
      </c>
      <c r="M2010" t="s">
        <v>95</v>
      </c>
    </row>
    <row r="2011" spans="1:13" x14ac:dyDescent="0.25">
      <c r="A2011">
        <v>2010</v>
      </c>
      <c r="B2011" t="s">
        <v>1136</v>
      </c>
      <c r="C2011" s="2" t="s">
        <v>1137</v>
      </c>
      <c r="D2011" s="2">
        <f t="shared" ca="1" si="124"/>
        <v>24</v>
      </c>
      <c r="E2011" t="s">
        <v>10</v>
      </c>
      <c r="F2011" t="s">
        <v>204</v>
      </c>
      <c r="G2011" t="s">
        <v>112</v>
      </c>
      <c r="H2011" t="str">
        <f t="shared" si="125"/>
        <v>Belém - PA</v>
      </c>
      <c r="I2011" s="1" t="s">
        <v>226</v>
      </c>
      <c r="J2011" s="3">
        <v>60</v>
      </c>
      <c r="K2011" s="4">
        <f t="shared" si="126"/>
        <v>15.304560759106215</v>
      </c>
      <c r="L2011" s="1" t="str">
        <f t="shared" si="127"/>
        <v>Muito abaixo do peso</v>
      </c>
      <c r="M2011" t="s">
        <v>26</v>
      </c>
    </row>
    <row r="2012" spans="1:13" x14ac:dyDescent="0.25">
      <c r="A2012">
        <v>2011</v>
      </c>
      <c r="B2012" t="s">
        <v>2832</v>
      </c>
      <c r="C2012" s="2" t="s">
        <v>2833</v>
      </c>
      <c r="D2012" s="2">
        <f t="shared" ca="1" si="124"/>
        <v>41</v>
      </c>
      <c r="E2012" t="s">
        <v>10</v>
      </c>
      <c r="F2012" t="s">
        <v>69</v>
      </c>
      <c r="G2012" t="s">
        <v>70</v>
      </c>
      <c r="H2012" t="str">
        <f t="shared" si="125"/>
        <v>Aracaju - SE</v>
      </c>
      <c r="I2012" s="1" t="s">
        <v>19</v>
      </c>
      <c r="J2012" s="3">
        <v>62</v>
      </c>
      <c r="K2012" s="4">
        <f t="shared" si="126"/>
        <v>19.789970953429727</v>
      </c>
      <c r="L2012" s="1" t="str">
        <f t="shared" si="127"/>
        <v>Peso ideal - parabéns</v>
      </c>
      <c r="M2012" t="s">
        <v>26</v>
      </c>
    </row>
    <row r="2013" spans="1:13" x14ac:dyDescent="0.25">
      <c r="A2013">
        <v>2012</v>
      </c>
      <c r="B2013" t="s">
        <v>605</v>
      </c>
      <c r="C2013" s="2" t="s">
        <v>606</v>
      </c>
      <c r="D2013" s="2">
        <f t="shared" ca="1" si="124"/>
        <v>32</v>
      </c>
      <c r="E2013" t="s">
        <v>10</v>
      </c>
      <c r="F2013" t="s">
        <v>607</v>
      </c>
      <c r="G2013" t="s">
        <v>103</v>
      </c>
      <c r="H2013" t="str">
        <f t="shared" si="125"/>
        <v>Itu - SP</v>
      </c>
      <c r="I2013" s="1" t="s">
        <v>160</v>
      </c>
      <c r="J2013" s="3">
        <v>78</v>
      </c>
      <c r="K2013" s="4">
        <f t="shared" si="126"/>
        <v>23.038752362948959</v>
      </c>
      <c r="L2013" s="1" t="str">
        <f t="shared" si="127"/>
        <v>Peso ideal - parabéns</v>
      </c>
      <c r="M2013" t="s">
        <v>95</v>
      </c>
    </row>
    <row r="2014" spans="1:13" x14ac:dyDescent="0.25">
      <c r="A2014">
        <v>2013</v>
      </c>
      <c r="B2014" t="s">
        <v>571</v>
      </c>
      <c r="C2014" s="2" t="s">
        <v>572</v>
      </c>
      <c r="D2014" s="2">
        <f t="shared" ca="1" si="124"/>
        <v>60</v>
      </c>
      <c r="E2014" t="s">
        <v>10</v>
      </c>
      <c r="F2014" t="s">
        <v>244</v>
      </c>
      <c r="G2014" t="s">
        <v>60</v>
      </c>
      <c r="H2014" t="str">
        <f t="shared" si="125"/>
        <v>Araguaína - TO</v>
      </c>
      <c r="I2014" s="1" t="s">
        <v>148</v>
      </c>
      <c r="J2014" s="3">
        <v>110</v>
      </c>
      <c r="K2014" s="4">
        <f t="shared" si="126"/>
        <v>28.928336620644316</v>
      </c>
      <c r="L2014" s="1" t="str">
        <f t="shared" si="127"/>
        <v>Levemente acima do peso</v>
      </c>
      <c r="M2014" t="s">
        <v>32</v>
      </c>
    </row>
    <row r="2015" spans="1:13" x14ac:dyDescent="0.25">
      <c r="A2015">
        <v>2014</v>
      </c>
      <c r="B2015" t="s">
        <v>675</v>
      </c>
      <c r="C2015" s="2" t="s">
        <v>676</v>
      </c>
      <c r="D2015" s="2">
        <f t="shared" ca="1" si="124"/>
        <v>32</v>
      </c>
      <c r="E2015" t="s">
        <v>10</v>
      </c>
      <c r="F2015" t="s">
        <v>241</v>
      </c>
      <c r="G2015" t="s">
        <v>190</v>
      </c>
      <c r="H2015" t="str">
        <f t="shared" si="125"/>
        <v>Várzea Grande - MT</v>
      </c>
      <c r="I2015" s="1" t="s">
        <v>86</v>
      </c>
      <c r="J2015" s="3">
        <v>94</v>
      </c>
      <c r="K2015" s="4">
        <f t="shared" si="126"/>
        <v>28.692652849424622</v>
      </c>
      <c r="L2015" s="1" t="str">
        <f t="shared" si="127"/>
        <v>Levemente acima do peso</v>
      </c>
      <c r="M2015" t="s">
        <v>83</v>
      </c>
    </row>
    <row r="2016" spans="1:13" x14ac:dyDescent="0.25">
      <c r="A2016">
        <v>2015</v>
      </c>
      <c r="B2016" t="s">
        <v>2518</v>
      </c>
      <c r="C2016" s="2" t="s">
        <v>2519</v>
      </c>
      <c r="D2016" s="2">
        <f t="shared" ca="1" si="124"/>
        <v>32</v>
      </c>
      <c r="E2016" t="s">
        <v>10</v>
      </c>
      <c r="F2016" t="s">
        <v>17</v>
      </c>
      <c r="G2016" t="s">
        <v>18</v>
      </c>
      <c r="H2016" t="str">
        <f t="shared" si="125"/>
        <v>Campo Grande - MS</v>
      </c>
      <c r="I2016" s="1" t="s">
        <v>694</v>
      </c>
      <c r="J2016" s="3">
        <v>70</v>
      </c>
      <c r="K2016" s="4">
        <f t="shared" si="126"/>
        <v>20.233553011908889</v>
      </c>
      <c r="L2016" s="1" t="str">
        <f t="shared" si="127"/>
        <v>Peso ideal - parabéns</v>
      </c>
      <c r="M2016" t="s">
        <v>47</v>
      </c>
    </row>
    <row r="2017" spans="1:13" x14ac:dyDescent="0.25">
      <c r="A2017">
        <v>2016</v>
      </c>
      <c r="B2017" t="s">
        <v>139</v>
      </c>
      <c r="C2017" s="2" t="s">
        <v>140</v>
      </c>
      <c r="D2017" s="2">
        <f t="shared" ca="1" si="124"/>
        <v>35</v>
      </c>
      <c r="E2017" t="s">
        <v>10</v>
      </c>
      <c r="F2017" t="s">
        <v>141</v>
      </c>
      <c r="G2017" t="s">
        <v>12</v>
      </c>
      <c r="H2017" t="str">
        <f t="shared" si="125"/>
        <v>Iguatu - CE</v>
      </c>
      <c r="I2017" s="1" t="s">
        <v>13</v>
      </c>
      <c r="J2017" s="3">
        <v>85</v>
      </c>
      <c r="K2017" s="4">
        <f t="shared" si="126"/>
        <v>29.068773297766839</v>
      </c>
      <c r="L2017" s="1" t="str">
        <f t="shared" si="127"/>
        <v>Levemente acima do peso</v>
      </c>
      <c r="M2017" t="s">
        <v>83</v>
      </c>
    </row>
    <row r="2018" spans="1:13" x14ac:dyDescent="0.25">
      <c r="A2018">
        <v>2017</v>
      </c>
      <c r="B2018" t="s">
        <v>2462</v>
      </c>
      <c r="C2018" s="2" t="s">
        <v>2463</v>
      </c>
      <c r="D2018" s="2">
        <f t="shared" ca="1" si="124"/>
        <v>43</v>
      </c>
      <c r="E2018" t="s">
        <v>10</v>
      </c>
      <c r="F2018" t="s">
        <v>64</v>
      </c>
      <c r="G2018" t="s">
        <v>65</v>
      </c>
      <c r="H2018" t="str">
        <f t="shared" si="125"/>
        <v>Salvador - BA</v>
      </c>
      <c r="I2018" s="1" t="s">
        <v>148</v>
      </c>
      <c r="J2018" s="3">
        <v>67</v>
      </c>
      <c r="K2018" s="4">
        <f t="shared" si="126"/>
        <v>17.619986850756082</v>
      </c>
      <c r="L2018" s="1" t="str">
        <f t="shared" si="127"/>
        <v>Abaixo do peso</v>
      </c>
      <c r="M2018" t="s">
        <v>26</v>
      </c>
    </row>
    <row r="2019" spans="1:13" x14ac:dyDescent="0.25">
      <c r="A2019">
        <v>2018</v>
      </c>
      <c r="B2019" t="s">
        <v>2298</v>
      </c>
      <c r="C2019" s="2" t="s">
        <v>2299</v>
      </c>
      <c r="D2019" s="2">
        <f t="shared" ca="1" si="124"/>
        <v>82</v>
      </c>
      <c r="E2019" t="s">
        <v>10</v>
      </c>
      <c r="F2019" t="s">
        <v>11</v>
      </c>
      <c r="G2019" t="s">
        <v>12</v>
      </c>
      <c r="H2019" t="str">
        <f t="shared" si="125"/>
        <v>Caucaia - CE</v>
      </c>
      <c r="I2019" s="1" t="s">
        <v>19</v>
      </c>
      <c r="J2019" s="3">
        <v>95</v>
      </c>
      <c r="K2019" s="4">
        <f t="shared" si="126"/>
        <v>30.323342589932647</v>
      </c>
      <c r="L2019" s="1" t="str">
        <f t="shared" si="127"/>
        <v>Obesidade grau I</v>
      </c>
      <c r="M2019" t="s">
        <v>20</v>
      </c>
    </row>
    <row r="2020" spans="1:13" x14ac:dyDescent="0.25">
      <c r="A2020">
        <v>2019</v>
      </c>
      <c r="B2020" t="s">
        <v>4067</v>
      </c>
      <c r="C2020" s="2" t="s">
        <v>4068</v>
      </c>
      <c r="D2020" s="2">
        <f t="shared" ca="1" si="124"/>
        <v>30</v>
      </c>
      <c r="E2020" t="s">
        <v>10</v>
      </c>
      <c r="F2020" t="s">
        <v>158</v>
      </c>
      <c r="G2020" t="s">
        <v>159</v>
      </c>
      <c r="H2020" t="str">
        <f t="shared" si="125"/>
        <v>Brasília - DF</v>
      </c>
      <c r="I2020" s="1" t="s">
        <v>160</v>
      </c>
      <c r="J2020" s="3">
        <v>100</v>
      </c>
      <c r="K2020" s="4">
        <f t="shared" si="126"/>
        <v>29.536862003780715</v>
      </c>
      <c r="L2020" s="1" t="str">
        <f t="shared" si="127"/>
        <v>Levemente acima do peso</v>
      </c>
      <c r="M2020" t="s">
        <v>95</v>
      </c>
    </row>
    <row r="2021" spans="1:13" x14ac:dyDescent="0.25">
      <c r="A2021">
        <v>2020</v>
      </c>
      <c r="B2021" t="s">
        <v>1559</v>
      </c>
      <c r="C2021" s="2" t="s">
        <v>1560</v>
      </c>
      <c r="D2021" s="2">
        <f t="shared" ca="1" si="124"/>
        <v>77</v>
      </c>
      <c r="E2021" t="s">
        <v>10</v>
      </c>
      <c r="F2021" t="s">
        <v>1342</v>
      </c>
      <c r="G2021" t="s">
        <v>273</v>
      </c>
      <c r="H2021" t="str">
        <f t="shared" si="125"/>
        <v>Colatina - ES</v>
      </c>
      <c r="I2021" s="1" t="s">
        <v>117</v>
      </c>
      <c r="J2021" s="3">
        <v>59</v>
      </c>
      <c r="K2021" s="4">
        <f t="shared" si="126"/>
        <v>18.621386188612547</v>
      </c>
      <c r="L2021" s="1" t="str">
        <f t="shared" si="127"/>
        <v>Peso ideal - parabéns</v>
      </c>
      <c r="M2021" t="s">
        <v>47</v>
      </c>
    </row>
    <row r="2022" spans="1:13" x14ac:dyDescent="0.25">
      <c r="A2022">
        <v>2021</v>
      </c>
      <c r="B2022" t="s">
        <v>1791</v>
      </c>
      <c r="C2022" s="2" t="s">
        <v>1792</v>
      </c>
      <c r="D2022" s="2">
        <f t="shared" ca="1" si="124"/>
        <v>28</v>
      </c>
      <c r="E2022" t="s">
        <v>10</v>
      </c>
      <c r="F2022" t="s">
        <v>169</v>
      </c>
      <c r="G2022" t="s">
        <v>170</v>
      </c>
      <c r="H2022" t="str">
        <f t="shared" si="125"/>
        <v>Maceió - AL</v>
      </c>
      <c r="I2022" s="1" t="s">
        <v>155</v>
      </c>
      <c r="J2022" s="3">
        <v>107</v>
      </c>
      <c r="K2022" s="4">
        <f t="shared" si="126"/>
        <v>32.302861973191639</v>
      </c>
      <c r="L2022" s="1" t="str">
        <f t="shared" si="127"/>
        <v>Obesidade grau I</v>
      </c>
      <c r="M2022" t="s">
        <v>83</v>
      </c>
    </row>
    <row r="2023" spans="1:13" x14ac:dyDescent="0.25">
      <c r="A2023">
        <v>2022</v>
      </c>
      <c r="B2023" t="s">
        <v>2155</v>
      </c>
      <c r="C2023" s="2" t="s">
        <v>2156</v>
      </c>
      <c r="D2023" s="2">
        <f t="shared" ca="1" si="124"/>
        <v>45</v>
      </c>
      <c r="E2023" t="s">
        <v>10</v>
      </c>
      <c r="F2023" t="s">
        <v>297</v>
      </c>
      <c r="G2023" t="s">
        <v>310</v>
      </c>
      <c r="H2023" t="str">
        <f t="shared" si="125"/>
        <v>Santa Maria - RS</v>
      </c>
      <c r="I2023" s="1" t="s">
        <v>86</v>
      </c>
      <c r="J2023" s="3">
        <v>108</v>
      </c>
      <c r="K2023" s="4">
        <f t="shared" si="126"/>
        <v>32.966026678062327</v>
      </c>
      <c r="L2023" s="1" t="str">
        <f t="shared" si="127"/>
        <v>Obesidade grau I</v>
      </c>
      <c r="M2023" t="s">
        <v>32</v>
      </c>
    </row>
    <row r="2024" spans="1:13" x14ac:dyDescent="0.25">
      <c r="A2024">
        <v>2023</v>
      </c>
      <c r="B2024" t="s">
        <v>583</v>
      </c>
      <c r="C2024" s="2" t="s">
        <v>584</v>
      </c>
      <c r="D2024" s="2">
        <f t="shared" ca="1" si="124"/>
        <v>53</v>
      </c>
      <c r="E2024" t="s">
        <v>10</v>
      </c>
      <c r="F2024" t="s">
        <v>585</v>
      </c>
      <c r="G2024" t="s">
        <v>103</v>
      </c>
      <c r="H2024" t="str">
        <f t="shared" si="125"/>
        <v>Paulínia - SP</v>
      </c>
      <c r="I2024" s="1" t="s">
        <v>286</v>
      </c>
      <c r="J2024" s="3">
        <v>51</v>
      </c>
      <c r="K2024" s="4">
        <f t="shared" si="126"/>
        <v>18.732782369146008</v>
      </c>
      <c r="L2024" s="1" t="str">
        <f t="shared" si="127"/>
        <v>Peso ideal - parabéns</v>
      </c>
      <c r="M2024" t="s">
        <v>32</v>
      </c>
    </row>
    <row r="2025" spans="1:13" x14ac:dyDescent="0.25">
      <c r="A2025">
        <v>2024</v>
      </c>
      <c r="B2025" t="s">
        <v>2858</v>
      </c>
      <c r="C2025" s="2" t="s">
        <v>2859</v>
      </c>
      <c r="D2025" s="2">
        <f t="shared" ca="1" si="124"/>
        <v>22</v>
      </c>
      <c r="E2025" t="s">
        <v>10</v>
      </c>
      <c r="F2025" t="s">
        <v>35</v>
      </c>
      <c r="G2025" t="s">
        <v>36</v>
      </c>
      <c r="H2025" t="str">
        <f t="shared" si="125"/>
        <v>Timon - MA</v>
      </c>
      <c r="I2025" s="1" t="s">
        <v>37</v>
      </c>
      <c r="J2025" s="3">
        <v>99</v>
      </c>
      <c r="K2025" s="4">
        <f t="shared" si="126"/>
        <v>25.509546754618775</v>
      </c>
      <c r="L2025" s="1" t="str">
        <f t="shared" si="127"/>
        <v>Levemente acima do peso</v>
      </c>
      <c r="M2025" t="s">
        <v>83</v>
      </c>
    </row>
    <row r="2026" spans="1:13" x14ac:dyDescent="0.25">
      <c r="A2026">
        <v>2025</v>
      </c>
      <c r="B2026" t="s">
        <v>105</v>
      </c>
      <c r="C2026" s="2" t="s">
        <v>106</v>
      </c>
      <c r="D2026" s="2">
        <f t="shared" ca="1" si="124"/>
        <v>26</v>
      </c>
      <c r="E2026" t="s">
        <v>10</v>
      </c>
      <c r="F2026" t="s">
        <v>107</v>
      </c>
      <c r="G2026" t="s">
        <v>36</v>
      </c>
      <c r="H2026" t="str">
        <f t="shared" si="125"/>
        <v>São Luís - MA</v>
      </c>
      <c r="I2026" s="1" t="s">
        <v>108</v>
      </c>
      <c r="J2026" s="3">
        <v>74</v>
      </c>
      <c r="K2026" s="4">
        <f t="shared" si="126"/>
        <v>20.284531674022094</v>
      </c>
      <c r="L2026" s="1" t="str">
        <f t="shared" si="127"/>
        <v>Peso ideal - parabéns</v>
      </c>
      <c r="M2026" t="s">
        <v>95</v>
      </c>
    </row>
    <row r="2027" spans="1:13" x14ac:dyDescent="0.25">
      <c r="A2027">
        <v>2026</v>
      </c>
      <c r="B2027" t="s">
        <v>2044</v>
      </c>
      <c r="C2027" s="2" t="s">
        <v>2045</v>
      </c>
      <c r="D2027" s="2">
        <f t="shared" ca="1" si="124"/>
        <v>49</v>
      </c>
      <c r="E2027" t="s">
        <v>10</v>
      </c>
      <c r="F2027" t="s">
        <v>321</v>
      </c>
      <c r="G2027" t="s">
        <v>273</v>
      </c>
      <c r="H2027" t="str">
        <f t="shared" si="125"/>
        <v>Cariacica - ES</v>
      </c>
      <c r="I2027" s="1" t="s">
        <v>71</v>
      </c>
      <c r="J2027" s="3">
        <v>98</v>
      </c>
      <c r="K2027" s="4">
        <f t="shared" si="126"/>
        <v>29.26334020126011</v>
      </c>
      <c r="L2027" s="1" t="str">
        <f t="shared" si="127"/>
        <v>Levemente acima do peso</v>
      </c>
      <c r="M2027" t="s">
        <v>20</v>
      </c>
    </row>
    <row r="2028" spans="1:13" x14ac:dyDescent="0.25">
      <c r="A2028">
        <v>2027</v>
      </c>
      <c r="B2028" t="s">
        <v>3901</v>
      </c>
      <c r="C2028" s="2" t="s">
        <v>3902</v>
      </c>
      <c r="D2028" s="2">
        <f t="shared" ca="1" si="124"/>
        <v>62</v>
      </c>
      <c r="E2028" t="s">
        <v>10</v>
      </c>
      <c r="F2028" t="s">
        <v>1525</v>
      </c>
      <c r="G2028" t="s">
        <v>12</v>
      </c>
      <c r="H2028" t="str">
        <f t="shared" si="125"/>
        <v>Crato - CE</v>
      </c>
      <c r="I2028" s="1" t="s">
        <v>56</v>
      </c>
      <c r="J2028" s="3">
        <v>99</v>
      </c>
      <c r="K2028" s="4">
        <f t="shared" si="126"/>
        <v>34.6626518679318</v>
      </c>
      <c r="L2028" s="1" t="str">
        <f t="shared" si="127"/>
        <v>Obesidade grau I</v>
      </c>
      <c r="M2028" t="s">
        <v>32</v>
      </c>
    </row>
    <row r="2029" spans="1:13" x14ac:dyDescent="0.25">
      <c r="A2029">
        <v>2028</v>
      </c>
      <c r="B2029" t="s">
        <v>1555</v>
      </c>
      <c r="C2029" s="2" t="s">
        <v>1556</v>
      </c>
      <c r="D2029" s="2">
        <f t="shared" ca="1" si="124"/>
        <v>59</v>
      </c>
      <c r="E2029" t="s">
        <v>10</v>
      </c>
      <c r="F2029" t="s">
        <v>291</v>
      </c>
      <c r="G2029" t="s">
        <v>131</v>
      </c>
      <c r="H2029" t="str">
        <f t="shared" si="125"/>
        <v>Blumenau - SC</v>
      </c>
      <c r="I2029" s="1" t="s">
        <v>218</v>
      </c>
      <c r="J2029" s="3">
        <v>90</v>
      </c>
      <c r="K2029" s="4">
        <f t="shared" si="126"/>
        <v>24.161722462347985</v>
      </c>
      <c r="L2029" s="1" t="str">
        <f t="shared" si="127"/>
        <v>Peso ideal - parabéns</v>
      </c>
      <c r="M2029" t="s">
        <v>47</v>
      </c>
    </row>
    <row r="2030" spans="1:13" x14ac:dyDescent="0.25">
      <c r="A2030">
        <v>2029</v>
      </c>
      <c r="B2030" t="s">
        <v>3582</v>
      </c>
      <c r="C2030" s="2" t="s">
        <v>2992</v>
      </c>
      <c r="D2030" s="2">
        <f t="shared" ca="1" si="124"/>
        <v>60</v>
      </c>
      <c r="E2030" t="s">
        <v>10</v>
      </c>
      <c r="F2030" t="s">
        <v>559</v>
      </c>
      <c r="G2030" t="s">
        <v>175</v>
      </c>
      <c r="H2030" t="str">
        <f t="shared" si="125"/>
        <v>Caruaru - PE</v>
      </c>
      <c r="I2030" s="1" t="s">
        <v>132</v>
      </c>
      <c r="J2030" s="3">
        <v>110</v>
      </c>
      <c r="K2030" s="4">
        <f t="shared" si="126"/>
        <v>31.45643284051588</v>
      </c>
      <c r="L2030" s="1" t="str">
        <f t="shared" si="127"/>
        <v>Obesidade grau I</v>
      </c>
      <c r="M2030" t="s">
        <v>32</v>
      </c>
    </row>
    <row r="2031" spans="1:13" x14ac:dyDescent="0.25">
      <c r="A2031">
        <v>2030</v>
      </c>
      <c r="B2031" t="s">
        <v>1317</v>
      </c>
      <c r="C2031" s="2" t="s">
        <v>1318</v>
      </c>
      <c r="D2031" s="2">
        <f t="shared" ca="1" si="124"/>
        <v>65</v>
      </c>
      <c r="E2031" t="s">
        <v>10</v>
      </c>
      <c r="F2031" t="s">
        <v>564</v>
      </c>
      <c r="G2031" t="s">
        <v>565</v>
      </c>
      <c r="H2031" t="str">
        <f t="shared" si="125"/>
        <v>Rio Branco - AC</v>
      </c>
      <c r="I2031" s="1" t="s">
        <v>179</v>
      </c>
      <c r="J2031" s="3">
        <v>101</v>
      </c>
      <c r="K2031" s="4">
        <f t="shared" si="126"/>
        <v>33.359756903157617</v>
      </c>
      <c r="L2031" s="1" t="str">
        <f t="shared" si="127"/>
        <v>Obesidade grau I</v>
      </c>
      <c r="M2031" t="s">
        <v>32</v>
      </c>
    </row>
    <row r="2032" spans="1:13" x14ac:dyDescent="0.25">
      <c r="A2032">
        <v>2031</v>
      </c>
      <c r="B2032" t="s">
        <v>3521</v>
      </c>
      <c r="C2032" s="2" t="s">
        <v>3522</v>
      </c>
      <c r="D2032" s="2">
        <f t="shared" ca="1" si="124"/>
        <v>74</v>
      </c>
      <c r="E2032" t="s">
        <v>10</v>
      </c>
      <c r="F2032" t="s">
        <v>736</v>
      </c>
      <c r="G2032" t="s">
        <v>190</v>
      </c>
      <c r="H2032" t="str">
        <f t="shared" si="125"/>
        <v>Sinop - MT</v>
      </c>
      <c r="I2032" s="1" t="s">
        <v>386</v>
      </c>
      <c r="J2032" s="3">
        <v>88</v>
      </c>
      <c r="K2032" s="4">
        <f t="shared" si="126"/>
        <v>31.934968790825955</v>
      </c>
      <c r="L2032" s="1" t="str">
        <f t="shared" si="127"/>
        <v>Obesidade grau I</v>
      </c>
      <c r="M2032" t="s">
        <v>83</v>
      </c>
    </row>
    <row r="2033" spans="1:13" x14ac:dyDescent="0.25">
      <c r="A2033">
        <v>2032</v>
      </c>
      <c r="B2033" t="s">
        <v>3295</v>
      </c>
      <c r="C2033" s="2" t="s">
        <v>3137</v>
      </c>
      <c r="D2033" s="2">
        <f t="shared" ca="1" si="124"/>
        <v>47</v>
      </c>
      <c r="E2033" t="s">
        <v>10</v>
      </c>
      <c r="F2033" t="s">
        <v>17</v>
      </c>
      <c r="G2033" t="s">
        <v>18</v>
      </c>
      <c r="H2033" t="str">
        <f t="shared" si="125"/>
        <v>Campo Grande - MS</v>
      </c>
      <c r="I2033" s="1" t="s">
        <v>166</v>
      </c>
      <c r="J2033" s="3">
        <v>105</v>
      </c>
      <c r="K2033" s="4">
        <f t="shared" si="126"/>
        <v>37.202380952380956</v>
      </c>
      <c r="L2033" s="1" t="str">
        <f t="shared" si="127"/>
        <v>Obesidade grau II - severa</v>
      </c>
      <c r="M2033" t="s">
        <v>76</v>
      </c>
    </row>
    <row r="2034" spans="1:13" x14ac:dyDescent="0.25">
      <c r="A2034">
        <v>2033</v>
      </c>
      <c r="B2034" t="s">
        <v>3492</v>
      </c>
      <c r="C2034" s="2" t="s">
        <v>3493</v>
      </c>
      <c r="D2034" s="2">
        <f t="shared" ca="1" si="124"/>
        <v>66</v>
      </c>
      <c r="E2034" t="s">
        <v>10</v>
      </c>
      <c r="F2034" t="s">
        <v>69</v>
      </c>
      <c r="G2034" t="s">
        <v>70</v>
      </c>
      <c r="H2034" t="str">
        <f t="shared" si="125"/>
        <v>Aracaju - SE</v>
      </c>
      <c r="I2034" s="1" t="s">
        <v>194</v>
      </c>
      <c r="J2034" s="3">
        <v>102</v>
      </c>
      <c r="K2034" s="4">
        <f t="shared" si="126"/>
        <v>29.802775748721693</v>
      </c>
      <c r="L2034" s="1" t="str">
        <f t="shared" si="127"/>
        <v>Levemente acima do peso</v>
      </c>
      <c r="M2034" t="s">
        <v>76</v>
      </c>
    </row>
    <row r="2035" spans="1:13" x14ac:dyDescent="0.25">
      <c r="A2035">
        <v>2034</v>
      </c>
      <c r="B2035" t="s">
        <v>2281</v>
      </c>
      <c r="C2035" s="2" t="s">
        <v>2282</v>
      </c>
      <c r="D2035" s="2">
        <f t="shared" ca="1" si="124"/>
        <v>47</v>
      </c>
      <c r="E2035" t="s">
        <v>10</v>
      </c>
      <c r="F2035" t="s">
        <v>169</v>
      </c>
      <c r="G2035" t="s">
        <v>170</v>
      </c>
      <c r="H2035" t="str">
        <f t="shared" si="125"/>
        <v>Maceió - AL</v>
      </c>
      <c r="I2035" s="1" t="s">
        <v>262</v>
      </c>
      <c r="J2035" s="3">
        <v>107</v>
      </c>
      <c r="K2035" s="4">
        <f t="shared" si="126"/>
        <v>29.639889196675902</v>
      </c>
      <c r="L2035" s="1" t="str">
        <f t="shared" si="127"/>
        <v>Levemente acima do peso</v>
      </c>
      <c r="M2035" t="s">
        <v>32</v>
      </c>
    </row>
    <row r="2036" spans="1:13" x14ac:dyDescent="0.25">
      <c r="A2036">
        <v>2035</v>
      </c>
      <c r="B2036" t="s">
        <v>1825</v>
      </c>
      <c r="C2036" s="2" t="s">
        <v>1826</v>
      </c>
      <c r="D2036" s="2">
        <f t="shared" ca="1" si="124"/>
        <v>47</v>
      </c>
      <c r="E2036" t="s">
        <v>10</v>
      </c>
      <c r="F2036" t="s">
        <v>733</v>
      </c>
      <c r="G2036" t="s">
        <v>310</v>
      </c>
      <c r="H2036" t="str">
        <f t="shared" si="125"/>
        <v>Porto Alegre - RS</v>
      </c>
      <c r="I2036" s="1" t="s">
        <v>148</v>
      </c>
      <c r="J2036" s="3">
        <v>74</v>
      </c>
      <c r="K2036" s="4">
        <f t="shared" si="126"/>
        <v>19.460880999342539</v>
      </c>
      <c r="L2036" s="1" t="str">
        <f t="shared" si="127"/>
        <v>Peso ideal - parabéns</v>
      </c>
      <c r="M2036" t="s">
        <v>95</v>
      </c>
    </row>
    <row r="2037" spans="1:13" x14ac:dyDescent="0.25">
      <c r="A2037">
        <v>2036</v>
      </c>
      <c r="B2037" t="s">
        <v>1450</v>
      </c>
      <c r="C2037" s="2" t="s">
        <v>1451</v>
      </c>
      <c r="D2037" s="2">
        <f t="shared" ca="1" si="124"/>
        <v>23</v>
      </c>
      <c r="E2037" t="s">
        <v>10</v>
      </c>
      <c r="F2037" t="s">
        <v>45</v>
      </c>
      <c r="G2037" t="s">
        <v>46</v>
      </c>
      <c r="H2037" t="str">
        <f t="shared" si="125"/>
        <v>Goiânia - GO</v>
      </c>
      <c r="I2037" s="1" t="s">
        <v>386</v>
      </c>
      <c r="J2037" s="3">
        <v>53</v>
      </c>
      <c r="K2037" s="4">
        <f t="shared" si="126"/>
        <v>19.233560749020178</v>
      </c>
      <c r="L2037" s="1" t="str">
        <f t="shared" si="127"/>
        <v>Peso ideal - parabéns</v>
      </c>
      <c r="M2037" t="s">
        <v>95</v>
      </c>
    </row>
    <row r="2038" spans="1:13" x14ac:dyDescent="0.25">
      <c r="A2038">
        <v>2037</v>
      </c>
      <c r="B2038" t="s">
        <v>1140</v>
      </c>
      <c r="C2038" s="2" t="s">
        <v>1141</v>
      </c>
      <c r="D2038" s="2">
        <f t="shared" ca="1" si="124"/>
        <v>81</v>
      </c>
      <c r="E2038" t="s">
        <v>10</v>
      </c>
      <c r="F2038" t="s">
        <v>24</v>
      </c>
      <c r="G2038" t="s">
        <v>25</v>
      </c>
      <c r="H2038" t="str">
        <f t="shared" si="125"/>
        <v>Natal - RN</v>
      </c>
      <c r="I2038" s="1" t="s">
        <v>132</v>
      </c>
      <c r="J2038" s="3">
        <v>57</v>
      </c>
      <c r="K2038" s="4">
        <f t="shared" si="126"/>
        <v>16.300151562812776</v>
      </c>
      <c r="L2038" s="1" t="str">
        <f t="shared" si="127"/>
        <v>Muito abaixo do peso</v>
      </c>
      <c r="M2038" t="s">
        <v>26</v>
      </c>
    </row>
    <row r="2039" spans="1:13" x14ac:dyDescent="0.25">
      <c r="A2039">
        <v>2038</v>
      </c>
      <c r="B2039" t="s">
        <v>4083</v>
      </c>
      <c r="C2039" s="2" t="s">
        <v>4084</v>
      </c>
      <c r="D2039" s="2">
        <f t="shared" ca="1" si="124"/>
        <v>31</v>
      </c>
      <c r="E2039" t="s">
        <v>10</v>
      </c>
      <c r="F2039" t="s">
        <v>59</v>
      </c>
      <c r="G2039" t="s">
        <v>60</v>
      </c>
      <c r="H2039" t="str">
        <f t="shared" si="125"/>
        <v>Palmas - TO</v>
      </c>
      <c r="I2039" s="1" t="s">
        <v>447</v>
      </c>
      <c r="J2039" s="3">
        <v>80</v>
      </c>
      <c r="K2039" s="4">
        <f t="shared" si="126"/>
        <v>26.122448979591837</v>
      </c>
      <c r="L2039" s="1" t="str">
        <f t="shared" si="127"/>
        <v>Levemente acima do peso</v>
      </c>
      <c r="M2039" t="s">
        <v>26</v>
      </c>
    </row>
    <row r="2040" spans="1:13" x14ac:dyDescent="0.25">
      <c r="A2040">
        <v>2039</v>
      </c>
      <c r="B2040" t="s">
        <v>2287</v>
      </c>
      <c r="C2040" s="2" t="s">
        <v>2288</v>
      </c>
      <c r="D2040" s="2">
        <f t="shared" ca="1" si="124"/>
        <v>71</v>
      </c>
      <c r="E2040" t="s">
        <v>10</v>
      </c>
      <c r="F2040" t="s">
        <v>757</v>
      </c>
      <c r="G2040" t="s">
        <v>46</v>
      </c>
      <c r="H2040" t="str">
        <f t="shared" si="125"/>
        <v>Catalão - GO</v>
      </c>
      <c r="I2040" s="1" t="s">
        <v>262</v>
      </c>
      <c r="J2040" s="3">
        <v>58</v>
      </c>
      <c r="K2040" s="4">
        <f t="shared" si="126"/>
        <v>16.066481994459835</v>
      </c>
      <c r="L2040" s="1" t="str">
        <f t="shared" si="127"/>
        <v>Muito abaixo do peso</v>
      </c>
      <c r="M2040" t="s">
        <v>47</v>
      </c>
    </row>
    <row r="2041" spans="1:13" x14ac:dyDescent="0.25">
      <c r="A2041">
        <v>2040</v>
      </c>
      <c r="B2041" t="s">
        <v>4096</v>
      </c>
      <c r="C2041" s="2" t="s">
        <v>4097</v>
      </c>
      <c r="D2041" s="2">
        <f t="shared" ca="1" si="124"/>
        <v>64</v>
      </c>
      <c r="E2041" t="s">
        <v>23</v>
      </c>
      <c r="F2041" t="s">
        <v>197</v>
      </c>
      <c r="G2041" t="s">
        <v>46</v>
      </c>
      <c r="H2041" t="str">
        <f t="shared" si="125"/>
        <v>Anápolis - GO</v>
      </c>
      <c r="I2041" s="1" t="s">
        <v>191</v>
      </c>
      <c r="J2041" s="3">
        <v>67</v>
      </c>
      <c r="K2041" s="4">
        <f t="shared" si="126"/>
        <v>26.171874999999996</v>
      </c>
      <c r="L2041" s="1" t="str">
        <f t="shared" si="127"/>
        <v>Levemente acima do peso</v>
      </c>
      <c r="M2041" t="s">
        <v>26</v>
      </c>
    </row>
    <row r="2042" spans="1:13" x14ac:dyDescent="0.25">
      <c r="A2042">
        <v>2041</v>
      </c>
      <c r="B2042" t="s">
        <v>1146</v>
      </c>
      <c r="C2042" s="2" t="s">
        <v>1147</v>
      </c>
      <c r="D2042" s="2">
        <f t="shared" ca="1" si="124"/>
        <v>33</v>
      </c>
      <c r="E2042" t="s">
        <v>23</v>
      </c>
      <c r="F2042" t="s">
        <v>354</v>
      </c>
      <c r="G2042" t="s">
        <v>30</v>
      </c>
      <c r="H2042" t="str">
        <f t="shared" si="125"/>
        <v>Porto Velho - RO</v>
      </c>
      <c r="I2042" s="1" t="s">
        <v>194</v>
      </c>
      <c r="J2042" s="3">
        <v>89</v>
      </c>
      <c r="K2042" s="4">
        <f t="shared" si="126"/>
        <v>26.004382761139514</v>
      </c>
      <c r="L2042" s="1" t="str">
        <f t="shared" si="127"/>
        <v>Levemente acima do peso</v>
      </c>
      <c r="M2042" t="s">
        <v>26</v>
      </c>
    </row>
    <row r="2043" spans="1:13" x14ac:dyDescent="0.25">
      <c r="A2043">
        <v>2042</v>
      </c>
      <c r="B2043" t="s">
        <v>2357</v>
      </c>
      <c r="C2043" s="2" t="s">
        <v>2358</v>
      </c>
      <c r="D2043" s="2">
        <f t="shared" ca="1" si="124"/>
        <v>77</v>
      </c>
      <c r="E2043" t="s">
        <v>23</v>
      </c>
      <c r="F2043" t="s">
        <v>2359</v>
      </c>
      <c r="G2043" t="s">
        <v>103</v>
      </c>
      <c r="H2043" t="str">
        <f t="shared" si="125"/>
        <v>Ribeirão Preto - SP</v>
      </c>
      <c r="I2043" s="1" t="s">
        <v>155</v>
      </c>
      <c r="J2043" s="3">
        <v>86</v>
      </c>
      <c r="K2043" s="4">
        <f t="shared" si="126"/>
        <v>25.963047941069917</v>
      </c>
      <c r="L2043" s="1" t="str">
        <f t="shared" si="127"/>
        <v>Levemente acima do peso</v>
      </c>
      <c r="M2043" t="s">
        <v>83</v>
      </c>
    </row>
    <row r="2044" spans="1:13" x14ac:dyDescent="0.25">
      <c r="A2044">
        <v>2043</v>
      </c>
      <c r="B2044" t="s">
        <v>947</v>
      </c>
      <c r="C2044" s="2" t="s">
        <v>948</v>
      </c>
      <c r="D2044" s="2">
        <f t="shared" ca="1" si="124"/>
        <v>48</v>
      </c>
      <c r="E2044" t="s">
        <v>23</v>
      </c>
      <c r="F2044" t="s">
        <v>405</v>
      </c>
      <c r="G2044" t="s">
        <v>170</v>
      </c>
      <c r="H2044" t="str">
        <f t="shared" si="125"/>
        <v>Palmeira dos Índios - AL</v>
      </c>
      <c r="I2044" s="1" t="s">
        <v>123</v>
      </c>
      <c r="J2044" s="3">
        <v>45</v>
      </c>
      <c r="K2044" s="4">
        <f t="shared" si="126"/>
        <v>14.527376033057852</v>
      </c>
      <c r="L2044" s="1" t="str">
        <f t="shared" si="127"/>
        <v>Muito abaixo do peso</v>
      </c>
      <c r="M2044" t="s">
        <v>14</v>
      </c>
    </row>
    <row r="2045" spans="1:13" x14ac:dyDescent="0.25">
      <c r="A2045">
        <v>2044</v>
      </c>
      <c r="B2045" t="s">
        <v>455</v>
      </c>
      <c r="C2045" s="2" t="s">
        <v>456</v>
      </c>
      <c r="D2045" s="2">
        <f t="shared" ca="1" si="124"/>
        <v>60</v>
      </c>
      <c r="E2045" t="s">
        <v>23</v>
      </c>
      <c r="F2045" t="s">
        <v>457</v>
      </c>
      <c r="G2045" t="s">
        <v>41</v>
      </c>
      <c r="H2045" t="str">
        <f t="shared" si="125"/>
        <v>João Pessoa - PB</v>
      </c>
      <c r="I2045" s="1" t="s">
        <v>166</v>
      </c>
      <c r="J2045" s="3">
        <v>59</v>
      </c>
      <c r="K2045" s="4">
        <f t="shared" si="126"/>
        <v>20.904195011337873</v>
      </c>
      <c r="L2045" s="1" t="str">
        <f t="shared" si="127"/>
        <v>Peso ideal - parabéns</v>
      </c>
      <c r="M2045" t="s">
        <v>47</v>
      </c>
    </row>
    <row r="2046" spans="1:13" x14ac:dyDescent="0.25">
      <c r="A2046">
        <v>2045</v>
      </c>
      <c r="B2046" t="s">
        <v>4140</v>
      </c>
      <c r="C2046" s="2" t="s">
        <v>4141</v>
      </c>
      <c r="D2046" s="2">
        <f t="shared" ca="1" si="124"/>
        <v>76</v>
      </c>
      <c r="E2046" t="s">
        <v>23</v>
      </c>
      <c r="F2046" t="s">
        <v>89</v>
      </c>
      <c r="G2046" t="s">
        <v>12</v>
      </c>
      <c r="H2046" t="str">
        <f t="shared" si="125"/>
        <v>Fortaleza - CE</v>
      </c>
      <c r="I2046" s="1" t="s">
        <v>360</v>
      </c>
      <c r="J2046" s="3">
        <v>84</v>
      </c>
      <c r="K2046" s="4">
        <f t="shared" si="126"/>
        <v>33.648453773433737</v>
      </c>
      <c r="L2046" s="1" t="str">
        <f t="shared" si="127"/>
        <v>Obesidade grau I</v>
      </c>
      <c r="M2046" t="s">
        <v>95</v>
      </c>
    </row>
    <row r="2047" spans="1:13" x14ac:dyDescent="0.25">
      <c r="A2047">
        <v>2046</v>
      </c>
      <c r="B2047" t="s">
        <v>3619</v>
      </c>
      <c r="C2047" s="2" t="s">
        <v>2959</v>
      </c>
      <c r="D2047" s="2">
        <f t="shared" ca="1" si="124"/>
        <v>49</v>
      </c>
      <c r="E2047" t="s">
        <v>23</v>
      </c>
      <c r="F2047" t="s">
        <v>681</v>
      </c>
      <c r="G2047" t="s">
        <v>175</v>
      </c>
      <c r="H2047" t="str">
        <f t="shared" si="125"/>
        <v>Jaboatão dos Guararapes - PE</v>
      </c>
      <c r="I2047" s="1" t="s">
        <v>386</v>
      </c>
      <c r="J2047" s="3">
        <v>77</v>
      </c>
      <c r="K2047" s="4">
        <f t="shared" si="126"/>
        <v>27.94309769197271</v>
      </c>
      <c r="L2047" s="1" t="str">
        <f t="shared" si="127"/>
        <v>Levemente acima do peso</v>
      </c>
      <c r="M2047" t="s">
        <v>20</v>
      </c>
    </row>
    <row r="2048" spans="1:13" x14ac:dyDescent="0.25">
      <c r="A2048">
        <v>2047</v>
      </c>
      <c r="B2048" t="s">
        <v>3503</v>
      </c>
      <c r="C2048" s="2" t="s">
        <v>3504</v>
      </c>
      <c r="D2048" s="2">
        <f t="shared" ca="1" si="124"/>
        <v>64</v>
      </c>
      <c r="E2048" t="s">
        <v>23</v>
      </c>
      <c r="F2048" t="s">
        <v>107</v>
      </c>
      <c r="G2048" t="s">
        <v>36</v>
      </c>
      <c r="H2048" t="str">
        <f t="shared" si="125"/>
        <v>São Luís - MA</v>
      </c>
      <c r="I2048" s="1" t="s">
        <v>386</v>
      </c>
      <c r="J2048" s="3">
        <v>46</v>
      </c>
      <c r="K2048" s="4">
        <f t="shared" si="126"/>
        <v>16.693279140659023</v>
      </c>
      <c r="L2048" s="1" t="str">
        <f t="shared" si="127"/>
        <v>Muito abaixo do peso</v>
      </c>
      <c r="M2048" t="s">
        <v>26</v>
      </c>
    </row>
    <row r="2049" spans="1:13" x14ac:dyDescent="0.25">
      <c r="A2049">
        <v>2048</v>
      </c>
      <c r="B2049" t="s">
        <v>2643</v>
      </c>
      <c r="C2049" s="2" t="s">
        <v>2644</v>
      </c>
      <c r="D2049" s="2">
        <f t="shared" ca="1" si="124"/>
        <v>30</v>
      </c>
      <c r="E2049" t="s">
        <v>23</v>
      </c>
      <c r="F2049" t="s">
        <v>1055</v>
      </c>
      <c r="G2049" t="s">
        <v>30</v>
      </c>
      <c r="H2049" t="str">
        <f t="shared" si="125"/>
        <v>Ariquemes - RO</v>
      </c>
      <c r="I2049" s="1" t="s">
        <v>19</v>
      </c>
      <c r="J2049" s="3">
        <v>82</v>
      </c>
      <c r="K2049" s="4">
        <f t="shared" si="126"/>
        <v>26.173832551310287</v>
      </c>
      <c r="L2049" s="1" t="str">
        <f t="shared" si="127"/>
        <v>Levemente acima do peso</v>
      </c>
      <c r="M2049" t="s">
        <v>20</v>
      </c>
    </row>
    <row r="2050" spans="1:13" x14ac:dyDescent="0.25">
      <c r="A2050">
        <v>2049</v>
      </c>
      <c r="B2050" t="s">
        <v>2464</v>
      </c>
      <c r="C2050" s="2" t="s">
        <v>2465</v>
      </c>
      <c r="D2050" s="2">
        <f t="shared" ca="1" si="124"/>
        <v>79</v>
      </c>
      <c r="E2050" t="s">
        <v>10</v>
      </c>
      <c r="F2050" t="s">
        <v>126</v>
      </c>
      <c r="G2050" t="s">
        <v>127</v>
      </c>
      <c r="H2050" t="str">
        <f t="shared" si="125"/>
        <v>Boa Vista - RR</v>
      </c>
      <c r="I2050" s="1" t="s">
        <v>113</v>
      </c>
      <c r="J2050" s="3">
        <v>57</v>
      </c>
      <c r="K2050" s="4">
        <f t="shared" si="126"/>
        <v>21.453573713726524</v>
      </c>
      <c r="L2050" s="1" t="str">
        <f t="shared" si="127"/>
        <v>Peso ideal - parabéns</v>
      </c>
      <c r="M2050" t="s">
        <v>20</v>
      </c>
    </row>
    <row r="2051" spans="1:13" x14ac:dyDescent="0.25">
      <c r="A2051">
        <v>2050</v>
      </c>
      <c r="B2051" t="s">
        <v>2261</v>
      </c>
      <c r="C2051" s="2" t="s">
        <v>2262</v>
      </c>
      <c r="D2051" s="2">
        <f t="shared" ref="D2051:D2071" ca="1" si="128">YEAR(TODAY())-YEAR(C2051)</f>
        <v>20</v>
      </c>
      <c r="E2051" t="s">
        <v>10</v>
      </c>
      <c r="F2051" t="s">
        <v>771</v>
      </c>
      <c r="G2051" t="s">
        <v>46</v>
      </c>
      <c r="H2051" t="str">
        <f t="shared" ref="H2051:H2071" si="129">CONCATENATE(F2051," - ",G2051)</f>
        <v>Cidade Ocidental - GO</v>
      </c>
      <c r="I2051" s="1" t="s">
        <v>13</v>
      </c>
      <c r="J2051" s="3">
        <v>90</v>
      </c>
      <c r="K2051" s="4">
        <f t="shared" ref="K2051:K2071" si="130">J2051/(I2051*I2051)</f>
        <v>30.778701138811947</v>
      </c>
      <c r="L2051" s="1" t="str">
        <f t="shared" ref="L2051:L2071" si="131">IF(K2051&gt;=40,"Obesidade grau III - mórbida",
IF(K2051&gt;=35,"Obesidade grau II - severa",
IF(K2051&gt;=30,"Obesidade grau I",
IF(K2051&gt;=25,"Levemente acima do peso",
IF(K2051&gt;=18.6,"Peso ideal - parabéns",
IF(K2051&gt;=17,"Abaixo do peso",
"Muito abaixo do peso"))))))</f>
        <v>Obesidade grau I</v>
      </c>
      <c r="M2051" t="s">
        <v>32</v>
      </c>
    </row>
    <row r="2052" spans="1:13" x14ac:dyDescent="0.25">
      <c r="A2052">
        <v>2051</v>
      </c>
      <c r="B2052" t="s">
        <v>3987</v>
      </c>
      <c r="C2052" s="2" t="s">
        <v>3988</v>
      </c>
      <c r="D2052" s="2">
        <f t="shared" ca="1" si="128"/>
        <v>67</v>
      </c>
      <c r="E2052" t="s">
        <v>10</v>
      </c>
      <c r="F2052" t="s">
        <v>126</v>
      </c>
      <c r="G2052" t="s">
        <v>127</v>
      </c>
      <c r="H2052" t="str">
        <f t="shared" si="129"/>
        <v>Boa Vista - RR</v>
      </c>
      <c r="I2052" s="1" t="s">
        <v>132</v>
      </c>
      <c r="J2052" s="3">
        <v>61</v>
      </c>
      <c r="K2052" s="4">
        <f t="shared" si="130"/>
        <v>17.444021847922443</v>
      </c>
      <c r="L2052" s="1" t="str">
        <f t="shared" si="131"/>
        <v>Abaixo do peso</v>
      </c>
      <c r="M2052" t="s">
        <v>95</v>
      </c>
    </row>
    <row r="2053" spans="1:13" x14ac:dyDescent="0.25">
      <c r="A2053">
        <v>2052</v>
      </c>
      <c r="B2053" t="s">
        <v>544</v>
      </c>
      <c r="C2053" s="2" t="s">
        <v>545</v>
      </c>
      <c r="D2053" s="2">
        <f t="shared" ca="1" si="128"/>
        <v>51</v>
      </c>
      <c r="E2053" t="s">
        <v>10</v>
      </c>
      <c r="F2053" t="s">
        <v>107</v>
      </c>
      <c r="G2053" t="s">
        <v>36</v>
      </c>
      <c r="H2053" t="str">
        <f t="shared" si="129"/>
        <v>São Luís - MA</v>
      </c>
      <c r="I2053" s="1" t="s">
        <v>255</v>
      </c>
      <c r="J2053" s="3">
        <v>61</v>
      </c>
      <c r="K2053" s="4">
        <f t="shared" si="130"/>
        <v>15.403651422943865</v>
      </c>
      <c r="L2053" s="1" t="str">
        <f t="shared" si="131"/>
        <v>Muito abaixo do peso</v>
      </c>
      <c r="M2053" t="s">
        <v>32</v>
      </c>
    </row>
    <row r="2054" spans="1:13" x14ac:dyDescent="0.25">
      <c r="A2054">
        <v>2053</v>
      </c>
      <c r="B2054" t="s">
        <v>1181</v>
      </c>
      <c r="C2054" s="2" t="s">
        <v>1182</v>
      </c>
      <c r="D2054" s="2">
        <f t="shared" ca="1" si="128"/>
        <v>38</v>
      </c>
      <c r="E2054" t="s">
        <v>10</v>
      </c>
      <c r="F2054" t="s">
        <v>1184</v>
      </c>
      <c r="G2054" t="s">
        <v>273</v>
      </c>
      <c r="H2054" t="str">
        <f t="shared" si="129"/>
        <v>Linhares - ES</v>
      </c>
      <c r="I2054" s="1" t="s">
        <v>56</v>
      </c>
      <c r="J2054" s="3">
        <v>52</v>
      </c>
      <c r="K2054" s="4">
        <f t="shared" si="130"/>
        <v>18.206645425580341</v>
      </c>
      <c r="L2054" s="1" t="str">
        <f t="shared" si="131"/>
        <v>Abaixo do peso</v>
      </c>
      <c r="M2054" t="s">
        <v>32</v>
      </c>
    </row>
    <row r="2055" spans="1:13" x14ac:dyDescent="0.25">
      <c r="A2055">
        <v>2054</v>
      </c>
      <c r="B2055" t="s">
        <v>2195</v>
      </c>
      <c r="C2055" s="2" t="s">
        <v>2196</v>
      </c>
      <c r="D2055" s="2">
        <f t="shared" ca="1" si="128"/>
        <v>27</v>
      </c>
      <c r="E2055" t="s">
        <v>10</v>
      </c>
      <c r="F2055" t="s">
        <v>2197</v>
      </c>
      <c r="G2055" t="s">
        <v>175</v>
      </c>
      <c r="H2055" t="str">
        <f t="shared" si="129"/>
        <v>Arcoverde - PE</v>
      </c>
      <c r="I2055" s="1" t="s">
        <v>90</v>
      </c>
      <c r="J2055" s="3">
        <v>86</v>
      </c>
      <c r="K2055" s="4">
        <f t="shared" si="130"/>
        <v>29.069767441860467</v>
      </c>
      <c r="L2055" s="1" t="str">
        <f t="shared" si="131"/>
        <v>Levemente acima do peso</v>
      </c>
      <c r="M2055" t="s">
        <v>47</v>
      </c>
    </row>
    <row r="2056" spans="1:13" x14ac:dyDescent="0.25">
      <c r="A2056">
        <v>2055</v>
      </c>
      <c r="B2056" t="s">
        <v>4065</v>
      </c>
      <c r="C2056" s="2" t="s">
        <v>4066</v>
      </c>
      <c r="D2056" s="2">
        <f t="shared" ca="1" si="128"/>
        <v>22</v>
      </c>
      <c r="E2056" t="s">
        <v>10</v>
      </c>
      <c r="F2056" t="s">
        <v>313</v>
      </c>
      <c r="G2056" t="s">
        <v>25</v>
      </c>
      <c r="H2056" t="str">
        <f t="shared" si="129"/>
        <v>Parnamirim - RN</v>
      </c>
      <c r="I2056" s="1" t="s">
        <v>160</v>
      </c>
      <c r="J2056" s="3">
        <v>87</v>
      </c>
      <c r="K2056" s="4">
        <f t="shared" si="130"/>
        <v>25.697069943289225</v>
      </c>
      <c r="L2056" s="1" t="str">
        <f t="shared" si="131"/>
        <v>Levemente acima do peso</v>
      </c>
      <c r="M2056" t="s">
        <v>76</v>
      </c>
    </row>
    <row r="2057" spans="1:13" x14ac:dyDescent="0.25">
      <c r="A2057">
        <v>2056</v>
      </c>
      <c r="B2057" t="s">
        <v>1497</v>
      </c>
      <c r="C2057" s="2" t="s">
        <v>1498</v>
      </c>
      <c r="D2057" s="2">
        <f t="shared" ca="1" si="128"/>
        <v>28</v>
      </c>
      <c r="E2057" t="s">
        <v>10</v>
      </c>
      <c r="F2057" t="s">
        <v>236</v>
      </c>
      <c r="G2057" t="s">
        <v>237</v>
      </c>
      <c r="H2057" t="str">
        <f t="shared" si="129"/>
        <v>Teresina - PI</v>
      </c>
      <c r="I2057" s="1" t="s">
        <v>86</v>
      </c>
      <c r="J2057" s="3">
        <v>87</v>
      </c>
      <c r="K2057" s="4">
        <f t="shared" si="130"/>
        <v>26.555965935105768</v>
      </c>
      <c r="L2057" s="1" t="str">
        <f t="shared" si="131"/>
        <v>Levemente acima do peso</v>
      </c>
      <c r="M2057" t="s">
        <v>14</v>
      </c>
    </row>
    <row r="2058" spans="1:13" x14ac:dyDescent="0.25">
      <c r="A2058">
        <v>2057</v>
      </c>
      <c r="B2058" t="s">
        <v>3850</v>
      </c>
      <c r="C2058" s="2" t="s">
        <v>3851</v>
      </c>
      <c r="D2058" s="2">
        <f t="shared" ca="1" si="128"/>
        <v>73</v>
      </c>
      <c r="E2058" t="s">
        <v>10</v>
      </c>
      <c r="F2058" t="s">
        <v>169</v>
      </c>
      <c r="G2058" t="s">
        <v>170</v>
      </c>
      <c r="H2058" t="str">
        <f t="shared" si="129"/>
        <v>Maceió - AL</v>
      </c>
      <c r="I2058" s="1" t="s">
        <v>94</v>
      </c>
      <c r="J2058" s="3">
        <v>89</v>
      </c>
      <c r="K2058" s="4">
        <f t="shared" si="130"/>
        <v>29.737044338267232</v>
      </c>
      <c r="L2058" s="1" t="str">
        <f t="shared" si="131"/>
        <v>Levemente acima do peso</v>
      </c>
      <c r="M2058" t="s">
        <v>14</v>
      </c>
    </row>
    <row r="2059" spans="1:13" x14ac:dyDescent="0.25">
      <c r="A2059">
        <v>2058</v>
      </c>
      <c r="B2059" t="s">
        <v>3972</v>
      </c>
      <c r="C2059" s="2" t="s">
        <v>3973</v>
      </c>
      <c r="D2059" s="2">
        <f t="shared" ca="1" si="128"/>
        <v>78</v>
      </c>
      <c r="E2059" t="s">
        <v>10</v>
      </c>
      <c r="F2059" t="s">
        <v>74</v>
      </c>
      <c r="G2059" t="s">
        <v>75</v>
      </c>
      <c r="H2059" t="str">
        <f t="shared" si="129"/>
        <v>Macapá - AP</v>
      </c>
      <c r="I2059" s="1" t="s">
        <v>226</v>
      </c>
      <c r="J2059" s="3">
        <v>85</v>
      </c>
      <c r="K2059" s="4">
        <f t="shared" si="130"/>
        <v>21.68146107540047</v>
      </c>
      <c r="L2059" s="1" t="str">
        <f t="shared" si="131"/>
        <v>Peso ideal - parabéns</v>
      </c>
      <c r="M2059" t="s">
        <v>20</v>
      </c>
    </row>
    <row r="2060" spans="1:13" x14ac:dyDescent="0.25">
      <c r="A2060">
        <v>2059</v>
      </c>
      <c r="B2060" t="s">
        <v>650</v>
      </c>
      <c r="C2060" s="2" t="s">
        <v>651</v>
      </c>
      <c r="D2060" s="2">
        <f t="shared" ca="1" si="128"/>
        <v>39</v>
      </c>
      <c r="E2060" t="s">
        <v>10</v>
      </c>
      <c r="F2060" t="s">
        <v>564</v>
      </c>
      <c r="G2060" t="s">
        <v>565</v>
      </c>
      <c r="H2060" t="str">
        <f t="shared" si="129"/>
        <v>Rio Branco - AC</v>
      </c>
      <c r="I2060" s="1" t="s">
        <v>281</v>
      </c>
      <c r="J2060" s="3">
        <v>63</v>
      </c>
      <c r="K2060" s="4">
        <f t="shared" si="130"/>
        <v>24.005486968449926</v>
      </c>
      <c r="L2060" s="1" t="str">
        <f t="shared" si="131"/>
        <v>Peso ideal - parabéns</v>
      </c>
      <c r="M2060" t="s">
        <v>76</v>
      </c>
    </row>
    <row r="2061" spans="1:13" x14ac:dyDescent="0.25">
      <c r="A2061">
        <v>2060</v>
      </c>
      <c r="B2061" t="s">
        <v>3142</v>
      </c>
      <c r="C2061" s="2" t="s">
        <v>3143</v>
      </c>
      <c r="D2061" s="2">
        <f t="shared" ca="1" si="128"/>
        <v>40</v>
      </c>
      <c r="E2061" t="s">
        <v>23</v>
      </c>
      <c r="F2061" t="s">
        <v>664</v>
      </c>
      <c r="G2061" t="s">
        <v>103</v>
      </c>
      <c r="H2061" t="str">
        <f t="shared" si="129"/>
        <v>Votorantim - SP</v>
      </c>
      <c r="I2061" s="1" t="s">
        <v>400</v>
      </c>
      <c r="J2061" s="3">
        <v>50</v>
      </c>
      <c r="K2061" s="4">
        <f t="shared" si="130"/>
        <v>15.432098765432098</v>
      </c>
      <c r="L2061" s="1" t="str">
        <f t="shared" si="131"/>
        <v>Muito abaixo do peso</v>
      </c>
      <c r="M2061" t="s">
        <v>14</v>
      </c>
    </row>
    <row r="2062" spans="1:13" x14ac:dyDescent="0.25">
      <c r="A2062">
        <v>2061</v>
      </c>
      <c r="B2062" t="s">
        <v>1062</v>
      </c>
      <c r="C2062" s="2" t="s">
        <v>1063</v>
      </c>
      <c r="D2062" s="2">
        <f t="shared" ca="1" si="128"/>
        <v>29</v>
      </c>
      <c r="E2062" t="s">
        <v>23</v>
      </c>
      <c r="F2062" t="s">
        <v>169</v>
      </c>
      <c r="G2062" t="s">
        <v>170</v>
      </c>
      <c r="H2062" t="str">
        <f t="shared" si="129"/>
        <v>Maceió - AL</v>
      </c>
      <c r="I2062" s="1" t="s">
        <v>166</v>
      </c>
      <c r="J2062" s="3">
        <v>71</v>
      </c>
      <c r="K2062" s="4">
        <f t="shared" si="130"/>
        <v>25.155895691609981</v>
      </c>
      <c r="L2062" s="1" t="str">
        <f t="shared" si="131"/>
        <v>Levemente acima do peso</v>
      </c>
      <c r="M2062" t="s">
        <v>26</v>
      </c>
    </row>
    <row r="2063" spans="1:13" x14ac:dyDescent="0.25">
      <c r="A2063">
        <v>2062</v>
      </c>
      <c r="B2063" t="s">
        <v>1699</v>
      </c>
      <c r="C2063" s="2" t="s">
        <v>1700</v>
      </c>
      <c r="D2063" s="2">
        <f t="shared" ca="1" si="128"/>
        <v>66</v>
      </c>
      <c r="E2063" t="s">
        <v>23</v>
      </c>
      <c r="F2063" t="s">
        <v>197</v>
      </c>
      <c r="G2063" t="s">
        <v>46</v>
      </c>
      <c r="H2063" t="str">
        <f t="shared" si="129"/>
        <v>Anápolis - GO</v>
      </c>
      <c r="I2063" s="1" t="s">
        <v>123</v>
      </c>
      <c r="J2063" s="3">
        <v>90</v>
      </c>
      <c r="K2063" s="4">
        <f t="shared" si="130"/>
        <v>29.054752066115704</v>
      </c>
      <c r="L2063" s="1" t="str">
        <f t="shared" si="131"/>
        <v>Levemente acima do peso</v>
      </c>
      <c r="M2063" t="s">
        <v>26</v>
      </c>
    </row>
    <row r="2064" spans="1:13" x14ac:dyDescent="0.25">
      <c r="A2064">
        <v>2063</v>
      </c>
      <c r="B2064" t="s">
        <v>3486</v>
      </c>
      <c r="C2064" s="2" t="s">
        <v>3487</v>
      </c>
      <c r="D2064" s="2">
        <f t="shared" ca="1" si="128"/>
        <v>42</v>
      </c>
      <c r="E2064" t="s">
        <v>23</v>
      </c>
      <c r="F2064" t="s">
        <v>24</v>
      </c>
      <c r="G2064" t="s">
        <v>25</v>
      </c>
      <c r="H2064" t="str">
        <f t="shared" si="129"/>
        <v>Natal - RN</v>
      </c>
      <c r="I2064" s="1" t="s">
        <v>155</v>
      </c>
      <c r="J2064" s="3">
        <v>77</v>
      </c>
      <c r="K2064" s="4">
        <f t="shared" si="130"/>
        <v>23.245984784446321</v>
      </c>
      <c r="L2064" s="1" t="str">
        <f t="shared" si="131"/>
        <v>Peso ideal - parabéns</v>
      </c>
      <c r="M2064" t="s">
        <v>76</v>
      </c>
    </row>
    <row r="2065" spans="1:13" x14ac:dyDescent="0.25">
      <c r="A2065">
        <v>2064</v>
      </c>
      <c r="B2065" t="s">
        <v>1765</v>
      </c>
      <c r="C2065" s="2" t="s">
        <v>1766</v>
      </c>
      <c r="D2065" s="2">
        <f t="shared" ca="1" si="128"/>
        <v>21</v>
      </c>
      <c r="E2065" t="s">
        <v>23</v>
      </c>
      <c r="F2065" t="s">
        <v>107</v>
      </c>
      <c r="G2065" t="s">
        <v>36</v>
      </c>
      <c r="H2065" t="str">
        <f t="shared" si="129"/>
        <v>São Luís - MA</v>
      </c>
      <c r="I2065" s="1" t="s">
        <v>194</v>
      </c>
      <c r="J2065" s="3">
        <v>66</v>
      </c>
      <c r="K2065" s="4">
        <f t="shared" si="130"/>
        <v>19.284149013878743</v>
      </c>
      <c r="L2065" s="1" t="str">
        <f t="shared" si="131"/>
        <v>Peso ideal - parabéns</v>
      </c>
      <c r="M2065" t="s">
        <v>47</v>
      </c>
    </row>
    <row r="2066" spans="1:13" x14ac:dyDescent="0.25">
      <c r="A2066">
        <v>2065</v>
      </c>
      <c r="B2066" t="s">
        <v>1767</v>
      </c>
      <c r="C2066" s="2" t="s">
        <v>1768</v>
      </c>
      <c r="D2066" s="2">
        <f t="shared" ca="1" si="128"/>
        <v>38</v>
      </c>
      <c r="E2066" t="s">
        <v>23</v>
      </c>
      <c r="F2066" t="s">
        <v>64</v>
      </c>
      <c r="G2066" t="s">
        <v>65</v>
      </c>
      <c r="H2066" t="str">
        <f t="shared" si="129"/>
        <v>Salvador - BA</v>
      </c>
      <c r="I2066" s="1" t="s">
        <v>281</v>
      </c>
      <c r="J2066" s="3">
        <v>90</v>
      </c>
      <c r="K2066" s="4">
        <f t="shared" si="130"/>
        <v>34.293552812071326</v>
      </c>
      <c r="L2066" s="1" t="str">
        <f t="shared" si="131"/>
        <v>Obesidade grau I</v>
      </c>
      <c r="M2066" t="s">
        <v>32</v>
      </c>
    </row>
    <row r="2067" spans="1:13" x14ac:dyDescent="0.25">
      <c r="A2067">
        <v>2066</v>
      </c>
      <c r="B2067" t="s">
        <v>980</v>
      </c>
      <c r="C2067" s="2" t="s">
        <v>981</v>
      </c>
      <c r="D2067" s="2">
        <f t="shared" ca="1" si="128"/>
        <v>44</v>
      </c>
      <c r="E2067" t="s">
        <v>10</v>
      </c>
      <c r="F2067" t="s">
        <v>852</v>
      </c>
      <c r="G2067" t="s">
        <v>186</v>
      </c>
      <c r="H2067" t="str">
        <f t="shared" si="129"/>
        <v>Belo Horizonte - MG</v>
      </c>
      <c r="I2067" s="1" t="s">
        <v>201</v>
      </c>
      <c r="J2067" s="3">
        <v>101</v>
      </c>
      <c r="K2067" s="4">
        <f t="shared" si="130"/>
        <v>26.291128696376511</v>
      </c>
      <c r="L2067" s="1" t="str">
        <f t="shared" si="131"/>
        <v>Levemente acima do peso</v>
      </c>
      <c r="M2067" t="s">
        <v>95</v>
      </c>
    </row>
    <row r="2068" spans="1:13" x14ac:dyDescent="0.25">
      <c r="A2068">
        <v>2067</v>
      </c>
      <c r="B2068" t="s">
        <v>463</v>
      </c>
      <c r="C2068" s="2" t="s">
        <v>464</v>
      </c>
      <c r="D2068" s="2">
        <f t="shared" ca="1" si="128"/>
        <v>76</v>
      </c>
      <c r="E2068" t="s">
        <v>10</v>
      </c>
      <c r="F2068" t="s">
        <v>465</v>
      </c>
      <c r="G2068" t="s">
        <v>131</v>
      </c>
      <c r="H2068" t="str">
        <f t="shared" si="129"/>
        <v>Chapecó - SC</v>
      </c>
      <c r="I2068" s="1" t="s">
        <v>13</v>
      </c>
      <c r="J2068" s="3">
        <v>73</v>
      </c>
      <c r="K2068" s="4">
        <f t="shared" si="130"/>
        <v>24.964946479258579</v>
      </c>
      <c r="L2068" s="1" t="str">
        <f t="shared" si="131"/>
        <v>Peso ideal - parabéns</v>
      </c>
      <c r="M2068" t="s">
        <v>20</v>
      </c>
    </row>
    <row r="2069" spans="1:13" x14ac:dyDescent="0.25">
      <c r="A2069">
        <v>2068</v>
      </c>
      <c r="B2069" t="s">
        <v>4050</v>
      </c>
      <c r="C2069" s="2" t="s">
        <v>4051</v>
      </c>
      <c r="D2069" s="2">
        <f t="shared" ca="1" si="128"/>
        <v>25</v>
      </c>
      <c r="E2069" t="s">
        <v>10</v>
      </c>
      <c r="F2069" t="s">
        <v>153</v>
      </c>
      <c r="G2069" t="s">
        <v>154</v>
      </c>
      <c r="H2069" t="str">
        <f t="shared" si="129"/>
        <v>Manaus - AM</v>
      </c>
      <c r="I2069" s="1" t="s">
        <v>171</v>
      </c>
      <c r="J2069" s="3">
        <v>57</v>
      </c>
      <c r="K2069" s="4">
        <f t="shared" si="130"/>
        <v>20.43816558499767</v>
      </c>
      <c r="L2069" s="1" t="str">
        <f t="shared" si="131"/>
        <v>Peso ideal - parabéns</v>
      </c>
      <c r="M2069" t="s">
        <v>76</v>
      </c>
    </row>
    <row r="2070" spans="1:13" x14ac:dyDescent="0.25">
      <c r="A2070">
        <v>2069</v>
      </c>
      <c r="B2070" t="s">
        <v>1094</v>
      </c>
      <c r="C2070" s="2" t="s">
        <v>1095</v>
      </c>
      <c r="D2070" s="2">
        <f t="shared" ca="1" si="128"/>
        <v>69</v>
      </c>
      <c r="E2070" t="s">
        <v>10</v>
      </c>
      <c r="F2070" t="s">
        <v>64</v>
      </c>
      <c r="G2070" t="s">
        <v>65</v>
      </c>
      <c r="H2070" t="str">
        <f t="shared" si="129"/>
        <v>Salvador - BA</v>
      </c>
      <c r="I2070" s="1" t="s">
        <v>447</v>
      </c>
      <c r="J2070" s="3">
        <v>55</v>
      </c>
      <c r="K2070" s="4">
        <f t="shared" si="130"/>
        <v>17.959183673469386</v>
      </c>
      <c r="L2070" s="1" t="str">
        <f t="shared" si="131"/>
        <v>Abaixo do peso</v>
      </c>
      <c r="M2070" t="s">
        <v>26</v>
      </c>
    </row>
    <row r="2071" spans="1:13" x14ac:dyDescent="0.25">
      <c r="A2071">
        <v>2070</v>
      </c>
      <c r="B2071" t="s">
        <v>3159</v>
      </c>
      <c r="C2071" s="2" t="s">
        <v>3160</v>
      </c>
      <c r="D2071" s="2">
        <f t="shared" ca="1" si="128"/>
        <v>20</v>
      </c>
      <c r="E2071" t="s">
        <v>10</v>
      </c>
      <c r="F2071" t="s">
        <v>69</v>
      </c>
      <c r="G2071" t="s">
        <v>70</v>
      </c>
      <c r="H2071" t="str">
        <f t="shared" si="129"/>
        <v>Aracaju - SE</v>
      </c>
      <c r="I2071" s="1" t="s">
        <v>132</v>
      </c>
      <c r="J2071" s="3">
        <v>76</v>
      </c>
      <c r="K2071" s="4">
        <f t="shared" si="130"/>
        <v>21.733535417083701</v>
      </c>
      <c r="L2071" s="1" t="str">
        <f t="shared" si="131"/>
        <v>Peso ideal - parabéns</v>
      </c>
      <c r="M2071" t="s">
        <v>83</v>
      </c>
    </row>
    <row r="2073" spans="1:13" x14ac:dyDescent="0.25">
      <c r="C2073" s="7" t="s">
        <v>4196</v>
      </c>
      <c r="E2073" s="6" t="s">
        <v>23</v>
      </c>
      <c r="F2073">
        <f>COUNTIF(E2:E2071,"FEMININO")</f>
        <v>1016</v>
      </c>
      <c r="G2073" s="8">
        <f>F2073/F2075</f>
        <v>0.49082125603864735</v>
      </c>
    </row>
    <row r="2074" spans="1:13" x14ac:dyDescent="0.25">
      <c r="C2074" s="5">
        <f ca="1">AVERAGE(D2:D2071)</f>
        <v>50.761352657004828</v>
      </c>
      <c r="E2074" s="6" t="s">
        <v>10</v>
      </c>
      <c r="F2074">
        <f>COUNTIF(E2:E2071,"MASCULINO")</f>
        <v>1054</v>
      </c>
      <c r="G2074" s="8">
        <f>F2074/F2075</f>
        <v>0.50917874396135265</v>
      </c>
    </row>
    <row r="2075" spans="1:13" x14ac:dyDescent="0.25">
      <c r="F2075" s="6">
        <f>SUM(F2073:F2074)</f>
        <v>2070</v>
      </c>
      <c r="G2075" s="9">
        <f>SUM(G2073:G2074)</f>
        <v>1</v>
      </c>
    </row>
  </sheetData>
  <mergeCells count="1"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Cesar Vieira</cp:lastModifiedBy>
  <dcterms:created xsi:type="dcterms:W3CDTF">2025-01-18T21:42:58Z</dcterms:created>
  <dcterms:modified xsi:type="dcterms:W3CDTF">2026-09-30T12:48:30Z</dcterms:modified>
</cp:coreProperties>
</file>