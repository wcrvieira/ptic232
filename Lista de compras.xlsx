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las\5. Projetos TIC - Química - 232\ptic232\"/>
    </mc:Choice>
  </mc:AlternateContent>
  <xr:revisionPtr revIDLastSave="0" documentId="13_ncr:1_{98EFC246-A2CF-4E09-BEE6-12221A498ABD}" xr6:coauthVersionLast="47" xr6:coauthVersionMax="47" xr10:uidLastSave="{00000000-0000-0000-0000-000000000000}"/>
  <bookViews>
    <workbookView xWindow="20370" yWindow="-120" windowWidth="20730" windowHeight="11040" xr2:uid="{8560CDDB-73D0-445B-B9C1-C7905941B13A}"/>
  </bookViews>
  <sheets>
    <sheet name="Lista" sheetId="1" r:id="rId1"/>
  </sheets>
  <definedNames>
    <definedName name="_xlnm.Print_Area" localSheetId="0">Lista!$A$1:$H$13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" i="1" l="1"/>
  <c r="E13" i="1"/>
  <c r="F13" i="1"/>
  <c r="G13" i="1"/>
  <c r="H13" i="1"/>
  <c r="C13" i="1"/>
  <c r="H5" i="1"/>
  <c r="H6" i="1"/>
  <c r="H7" i="1"/>
  <c r="H8" i="1"/>
  <c r="H9" i="1"/>
  <c r="H10" i="1"/>
  <c r="H11" i="1"/>
  <c r="H4" i="1"/>
  <c r="G5" i="1"/>
  <c r="G6" i="1"/>
  <c r="G7" i="1"/>
  <c r="G8" i="1"/>
  <c r="G9" i="1"/>
  <c r="G10" i="1"/>
  <c r="G11" i="1"/>
  <c r="G4" i="1"/>
  <c r="F5" i="1"/>
  <c r="F6" i="1"/>
  <c r="F7" i="1"/>
  <c r="F8" i="1"/>
  <c r="F9" i="1"/>
  <c r="F10" i="1"/>
  <c r="F11" i="1"/>
  <c r="F4" i="1"/>
  <c r="E5" i="1"/>
  <c r="E6" i="1"/>
  <c r="E7" i="1"/>
  <c r="E8" i="1"/>
  <c r="E9" i="1"/>
  <c r="E10" i="1"/>
  <c r="E11" i="1"/>
  <c r="E4" i="1"/>
</calcChain>
</file>

<file path=xl/sharedStrings.xml><?xml version="1.0" encoding="utf-8"?>
<sst xmlns="http://schemas.openxmlformats.org/spreadsheetml/2006/main" count="27" uniqueCount="27">
  <si>
    <t>Código</t>
  </si>
  <si>
    <t>Item</t>
  </si>
  <si>
    <t>Quant.</t>
  </si>
  <si>
    <t>00001</t>
  </si>
  <si>
    <t>00003</t>
  </si>
  <si>
    <t>00008</t>
  </si>
  <si>
    <t>00012</t>
  </si>
  <si>
    <t>00015</t>
  </si>
  <si>
    <t>00019</t>
  </si>
  <si>
    <t>Totalização</t>
  </si>
  <si>
    <t>00017</t>
  </si>
  <si>
    <t>Lista de compras</t>
  </si>
  <si>
    <t>00021</t>
  </si>
  <si>
    <t>Valor unitário</t>
  </si>
  <si>
    <t>Valor total</t>
  </si>
  <si>
    <t>Preço à vista</t>
  </si>
  <si>
    <t>Preço á prazo</t>
  </si>
  <si>
    <t>Parcelado</t>
  </si>
  <si>
    <t>3 vezes - 10%</t>
  </si>
  <si>
    <t>Arroz Integral - 5 Kg</t>
  </si>
  <si>
    <t>Feijão carioca - 1 Kg</t>
  </si>
  <si>
    <t>Açúcar cristal - 5 Kg</t>
  </si>
  <si>
    <t>Sal refinado - 1 Kg</t>
  </si>
  <si>
    <t>Leite integral - 1 L</t>
  </si>
  <si>
    <t>Óleo de soja - 900 ml</t>
  </si>
  <si>
    <t>Macarrão parafuso - 500 g</t>
  </si>
  <si>
    <t>Molho de tomate - 340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</si>
</sst>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Tahoma"/>
      <family val="2"/>
    </font>
    <font>
      <b/>
      <sz val="12"/>
      <color indexed="8"/>
      <name val="Tahoma"/>
      <family val="2"/>
    </font>
    <font>
      <b/>
      <sz val="14"/>
      <color theme="1"/>
      <name val="Tahoma"/>
      <family val="2"/>
    </font>
    <font>
      <b/>
      <sz val="16"/>
      <name val="Tahoma"/>
      <family val="2"/>
    </font>
    <font>
      <sz val="12"/>
      <color indexed="8"/>
      <name val="Tahoma"/>
      <family val="2"/>
    </font>
    <font>
      <sz val="12"/>
      <color theme="1"/>
      <name val="Tahoma"/>
      <family val="2"/>
    </font>
    <font>
      <sz val="12"/>
      <name val="Tahoma"/>
      <family val="2"/>
    </font>
    <font>
      <b/>
      <sz val="12"/>
      <color theme="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2" fillId="0" borderId="0"/>
    <xf numFmtId="0" fontId="2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4" fontId="4" fillId="2" borderId="3" xfId="2" applyNumberFormat="1" applyFont="1" applyFill="1" applyBorder="1" applyAlignment="1" applyProtection="1">
      <alignment horizontal="center" vertical="center" wrapText="1"/>
      <protection locked="0"/>
    </xf>
    <xf numFmtId="0" fontId="4" fillId="2" borderId="4" xfId="0" applyFont="1" applyFill="1" applyBorder="1" applyAlignment="1" applyProtection="1">
      <alignment horizontal="center" vertical="center" wrapText="1"/>
      <protection locked="0"/>
    </xf>
    <xf numFmtId="4" fontId="4" fillId="2" borderId="4" xfId="0" applyNumberFormat="1" applyFont="1" applyFill="1" applyBorder="1" applyAlignment="1" applyProtection="1">
      <alignment horizontal="center" vertical="center" wrapText="1"/>
      <protection locked="0"/>
    </xf>
    <xf numFmtId="44" fontId="8" fillId="0" borderId="0" xfId="3" applyFont="1" applyBorder="1" applyAlignment="1">
      <alignment horizontal="center" vertical="center"/>
    </xf>
    <xf numFmtId="0" fontId="7" fillId="0" borderId="0" xfId="1" applyFont="1" applyAlignment="1" applyProtection="1">
      <alignment horizontal="center" vertical="center"/>
      <protection locked="0"/>
    </xf>
    <xf numFmtId="0" fontId="7" fillId="0" borderId="0" xfId="1" applyFont="1" applyAlignment="1" applyProtection="1">
      <alignment vertical="center"/>
      <protection locked="0"/>
    </xf>
    <xf numFmtId="0" fontId="9" fillId="0" borderId="0" xfId="1" applyFont="1" applyAlignment="1" applyProtection="1">
      <alignment vertical="center"/>
      <protection locked="0"/>
    </xf>
    <xf numFmtId="9" fontId="4" fillId="0" borderId="0" xfId="4" applyFont="1" applyBorder="1" applyAlignment="1" applyProtection="1">
      <alignment horizontal="center" vertical="center"/>
      <protection locked="0"/>
    </xf>
    <xf numFmtId="49" fontId="8" fillId="0" borderId="12" xfId="0" applyNumberFormat="1" applyFont="1" applyBorder="1" applyAlignment="1">
      <alignment horizontal="center" vertical="center"/>
    </xf>
    <xf numFmtId="44" fontId="8" fillId="0" borderId="13" xfId="3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vertical="center"/>
    </xf>
    <xf numFmtId="0" fontId="8" fillId="0" borderId="8" xfId="0" applyFont="1" applyBorder="1" applyAlignment="1">
      <alignment horizontal="center" vertical="center"/>
    </xf>
    <xf numFmtId="44" fontId="8" fillId="0" borderId="8" xfId="3" applyFont="1" applyBorder="1" applyAlignment="1">
      <alignment horizontal="center" vertical="center"/>
    </xf>
    <xf numFmtId="44" fontId="8" fillId="0" borderId="9" xfId="3" applyFont="1" applyBorder="1" applyAlignment="1">
      <alignment horizontal="center" vertical="center"/>
    </xf>
    <xf numFmtId="9" fontId="4" fillId="0" borderId="14" xfId="4" applyFont="1" applyBorder="1" applyAlignment="1" applyProtection="1">
      <alignment horizontal="center" vertical="center"/>
      <protection locked="0"/>
    </xf>
    <xf numFmtId="4" fontId="4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14" xfId="0" applyFont="1" applyBorder="1" applyAlignment="1">
      <alignment horizontal="center"/>
    </xf>
    <xf numFmtId="0" fontId="6" fillId="0" borderId="5" xfId="1" applyFont="1" applyBorder="1" applyAlignment="1" applyProtection="1">
      <alignment horizontal="center" vertical="center"/>
      <protection locked="0"/>
    </xf>
    <xf numFmtId="0" fontId="6" fillId="0" borderId="6" xfId="1" applyFont="1" applyBorder="1" applyAlignment="1" applyProtection="1">
      <alignment horizontal="center" vertical="center"/>
      <protection locked="0"/>
    </xf>
    <xf numFmtId="0" fontId="6" fillId="0" borderId="4" xfId="1" applyFont="1" applyBorder="1" applyAlignment="1" applyProtection="1">
      <alignment horizontal="center" vertical="center"/>
      <protection locked="0"/>
    </xf>
    <xf numFmtId="49" fontId="5" fillId="0" borderId="3" xfId="0" applyNumberFormat="1" applyFont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8" fillId="0" borderId="5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vertical="center"/>
    </xf>
    <xf numFmtId="44" fontId="8" fillId="0" borderId="6" xfId="3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4" fontId="8" fillId="0" borderId="15" xfId="3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5" fillId="0" borderId="2" xfId="0" applyNumberFormat="1" applyFont="1" applyBorder="1" applyAlignment="1">
      <alignment horizontal="center" vertical="center"/>
    </xf>
    <xf numFmtId="44" fontId="5" fillId="0" borderId="2" xfId="0" applyNumberFormat="1" applyFont="1" applyBorder="1" applyAlignment="1">
      <alignment vertical="center"/>
    </xf>
  </cellXfs>
  <cellStyles count="5">
    <cellStyle name="Moeda" xfId="3" builtinId="4"/>
    <cellStyle name="Normal" xfId="0" builtinId="0"/>
    <cellStyle name="Normal_Modelo de planilha orçamento PJ Ceilândia" xfId="2" xr:uid="{57460FC3-C4C9-40EC-906D-39C0124238E3}"/>
    <cellStyle name="Normal_Orç 041_2009 Adaptação Copa PJ Ceilândia" xfId="1" xr:uid="{957AD1D9-26AE-4DC9-A7D9-042F76F0EB51}"/>
    <cellStyle name="Porcentagem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2D85D-83F0-4D6C-8F59-A804CD0D0936}">
  <dimension ref="A1:H13"/>
  <sheetViews>
    <sheetView tabSelected="1" zoomScaleNormal="100" workbookViewId="0">
      <selection activeCell="D13" sqref="D13"/>
    </sheetView>
  </sheetViews>
  <sheetFormatPr defaultRowHeight="14.25" x14ac:dyDescent="0.2"/>
  <cols>
    <col min="1" max="1" width="10.140625" style="2" customWidth="1"/>
    <col min="2" max="2" width="31" style="1" customWidth="1"/>
    <col min="3" max="3" width="20.42578125" style="1" customWidth="1"/>
    <col min="4" max="4" width="10.5703125" style="1" customWidth="1"/>
    <col min="5" max="5" width="19.7109375" style="2" customWidth="1"/>
    <col min="6" max="6" width="20.140625" style="2" customWidth="1"/>
    <col min="7" max="7" width="19.5703125" style="2" customWidth="1"/>
    <col min="8" max="8" width="18.85546875" style="1" customWidth="1"/>
    <col min="9" max="16384" width="9.140625" style="1"/>
  </cols>
  <sheetData>
    <row r="1" spans="1:8" ht="20.25" thickBot="1" x14ac:dyDescent="0.25">
      <c r="A1" s="22" t="s">
        <v>11</v>
      </c>
      <c r="B1" s="23"/>
      <c r="C1" s="23"/>
      <c r="D1" s="23"/>
      <c r="E1" s="23"/>
      <c r="F1" s="24"/>
      <c r="G1" s="24"/>
      <c r="H1" s="24"/>
    </row>
    <row r="2" spans="1:8" ht="17.25" customHeight="1" thickBot="1" x14ac:dyDescent="0.25">
      <c r="A2" s="8"/>
      <c r="B2" s="9"/>
      <c r="C2" s="10"/>
      <c r="D2" s="10"/>
      <c r="E2" s="8"/>
      <c r="F2" s="19">
        <v>0.05</v>
      </c>
      <c r="G2" s="11">
        <v>0.05</v>
      </c>
      <c r="H2" s="21" t="s">
        <v>18</v>
      </c>
    </row>
    <row r="3" spans="1:8" ht="28.5" customHeight="1" thickBot="1" x14ac:dyDescent="0.25">
      <c r="A3" s="4" t="s">
        <v>0</v>
      </c>
      <c r="B3" s="5" t="s">
        <v>1</v>
      </c>
      <c r="C3" s="6" t="s">
        <v>13</v>
      </c>
      <c r="D3" s="6" t="s">
        <v>2</v>
      </c>
      <c r="E3" s="6" t="s">
        <v>14</v>
      </c>
      <c r="F3" s="20" t="s">
        <v>15</v>
      </c>
      <c r="G3" s="6" t="s">
        <v>16</v>
      </c>
      <c r="H3" s="20" t="s">
        <v>17</v>
      </c>
    </row>
    <row r="4" spans="1:8" s="3" customFormat="1" ht="25.5" customHeight="1" x14ac:dyDescent="0.25">
      <c r="A4" s="29" t="s">
        <v>3</v>
      </c>
      <c r="B4" s="30" t="s">
        <v>19</v>
      </c>
      <c r="C4" s="31">
        <v>16.79</v>
      </c>
      <c r="D4" s="32">
        <v>1</v>
      </c>
      <c r="E4" s="31">
        <f>C4*D4</f>
        <v>16.79</v>
      </c>
      <c r="F4" s="31">
        <f>E4*0.95</f>
        <v>15.950499999999998</v>
      </c>
      <c r="G4" s="31">
        <f>E4*1.05</f>
        <v>17.6295</v>
      </c>
      <c r="H4" s="33">
        <f>(E4*1.1)/3</f>
        <v>6.1563333333333334</v>
      </c>
    </row>
    <row r="5" spans="1:8" s="3" customFormat="1" ht="25.5" customHeight="1" x14ac:dyDescent="0.25">
      <c r="A5" s="12" t="s">
        <v>4</v>
      </c>
      <c r="B5" s="34" t="s">
        <v>20</v>
      </c>
      <c r="C5" s="7">
        <v>8.5500000000000007</v>
      </c>
      <c r="D5" s="35">
        <v>3</v>
      </c>
      <c r="E5" s="7">
        <f t="shared" ref="E5:E11" si="0">C5*D5</f>
        <v>25.650000000000002</v>
      </c>
      <c r="F5" s="7">
        <f t="shared" ref="F5:F11" si="1">E5*0.95</f>
        <v>24.3675</v>
      </c>
      <c r="G5" s="7">
        <f t="shared" ref="G5:G11" si="2">E5*1.05</f>
        <v>26.932500000000005</v>
      </c>
      <c r="H5" s="13">
        <f t="shared" ref="H5:H11" si="3">(E5*1.1)/3</f>
        <v>9.4050000000000011</v>
      </c>
    </row>
    <row r="6" spans="1:8" s="3" customFormat="1" ht="25.5" customHeight="1" x14ac:dyDescent="0.25">
      <c r="A6" s="12" t="s">
        <v>5</v>
      </c>
      <c r="B6" s="34" t="s">
        <v>21</v>
      </c>
      <c r="C6" s="7">
        <v>20.99</v>
      </c>
      <c r="D6" s="35">
        <v>1</v>
      </c>
      <c r="E6" s="7">
        <f t="shared" si="0"/>
        <v>20.99</v>
      </c>
      <c r="F6" s="7">
        <f t="shared" si="1"/>
        <v>19.940499999999997</v>
      </c>
      <c r="G6" s="7">
        <f t="shared" si="2"/>
        <v>22.0395</v>
      </c>
      <c r="H6" s="13">
        <f t="shared" si="3"/>
        <v>7.6963333333333326</v>
      </c>
    </row>
    <row r="7" spans="1:8" s="3" customFormat="1" ht="25.5" customHeight="1" x14ac:dyDescent="0.25">
      <c r="A7" s="12" t="s">
        <v>6</v>
      </c>
      <c r="B7" s="34" t="s">
        <v>22</v>
      </c>
      <c r="C7" s="7">
        <v>3.29</v>
      </c>
      <c r="D7" s="35">
        <v>2</v>
      </c>
      <c r="E7" s="7">
        <f t="shared" si="0"/>
        <v>6.58</v>
      </c>
      <c r="F7" s="7">
        <f t="shared" si="1"/>
        <v>6.2509999999999994</v>
      </c>
      <c r="G7" s="7">
        <f t="shared" si="2"/>
        <v>6.9090000000000007</v>
      </c>
      <c r="H7" s="13">
        <f t="shared" si="3"/>
        <v>2.412666666666667</v>
      </c>
    </row>
    <row r="8" spans="1:8" s="3" customFormat="1" ht="25.5" customHeight="1" x14ac:dyDescent="0.25">
      <c r="A8" s="12" t="s">
        <v>7</v>
      </c>
      <c r="B8" s="34" t="s">
        <v>23</v>
      </c>
      <c r="C8" s="7">
        <v>5.43</v>
      </c>
      <c r="D8" s="35">
        <v>6</v>
      </c>
      <c r="E8" s="7">
        <f t="shared" si="0"/>
        <v>32.58</v>
      </c>
      <c r="F8" s="7">
        <f t="shared" si="1"/>
        <v>30.950999999999997</v>
      </c>
      <c r="G8" s="7">
        <f t="shared" si="2"/>
        <v>34.209000000000003</v>
      </c>
      <c r="H8" s="13">
        <f t="shared" si="3"/>
        <v>11.946</v>
      </c>
    </row>
    <row r="9" spans="1:8" s="3" customFormat="1" ht="25.5" customHeight="1" x14ac:dyDescent="0.25">
      <c r="A9" s="12" t="s">
        <v>10</v>
      </c>
      <c r="B9" s="34" t="s">
        <v>24</v>
      </c>
      <c r="C9" s="7">
        <v>7.25</v>
      </c>
      <c r="D9" s="35">
        <v>2</v>
      </c>
      <c r="E9" s="7">
        <f t="shared" si="0"/>
        <v>14.5</v>
      </c>
      <c r="F9" s="7">
        <f t="shared" si="1"/>
        <v>13.774999999999999</v>
      </c>
      <c r="G9" s="7">
        <f t="shared" si="2"/>
        <v>15.225000000000001</v>
      </c>
      <c r="H9" s="13">
        <f t="shared" si="3"/>
        <v>5.3166666666666673</v>
      </c>
    </row>
    <row r="10" spans="1:8" s="3" customFormat="1" ht="25.5" customHeight="1" x14ac:dyDescent="0.25">
      <c r="A10" s="12" t="s">
        <v>8</v>
      </c>
      <c r="B10" s="34" t="s">
        <v>25</v>
      </c>
      <c r="C10" s="7">
        <v>5.4</v>
      </c>
      <c r="D10" s="35">
        <v>3</v>
      </c>
      <c r="E10" s="7">
        <f t="shared" si="0"/>
        <v>16.200000000000003</v>
      </c>
      <c r="F10" s="7">
        <f t="shared" si="1"/>
        <v>15.390000000000002</v>
      </c>
      <c r="G10" s="7">
        <f t="shared" si="2"/>
        <v>17.010000000000005</v>
      </c>
      <c r="H10" s="13">
        <f t="shared" si="3"/>
        <v>5.9400000000000013</v>
      </c>
    </row>
    <row r="11" spans="1:8" s="3" customFormat="1" ht="25.5" customHeight="1" thickBot="1" x14ac:dyDescent="0.3">
      <c r="A11" s="14" t="s">
        <v>12</v>
      </c>
      <c r="B11" s="15" t="s">
        <v>26</v>
      </c>
      <c r="C11" s="17">
        <v>2.58</v>
      </c>
      <c r="D11" s="16">
        <v>6</v>
      </c>
      <c r="E11" s="17">
        <f t="shared" si="0"/>
        <v>15.48</v>
      </c>
      <c r="F11" s="17">
        <f t="shared" si="1"/>
        <v>14.706</v>
      </c>
      <c r="G11" s="17">
        <f t="shared" si="2"/>
        <v>16.254000000000001</v>
      </c>
      <c r="H11" s="18">
        <f t="shared" si="3"/>
        <v>5.676000000000001</v>
      </c>
    </row>
    <row r="12" spans="1:8" ht="10.5" customHeight="1" thickBot="1" x14ac:dyDescent="0.25">
      <c r="A12" s="27"/>
      <c r="B12" s="28"/>
      <c r="C12" s="28"/>
      <c r="D12" s="28"/>
      <c r="E12" s="28"/>
      <c r="F12" s="28"/>
      <c r="G12" s="28"/>
    </row>
    <row r="13" spans="1:8" ht="24.75" customHeight="1" thickBot="1" x14ac:dyDescent="0.25">
      <c r="A13" s="25" t="s">
        <v>9</v>
      </c>
      <c r="B13" s="26"/>
      <c r="C13" s="37">
        <f>SUM(C4:C11)</f>
        <v>70.28</v>
      </c>
      <c r="D13" s="36">
        <f t="shared" ref="D13:H13" si="4">SUM(D4:D11)</f>
        <v>24</v>
      </c>
      <c r="E13" s="37">
        <f t="shared" si="4"/>
        <v>148.76999999999998</v>
      </c>
      <c r="F13" s="37">
        <f t="shared" si="4"/>
        <v>141.33150000000001</v>
      </c>
      <c r="G13" s="37">
        <f t="shared" si="4"/>
        <v>156.20849999999999</v>
      </c>
      <c r="H13" s="37">
        <f t="shared" si="4"/>
        <v>54.549000000000007</v>
      </c>
    </row>
  </sheetData>
  <mergeCells count="3">
    <mergeCell ref="A1:H1"/>
    <mergeCell ref="A13:B13"/>
    <mergeCell ref="A12:G12"/>
  </mergeCells>
  <phoneticPr fontId="11" type="noConversion"/>
  <pageMargins left="0.511811024" right="0.511811024" top="0.78740157499999996" bottom="0.78740157499999996" header="0.31496062000000002" footer="0.31496062000000002"/>
  <pageSetup paperSize="9" scale="8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Lista</vt:lpstr>
      <vt:lpstr>Lista!Area_de_impressao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</dc:creator>
  <cp:lastModifiedBy>Wagner Cesar Vieira</cp:lastModifiedBy>
  <cp:lastPrinted>2020-03-10T23:27:28Z</cp:lastPrinted>
  <dcterms:created xsi:type="dcterms:W3CDTF">2020-03-10T23:21:32Z</dcterms:created>
  <dcterms:modified xsi:type="dcterms:W3CDTF">2026-09-22T23:41:24Z</dcterms:modified>
</cp:coreProperties>
</file>