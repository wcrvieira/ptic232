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ulas\5. Projetos TIC - Química - 232\ptic232\"/>
    </mc:Choice>
  </mc:AlternateContent>
  <xr:revisionPtr revIDLastSave="0" documentId="13_ncr:1_{4F054438-3296-4D4D-983A-576B1B4071F2}" xr6:coauthVersionLast="47" xr6:coauthVersionMax="47" xr10:uidLastSave="{00000000-0000-0000-0000-000000000000}"/>
  <bookViews>
    <workbookView xWindow="20370" yWindow="-120" windowWidth="20730" windowHeight="11040" xr2:uid="{DF3537CB-6E0A-4E7C-ABFB-B677C0E8847D}"/>
  </bookViews>
  <sheets>
    <sheet name="Transp" sheetId="1" r:id="rId1"/>
  </sheets>
  <definedNames>
    <definedName name="_xlnm._FilterDatabase" localSheetId="0" hidden="1">Transp!$B$3:$I$3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F5" i="1"/>
  <c r="F6" i="1"/>
  <c r="F7" i="1"/>
  <c r="F8" i="1"/>
  <c r="F9" i="1"/>
  <c r="F10" i="1"/>
  <c r="F11" i="1"/>
  <c r="F12" i="1"/>
  <c r="F4" i="1"/>
  <c r="D6" i="1"/>
  <c r="D7" i="1"/>
  <c r="D8" i="1"/>
  <c r="D9" i="1"/>
  <c r="D10" i="1"/>
  <c r="D11" i="1"/>
  <c r="D12" i="1"/>
  <c r="D5" i="1"/>
  <c r="D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19C608-4888-443D-8F43-757DFC98A145}" keepAlive="1" name="Consulta - Código HTML" description="Conexão com a consulta 'Código HTML' na pasta de trabalho." type="5" refreshedVersion="0" background="1">
    <dbPr connection="Provider=Microsoft.Mashup.OleDb.1;Data Source=$Workbook$;Location=&quot;Código HTML&quot;;Extended Properties=&quot;&quot;" command="SELECT * FROM [Código HTML]"/>
  </connection>
</connections>
</file>

<file path=xl/sharedStrings.xml><?xml version="1.0" encoding="utf-8"?>
<sst xmlns="http://schemas.openxmlformats.org/spreadsheetml/2006/main" count="46" uniqueCount="43">
  <si>
    <t>Data Pedido</t>
  </si>
  <si>
    <t>Data Entrega</t>
  </si>
  <si>
    <t>Recife - PE</t>
  </si>
  <si>
    <t>Porto Alegre - RS</t>
  </si>
  <si>
    <t>Campinas - SP</t>
  </si>
  <si>
    <t>Rio de Janeiro - RJ</t>
  </si>
  <si>
    <t>São Paulo - SP</t>
  </si>
  <si>
    <t>Salvador - BA</t>
  </si>
  <si>
    <t>Goiânia - GO</t>
  </si>
  <si>
    <t>Curitiba - PR</t>
  </si>
  <si>
    <t>Belo Horizonte - MG</t>
  </si>
  <si>
    <t>Destino</t>
  </si>
  <si>
    <t>Custos</t>
  </si>
  <si>
    <t>Frete</t>
  </si>
  <si>
    <t>Motorista</t>
  </si>
  <si>
    <t>Valor de fretes</t>
  </si>
  <si>
    <t>Escolha o destino</t>
  </si>
  <si>
    <t>Escolha o motorista</t>
  </si>
  <si>
    <t>Escolha o período</t>
  </si>
  <si>
    <t>Data inicial</t>
  </si>
  <si>
    <t>Data final</t>
  </si>
  <si>
    <t>Média de entrega por UF</t>
  </si>
  <si>
    <t>Média de custos</t>
  </si>
  <si>
    <t>Faturamento</t>
  </si>
  <si>
    <t>Prazo (dias úteis)</t>
  </si>
  <si>
    <t>Distância (km)</t>
  </si>
  <si>
    <t>Tempo viagem (horas)</t>
  </si>
  <si>
    <t>Média de entrega (dias)</t>
  </si>
  <si>
    <t>Origem</t>
  </si>
  <si>
    <t>Hora atual</t>
  </si>
  <si>
    <t>Data atual</t>
  </si>
  <si>
    <t>Velocidade média</t>
  </si>
  <si>
    <t>Custos totais</t>
  </si>
  <si>
    <t>Estado</t>
  </si>
  <si>
    <t>Transportadora Química Certa</t>
  </si>
  <si>
    <t>Adriana Cecília Moraes</t>
  </si>
  <si>
    <t>Alana Sabrina Ferreira</t>
  </si>
  <si>
    <t>Sueli Maria Brito</t>
  </si>
  <si>
    <t>Nelson Iago Pires</t>
  </si>
  <si>
    <t>Renato Davi Lopes</t>
  </si>
  <si>
    <t>Vera Liz Teixeira</t>
  </si>
  <si>
    <t>Yago Igor Moura</t>
  </si>
  <si>
    <t>Olímpia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</si>
</sst>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h:mm:ss;@"/>
    <numFmt numFmtId="165" formatCode="[$-F800]dddd\,\ mmmm\ dd\,\ yyyy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theme="5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C000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C000"/>
      </left>
      <right style="thin">
        <color rgb="FFFFC000"/>
      </right>
      <top style="thin">
        <color rgb="FFFFC000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2" fillId="0" borderId="9" xfId="0" applyFont="1" applyBorder="1"/>
    <xf numFmtId="0" fontId="2" fillId="0" borderId="10" xfId="0" applyFont="1" applyBorder="1"/>
    <xf numFmtId="0" fontId="0" fillId="0" borderId="9" xfId="0" applyBorder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5" fillId="0" borderId="13" xfId="0" applyFont="1" applyBorder="1" applyAlignment="1">
      <alignment horizontal="center"/>
    </xf>
    <xf numFmtId="14" fontId="5" fillId="0" borderId="13" xfId="0" applyNumberFormat="1" applyFont="1" applyBorder="1" applyAlignment="1">
      <alignment horizontal="center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/>
    <xf numFmtId="44" fontId="5" fillId="0" borderId="13" xfId="0" applyNumberFormat="1" applyFont="1" applyBorder="1"/>
    <xf numFmtId="44" fontId="5" fillId="0" borderId="13" xfId="1" applyFont="1" applyBorder="1"/>
    <xf numFmtId="0" fontId="2" fillId="0" borderId="0" xfId="0" applyFont="1"/>
    <xf numFmtId="0" fontId="1" fillId="0" borderId="0" xfId="0" applyFont="1"/>
    <xf numFmtId="0" fontId="8" fillId="2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9" fillId="3" borderId="8" xfId="0" applyFont="1" applyFill="1" applyBorder="1"/>
    <xf numFmtId="0" fontId="7" fillId="3" borderId="10" xfId="0" applyFont="1" applyFill="1" applyBorder="1"/>
    <xf numFmtId="0" fontId="9" fillId="3" borderId="9" xfId="0" applyFont="1" applyFill="1" applyBorder="1"/>
    <xf numFmtId="0" fontId="5" fillId="0" borderId="13" xfId="1" applyNumberFormat="1" applyFont="1" applyBorder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65" fontId="6" fillId="0" borderId="1" xfId="0" quotePrefix="1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10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95251</xdr:colOff>
      <xdr:row>0</xdr:row>
      <xdr:rowOff>21471</xdr:rowOff>
    </xdr:from>
    <xdr:to>
      <xdr:col>1</xdr:col>
      <xdr:colOff>583406</xdr:colOff>
      <xdr:row>1</xdr:row>
      <xdr:rowOff>291704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F0FBA63-F018-B0C1-A70F-DEDC662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032" y="21471"/>
          <a:ext cx="488155" cy="460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7A75-63E6-465B-876C-1551E84420CF}">
  <dimension ref="B1:K33"/>
  <sheetViews>
    <sheetView tabSelected="1" topLeftCell="E4" zoomScale="160" zoomScaleNormal="160" workbookViewId="0">
      <selection activeCell="G2" sqref="G2:I2"/>
    </sheetView>
  </sheetViews>
  <sheetFormatPr defaultRowHeight="15" x14ac:dyDescent="0.25"/>
  <cols>
    <col min="1" max="1" width="2.28515625" customWidth="1"/>
    <col min="2" max="2" width="18" style="1" bestFit="1" customWidth="1"/>
    <col min="3" max="3" width="18.85546875" style="1" bestFit="1" customWidth="1"/>
    <col min="4" max="4" width="11.42578125" style="2" customWidth="1"/>
    <col min="5" max="5" width="21.85546875" customWidth="1"/>
    <col min="6" max="6" width="9.85546875" customWidth="1"/>
    <col min="7" max="7" width="15.5703125" bestFit="1" customWidth="1"/>
    <col min="8" max="8" width="16.140625" customWidth="1"/>
    <col min="9" max="9" width="22.7109375" bestFit="1" customWidth="1"/>
    <col min="10" max="10" width="13.7109375" customWidth="1"/>
    <col min="11" max="11" width="17.85546875" customWidth="1"/>
  </cols>
  <sheetData>
    <row r="1" spans="2:11" x14ac:dyDescent="0.25">
      <c r="B1" s="28" t="s">
        <v>34</v>
      </c>
      <c r="C1" s="28"/>
      <c r="D1" s="28"/>
      <c r="E1" s="8" t="s">
        <v>28</v>
      </c>
      <c r="F1" s="8"/>
      <c r="G1" s="30" t="s">
        <v>30</v>
      </c>
      <c r="H1" s="30"/>
      <c r="I1" s="30"/>
      <c r="J1" s="8" t="s">
        <v>29</v>
      </c>
      <c r="K1" s="8" t="s">
        <v>31</v>
      </c>
    </row>
    <row r="2" spans="2:11" s="4" customFormat="1" ht="23.25" customHeight="1" x14ac:dyDescent="0.25">
      <c r="B2" s="29"/>
      <c r="C2" s="29"/>
      <c r="D2" s="29"/>
      <c r="E2" s="45" t="s">
        <v>42</v>
      </c>
      <c r="F2" s="9"/>
      <c r="G2" s="31" t="str">
        <f ca="1">"Hoje é dia "&amp;TEXT(TODAY(),"dd"" de ""mmmm"" de ""aaaa")</f>
        <v>Hoje é dia 25 de agosto de 2026</v>
      </c>
      <c r="H2" s="32"/>
      <c r="I2" s="32"/>
      <c r="J2" s="10"/>
      <c r="K2" s="9">
        <v>80</v>
      </c>
    </row>
    <row r="3" spans="2:11" ht="45" x14ac:dyDescent="0.25">
      <c r="B3" s="19" t="s">
        <v>0</v>
      </c>
      <c r="C3" s="19" t="s">
        <v>1</v>
      </c>
      <c r="D3" s="20" t="s">
        <v>24</v>
      </c>
      <c r="E3" s="19" t="s">
        <v>11</v>
      </c>
      <c r="F3" s="19" t="s">
        <v>33</v>
      </c>
      <c r="G3" s="19" t="s">
        <v>25</v>
      </c>
      <c r="H3" s="20" t="s">
        <v>26</v>
      </c>
      <c r="I3" s="19" t="s">
        <v>14</v>
      </c>
      <c r="J3" s="19" t="s">
        <v>12</v>
      </c>
      <c r="K3" s="19" t="s">
        <v>13</v>
      </c>
    </row>
    <row r="4" spans="2:11" ht="18" customHeight="1" x14ac:dyDescent="0.25">
      <c r="B4" s="12">
        <v>46152</v>
      </c>
      <c r="C4" s="12">
        <v>46164</v>
      </c>
      <c r="D4" s="13">
        <f>C4-B4</f>
        <v>12</v>
      </c>
      <c r="E4" s="14" t="s">
        <v>10</v>
      </c>
      <c r="F4" s="14" t="str">
        <f>RIGHT(E4,2)</f>
        <v>MG</v>
      </c>
      <c r="G4" s="11">
        <v>1272</v>
      </c>
      <c r="H4" s="11">
        <f>G4/K2</f>
        <v>15.9</v>
      </c>
      <c r="I4" s="14" t="s">
        <v>35</v>
      </c>
      <c r="J4" s="15"/>
      <c r="K4" s="14">
        <v>11504.32</v>
      </c>
    </row>
    <row r="5" spans="2:11" ht="18" customHeight="1" x14ac:dyDescent="0.25">
      <c r="B5" s="12">
        <v>46120</v>
      </c>
      <c r="C5" s="12">
        <v>46127</v>
      </c>
      <c r="D5" s="13">
        <f>C5-B5</f>
        <v>7</v>
      </c>
      <c r="E5" s="14" t="s">
        <v>4</v>
      </c>
      <c r="F5" s="14" t="str">
        <f t="shared" ref="F5:F12" si="0">RIGHT(E5,2)</f>
        <v>SP</v>
      </c>
      <c r="G5" s="11">
        <v>702</v>
      </c>
      <c r="H5" s="11"/>
      <c r="I5" s="14" t="s">
        <v>38</v>
      </c>
      <c r="J5" s="16"/>
      <c r="K5" s="24">
        <v>6742.6</v>
      </c>
    </row>
    <row r="6" spans="2:11" ht="18" customHeight="1" x14ac:dyDescent="0.25">
      <c r="B6" s="12">
        <v>46170</v>
      </c>
      <c r="C6" s="12">
        <v>46177</v>
      </c>
      <c r="D6" s="13">
        <f t="shared" ref="D6:D12" si="1">C6-B6</f>
        <v>7</v>
      </c>
      <c r="E6" s="14" t="s">
        <v>9</v>
      </c>
      <c r="F6" s="14" t="str">
        <f t="shared" si="0"/>
        <v>PR</v>
      </c>
      <c r="G6" s="11">
        <v>1486</v>
      </c>
      <c r="H6" s="11"/>
      <c r="I6" t="s">
        <v>37</v>
      </c>
      <c r="J6" s="16"/>
      <c r="K6" s="24">
        <v>13292.5</v>
      </c>
    </row>
    <row r="7" spans="2:11" ht="18" customHeight="1" x14ac:dyDescent="0.25">
      <c r="B7" s="12">
        <v>46173</v>
      </c>
      <c r="C7" s="12">
        <v>46185</v>
      </c>
      <c r="D7" s="13">
        <f t="shared" si="1"/>
        <v>12</v>
      </c>
      <c r="E7" s="14" t="s">
        <v>8</v>
      </c>
      <c r="F7" s="14" t="str">
        <f t="shared" si="0"/>
        <v>GO</v>
      </c>
      <c r="G7" s="11">
        <v>1028</v>
      </c>
      <c r="H7" s="11"/>
      <c r="I7" s="14" t="s">
        <v>39</v>
      </c>
      <c r="J7" s="16"/>
      <c r="K7" s="24">
        <v>9465.9699999999993</v>
      </c>
    </row>
    <row r="8" spans="2:11" ht="18" customHeight="1" x14ac:dyDescent="0.25">
      <c r="B8" s="12">
        <v>46072</v>
      </c>
      <c r="C8" s="12">
        <v>46083</v>
      </c>
      <c r="D8" s="13">
        <f t="shared" si="1"/>
        <v>11</v>
      </c>
      <c r="E8" s="14" t="s">
        <v>3</v>
      </c>
      <c r="F8" s="14" t="str">
        <f t="shared" si="0"/>
        <v>RS</v>
      </c>
      <c r="G8" s="11">
        <v>3076</v>
      </c>
      <c r="H8" s="11"/>
      <c r="I8" s="14" t="s">
        <v>36</v>
      </c>
      <c r="J8" s="16"/>
      <c r="K8" s="24">
        <v>26574.76</v>
      </c>
    </row>
    <row r="9" spans="2:11" ht="18" customHeight="1" x14ac:dyDescent="0.25">
      <c r="B9" s="12">
        <v>46091</v>
      </c>
      <c r="C9" s="12">
        <v>46101</v>
      </c>
      <c r="D9" s="13">
        <f t="shared" si="1"/>
        <v>10</v>
      </c>
      <c r="E9" s="14" t="s">
        <v>2</v>
      </c>
      <c r="F9" s="14" t="str">
        <f t="shared" si="0"/>
        <v>PE</v>
      </c>
      <c r="G9" s="11">
        <v>5231</v>
      </c>
      <c r="H9" s="11"/>
      <c r="I9" s="14" t="s">
        <v>40</v>
      </c>
      <c r="J9" s="16"/>
      <c r="K9" s="24">
        <v>44577.41</v>
      </c>
    </row>
    <row r="10" spans="2:11" ht="18" customHeight="1" x14ac:dyDescent="0.25">
      <c r="B10" s="12">
        <v>46075</v>
      </c>
      <c r="C10" s="12">
        <v>46080</v>
      </c>
      <c r="D10" s="13">
        <f t="shared" si="1"/>
        <v>5</v>
      </c>
      <c r="E10" s="14" t="s">
        <v>5</v>
      </c>
      <c r="F10" s="14" t="str">
        <f t="shared" si="0"/>
        <v>RJ</v>
      </c>
      <c r="G10" s="11">
        <v>1701</v>
      </c>
      <c r="H10" s="11"/>
      <c r="I10" s="14" t="s">
        <v>41</v>
      </c>
      <c r="J10" s="16"/>
      <c r="K10" s="24">
        <v>15088.51</v>
      </c>
    </row>
    <row r="11" spans="2:11" ht="18" customHeight="1" x14ac:dyDescent="0.25">
      <c r="B11" s="12">
        <v>46068</v>
      </c>
      <c r="C11" s="12">
        <v>46078</v>
      </c>
      <c r="D11" s="13">
        <f t="shared" si="1"/>
        <v>10</v>
      </c>
      <c r="E11" s="14" t="s">
        <v>7</v>
      </c>
      <c r="F11" s="14" t="str">
        <f t="shared" si="0"/>
        <v>BA</v>
      </c>
      <c r="G11" s="11">
        <v>3882</v>
      </c>
      <c r="H11" s="11"/>
      <c r="I11" s="14" t="s">
        <v>35</v>
      </c>
      <c r="J11" s="16"/>
      <c r="K11" s="24">
        <v>33308.019999999997</v>
      </c>
    </row>
    <row r="12" spans="2:11" ht="18" customHeight="1" x14ac:dyDescent="0.25">
      <c r="B12" s="12">
        <v>46186</v>
      </c>
      <c r="C12" s="12">
        <v>46198</v>
      </c>
      <c r="D12" s="13">
        <f t="shared" si="1"/>
        <v>12</v>
      </c>
      <c r="E12" s="14" t="s">
        <v>6</v>
      </c>
      <c r="F12" s="14" t="str">
        <f t="shared" si="0"/>
        <v>SP</v>
      </c>
      <c r="G12" s="11">
        <v>916</v>
      </c>
      <c r="H12" s="11"/>
      <c r="I12" s="14" t="s">
        <v>39</v>
      </c>
      <c r="J12" s="16"/>
      <c r="K12" s="24">
        <v>8530.33</v>
      </c>
    </row>
    <row r="13" spans="2:11" ht="15.75" thickBot="1" x14ac:dyDescent="0.3">
      <c r="B13" s="3"/>
      <c r="C13" s="3"/>
    </row>
    <row r="14" spans="2:11" ht="18" customHeight="1" x14ac:dyDescent="0.25">
      <c r="B14" s="35" t="s">
        <v>16</v>
      </c>
      <c r="C14" s="36"/>
      <c r="E14" s="21" t="s">
        <v>17</v>
      </c>
      <c r="F14" s="18"/>
      <c r="H14" s="33" t="s">
        <v>32</v>
      </c>
      <c r="I14" s="34"/>
    </row>
    <row r="15" spans="2:11" ht="18" customHeight="1" thickBot="1" x14ac:dyDescent="0.3">
      <c r="B15" s="39"/>
      <c r="C15" s="40"/>
      <c r="E15" s="5"/>
      <c r="F15" s="17"/>
      <c r="H15" s="25"/>
      <c r="I15" s="26"/>
    </row>
    <row r="16" spans="2:11" ht="18" customHeight="1" thickBot="1" x14ac:dyDescent="0.3">
      <c r="B16" s="37" t="s">
        <v>15</v>
      </c>
      <c r="C16" s="38"/>
      <c r="E16" s="23" t="s">
        <v>15</v>
      </c>
      <c r="F16" s="18"/>
      <c r="H16" s="27"/>
      <c r="I16" s="27"/>
    </row>
    <row r="17" spans="2:9" ht="18" customHeight="1" thickBot="1" x14ac:dyDescent="0.3">
      <c r="B17" s="25"/>
      <c r="C17" s="26"/>
      <c r="E17" s="6"/>
      <c r="F17" s="17"/>
      <c r="H17" s="33" t="s">
        <v>22</v>
      </c>
      <c r="I17" s="34"/>
    </row>
    <row r="18" spans="2:9" ht="18" customHeight="1" thickBot="1" x14ac:dyDescent="0.3">
      <c r="B18" s="27"/>
      <c r="C18" s="27"/>
      <c r="H18" s="25"/>
      <c r="I18" s="26"/>
    </row>
    <row r="19" spans="2:9" ht="18" customHeight="1" thickBot="1" x14ac:dyDescent="0.3">
      <c r="B19" s="43" t="s">
        <v>18</v>
      </c>
      <c r="C19" s="44"/>
      <c r="E19" s="21" t="s">
        <v>27</v>
      </c>
      <c r="F19" s="18"/>
      <c r="H19" s="27"/>
      <c r="I19" s="27"/>
    </row>
    <row r="20" spans="2:9" ht="18" customHeight="1" thickBot="1" x14ac:dyDescent="0.3">
      <c r="B20" s="37" t="s">
        <v>19</v>
      </c>
      <c r="C20" s="38"/>
      <c r="E20" s="6"/>
      <c r="F20" s="17"/>
      <c r="H20" s="33" t="s">
        <v>23</v>
      </c>
      <c r="I20" s="34"/>
    </row>
    <row r="21" spans="2:9" ht="18" customHeight="1" thickBot="1" x14ac:dyDescent="0.3">
      <c r="B21" s="39"/>
      <c r="C21" s="40"/>
      <c r="H21" s="25"/>
      <c r="I21" s="26"/>
    </row>
    <row r="22" spans="2:9" ht="18" customHeight="1" x14ac:dyDescent="0.25">
      <c r="B22" s="37" t="s">
        <v>20</v>
      </c>
      <c r="C22" s="38"/>
      <c r="E22" s="21" t="s">
        <v>21</v>
      </c>
      <c r="F22" s="18"/>
    </row>
    <row r="23" spans="2:9" ht="18" customHeight="1" x14ac:dyDescent="0.25">
      <c r="B23" s="39"/>
      <c r="C23" s="40"/>
      <c r="E23" s="7"/>
    </row>
    <row r="24" spans="2:9" ht="18" customHeight="1" thickBot="1" x14ac:dyDescent="0.3">
      <c r="B24" s="41"/>
      <c r="C24" s="42"/>
      <c r="E24" s="22"/>
      <c r="F24" s="17"/>
    </row>
    <row r="26" spans="2:9" x14ac:dyDescent="0.25">
      <c r="B26"/>
      <c r="C26" s="3"/>
    </row>
    <row r="33" spans="2:2" x14ac:dyDescent="0.25">
      <c r="B33"/>
    </row>
  </sheetData>
  <mergeCells count="22">
    <mergeCell ref="B24:C24"/>
    <mergeCell ref="B19:C19"/>
    <mergeCell ref="B20:C20"/>
    <mergeCell ref="B21:C21"/>
    <mergeCell ref="B22:C22"/>
    <mergeCell ref="B23:C23"/>
    <mergeCell ref="H21:I21"/>
    <mergeCell ref="H16:I16"/>
    <mergeCell ref="H19:I19"/>
    <mergeCell ref="B1:D2"/>
    <mergeCell ref="G1:I1"/>
    <mergeCell ref="G2:I2"/>
    <mergeCell ref="H14:I14"/>
    <mergeCell ref="H15:I15"/>
    <mergeCell ref="H17:I17"/>
    <mergeCell ref="H18:I18"/>
    <mergeCell ref="H20:I20"/>
    <mergeCell ref="B14:C14"/>
    <mergeCell ref="B16:C16"/>
    <mergeCell ref="B15:C15"/>
    <mergeCell ref="B17:C17"/>
    <mergeCell ref="B18:C18"/>
  </mergeCells>
  <dataValidations count="2">
    <dataValidation type="list" allowBlank="1" showInputMessage="1" showErrorMessage="1" sqref="F2" xr:uid="{E839BB19-5F09-4525-9529-897BA60ABD8A}">
      <formula1>"Guariroba,Jurupema,Taquaritinga,Vila Negri"</formula1>
    </dataValidation>
    <dataValidation type="list" allowBlank="1" showInputMessage="1" showErrorMessage="1" sqref="E2" xr:uid="{E8739A41-89D9-4A5B-8841-8BC2682A826B}">
      <formula1>"Baguaçu,Cajobi,Guaraci,Olímpia,Severínia"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71A80B-7653-475C-A394-D64E06298A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CESAR VIEIRA</dc:creator>
  <cp:lastModifiedBy>Wagner Cesar Vieira</cp:lastModifiedBy>
  <dcterms:created xsi:type="dcterms:W3CDTF">2024-09-10T00:57:41Z</dcterms:created>
  <dcterms:modified xsi:type="dcterms:W3CDTF">2026-08-25T22:43:07Z</dcterms:modified>
</cp:coreProperties>
</file>