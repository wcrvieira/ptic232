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" ContentType="application/vnd.ms-exce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8_{AD80F3D9-9D0D-4CD1-96C9-8F573630056A}" xr6:coauthVersionLast="47" xr6:coauthVersionMax="47" xr10:uidLastSave="{00000000-0000-0000-0000-000000000000}"/>
  <bookViews>
    <workbookView xWindow="-120" yWindow="-120" windowWidth="20730" windowHeight="11040" activeTab="5" xr2:uid="{DF3537CB-6E0A-4E7C-ABFB-B677C0E8847D}"/>
  </bookViews>
  <sheets>
    <sheet name="Introdução" sheetId="2" r:id="rId1"/>
    <sheet name="Tabela_periódica" sheetId="3" r:id="rId2"/>
    <sheet name="Gráfico1" sheetId="4" r:id="rId3"/>
    <sheet name="Gráfico2" sheetId="5" r:id="rId4"/>
    <sheet name="Gráfico3" sheetId="6" r:id="rId5"/>
    <sheet name="Transp" sheetId="1" r:id="rId6"/>
  </sheets>
  <definedNames>
    <definedName name="_xlnm._FilterDatabase" localSheetId="5" hidden="1">Transp!$B$3:$I$3</definedName>
    <definedName name="Custos">Transp!$J$4:$J$12</definedName>
    <definedName name="Destinos">Transp!$E$4:$E$12</definedName>
    <definedName name="Estados">Transp!$F$4:$F$12</definedName>
    <definedName name="Fretes">Transp!$K$4:$K$12</definedName>
    <definedName name="Motoristas">Transp!$I$4:$I$12</definedName>
    <definedName name="Prazo">Transp!$D$4:$D$12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18" i="1"/>
  <c r="I15" i="1"/>
  <c r="E24" i="1"/>
  <c r="B17" i="1"/>
  <c r="E20" i="1"/>
  <c r="E17" i="1"/>
  <c r="G2" i="1"/>
  <c r="J2" i="1"/>
  <c r="L4" i="1"/>
  <c r="L5" i="1"/>
  <c r="L6" i="1"/>
  <c r="L7" i="1"/>
  <c r="L8" i="1"/>
  <c r="L9" i="1"/>
  <c r="L10" i="1"/>
  <c r="L11" i="1"/>
  <c r="L12" i="1"/>
  <c r="J6" i="1"/>
  <c r="J5" i="1"/>
  <c r="J7" i="1"/>
  <c r="J8" i="1"/>
  <c r="J9" i="1"/>
  <c r="J10" i="1"/>
  <c r="J11" i="1"/>
  <c r="J12" i="1"/>
  <c r="J4" i="1"/>
  <c r="H4" i="1"/>
  <c r="H5" i="1"/>
  <c r="H6" i="1"/>
  <c r="H7" i="1"/>
  <c r="H8" i="1"/>
  <c r="H9" i="1"/>
  <c r="H10" i="1"/>
  <c r="H11" i="1"/>
  <c r="H12" i="1"/>
  <c r="F5" i="1"/>
  <c r="F6" i="1"/>
  <c r="F7" i="1"/>
  <c r="F8" i="1"/>
  <c r="F9" i="1"/>
  <c r="F10" i="1"/>
  <c r="F11" i="1"/>
  <c r="F12" i="1"/>
  <c r="F4" i="1"/>
  <c r="D6" i="1"/>
  <c r="D7" i="1"/>
  <c r="D8" i="1"/>
  <c r="D9" i="1"/>
  <c r="D10" i="1"/>
  <c r="D11" i="1"/>
  <c r="D12" i="1"/>
  <c r="D5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<sst xmlns="http://schemas.openxmlformats.org/spreadsheetml/2006/main" count="104" uniqueCount="97">
  <si>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</si>
  <si>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</si>
  <si>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</si>
  <si>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</si>
  <si>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</si>
  <si>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</si>
  <si>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</si>
  <si>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</si>
  <si>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</si>
  <si>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</si>
  <si>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</si>
  <si>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</si>
  <si>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</si>
  <si>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</si>
  <si>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</si>
  <si>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</si>
  <si>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</si>
  <si>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</si>
  <si>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</si>
  <si>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</si>
  <si>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</si>
  <si>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</si>
  <si>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</si>
  <si>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</si>
  <si>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</si>
  <si>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</si>
  <si>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</si>
  <si>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</si>
  <si>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</si>
  <si>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</si>
  <si>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</si>
  <si>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</si>
  <si>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</si>
  <si>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</si>
  <si>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</si>
  <si>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</si>
  <si>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</si>
  <si>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</si>
  <si>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</si>
  <si>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</si>
  <si>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</si>
  <si>
    <t>Olímpia</t>
  </si>
  <si>
    <t>Operadores de cálculo e ordem de execução</t>
  </si>
  <si>
    <t>Operador aritmético</t>
  </si>
  <si>
    <t>Significado</t>
  </si>
  <si>
    <t>Exemplo</t>
  </si>
  <si>
    <t>Operador de comparação</t>
  </si>
  <si>
    <t>+ (sinal de adição)</t>
  </si>
  <si>
    <t>Adição</t>
  </si>
  <si>
    <t>=A2+B2</t>
  </si>
  <si>
    <t>=  (sinal de igual)</t>
  </si>
  <si>
    <t>Igual a</t>
  </si>
  <si>
    <t>=E2=F2</t>
  </si>
  <si>
    <t>- (sinal de subtração)</t>
  </si>
  <si>
    <t>Subtração</t>
  </si>
  <si>
    <t>=A2-B2</t>
  </si>
  <si>
    <t>&gt;  (sinal de maior)</t>
  </si>
  <si>
    <t>Maior que</t>
  </si>
  <si>
    <t>=E2&gt;F2</t>
  </si>
  <si>
    <t>* (asterisco)</t>
  </si>
  <si>
    <t>Multiplicação</t>
  </si>
  <si>
    <t>=A2*B2</t>
  </si>
  <si>
    <t>&lt;  (sinal de menor)</t>
  </si>
  <si>
    <t>Menor que</t>
  </si>
  <si>
    <t>=E2&lt;F2</t>
  </si>
  <si>
    <t>/ (barra)</t>
  </si>
  <si>
    <t>Divisão</t>
  </si>
  <si>
    <t>=A2/B2</t>
  </si>
  <si>
    <t>&gt;=  (sinal de maior ou igual)</t>
  </si>
  <si>
    <t>Maior ou igual a</t>
  </si>
  <si>
    <t>=E2&gt;=F2</t>
  </si>
  <si>
    <t>% (símbolo de percentagem)</t>
  </si>
  <si>
    <t>Percentagem</t>
  </si>
  <si>
    <t>=A2*0,5</t>
  </si>
  <si>
    <t>&lt;=  (sinal de menor ou igual)</t>
  </si>
  <si>
    <t>Menor ou igual a</t>
  </si>
  <si>
    <t>=E2&lt;=F2</t>
  </si>
  <si>
    <t>^ (acento circunflexo)</t>
  </si>
  <si>
    <t>Exponenciação</t>
  </si>
  <si>
    <t>=A2^B2</t>
  </si>
  <si>
    <t>&lt;&gt;  (sinal de diferente)</t>
  </si>
  <si>
    <t>Diferente de</t>
  </si>
  <si>
    <t>=E2&lt;&gt;F2</t>
  </si>
  <si>
    <t>Operadores de referência</t>
  </si>
  <si>
    <t>: (dois pontos)</t>
  </si>
  <si>
    <t>Operador de intervalo, que produz uma referência a todas as células entre duas referências, incluindo as duas referências. Sentido de "até"</t>
  </si>
  <si>
    <t>=A2:G2</t>
  </si>
  <si>
    <t>; (ponto e vírgula)</t>
  </si>
  <si>
    <t>Operador de União que combina várias referências numa só. Sentido de "e"</t>
  </si>
  <si>
    <t>=SOMA(A2;B2;E2;F2;)</t>
  </si>
  <si>
    <t>(espaço)</t>
  </si>
  <si>
    <t>Operador de interseção, que produz no referência a células comuns às duas referências.</t>
  </si>
  <si>
    <t>=A2:B2 E2:F2)</t>
  </si>
  <si>
    <t>Velocidade máxima</t>
  </si>
  <si>
    <t>Lucro</t>
  </si>
  <si>
    <t>km/h</t>
  </si>
  <si>
    <t>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</si>
</sst>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h:mm:ss;@"/>
    <numFmt numFmtId="165" formatCode="[$-F800]dddd\,\ mmmm\ dd\,\ yyyy"/>
    <numFmt numFmtId="171" formatCode="0.000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2"/>
      <color rgb="FFFF0000"/>
      <name val="Arial"/>
      <family val="2"/>
    </font>
    <font>
      <sz val="14"/>
      <color theme="1"/>
      <name val="Arial"/>
      <family val="2"/>
    </font>
    <font>
      <u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C000"/>
      </left>
      <right style="thin">
        <color rgb="FFFFC000"/>
      </right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10" fillId="0" borderId="13" xfId="0" applyFont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44" fontId="5" fillId="0" borderId="13" xfId="0" applyNumberFormat="1" applyFont="1" applyBorder="1" applyAlignment="1">
      <alignment vertical="center"/>
    </xf>
    <xf numFmtId="44" fontId="5" fillId="0" borderId="13" xfId="1" applyFont="1" applyBorder="1" applyAlignment="1">
      <alignment vertical="center"/>
    </xf>
    <xf numFmtId="49" fontId="11" fillId="0" borderId="0" xfId="0" applyNumberFormat="1" applyFont="1" applyAlignment="1">
      <alignment vertical="center" wrapText="1"/>
    </xf>
    <xf numFmtId="49" fontId="12" fillId="4" borderId="15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12" fillId="4" borderId="17" xfId="0" applyNumberFormat="1" applyFont="1" applyFill="1" applyBorder="1" applyAlignment="1">
      <alignment horizontal="center" vertical="center" wrapText="1"/>
    </xf>
    <xf numFmtId="49" fontId="12" fillId="4" borderId="15" xfId="0" applyNumberFormat="1" applyFont="1" applyFill="1" applyBorder="1" applyAlignment="1">
      <alignment vertical="center" wrapText="1"/>
    </xf>
    <xf numFmtId="49" fontId="12" fillId="4" borderId="16" xfId="0" applyNumberFormat="1" applyFont="1" applyFill="1" applyBorder="1" applyAlignment="1">
      <alignment vertical="center" wrapText="1"/>
    </xf>
    <xf numFmtId="49" fontId="12" fillId="4" borderId="17" xfId="0" applyNumberFormat="1" applyFont="1" applyFill="1" applyBorder="1" applyAlignment="1">
      <alignment horizontal="left" vertical="center" wrapText="1"/>
    </xf>
    <xf numFmtId="49" fontId="6" fillId="0" borderId="18" xfId="0" applyNumberFormat="1" applyFont="1" applyBorder="1" applyAlignment="1">
      <alignment vertical="center" wrapText="1"/>
    </xf>
    <xf numFmtId="49" fontId="6" fillId="0" borderId="19" xfId="0" applyNumberFormat="1" applyFont="1" applyBorder="1" applyAlignment="1">
      <alignment vertical="center" wrapText="1"/>
    </xf>
    <xf numFmtId="49" fontId="13" fillId="0" borderId="20" xfId="0" applyNumberFormat="1" applyFont="1" applyBorder="1" applyAlignment="1">
      <alignment horizontal="left" vertical="center" wrapText="1"/>
    </xf>
    <xf numFmtId="49" fontId="6" fillId="0" borderId="21" xfId="0" applyNumberFormat="1" applyFont="1" applyBorder="1" applyAlignment="1">
      <alignment vertical="center" wrapText="1"/>
    </xf>
    <xf numFmtId="49" fontId="6" fillId="0" borderId="22" xfId="0" applyNumberFormat="1" applyFont="1" applyBorder="1" applyAlignment="1">
      <alignment vertical="center" wrapText="1"/>
    </xf>
    <xf numFmtId="49" fontId="13" fillId="0" borderId="23" xfId="0" applyNumberFormat="1" applyFont="1" applyBorder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left" vertical="center" wrapText="1"/>
    </xf>
    <xf numFmtId="0" fontId="0" fillId="4" borderId="16" xfId="0" applyFill="1" applyBorder="1"/>
    <xf numFmtId="0" fontId="0" fillId="0" borderId="19" xfId="0" applyBorder="1"/>
    <xf numFmtId="49" fontId="6" fillId="0" borderId="20" xfId="0" applyNumberFormat="1" applyFont="1" applyBorder="1" applyAlignment="1">
      <alignment horizontal="left" vertical="center" wrapText="1"/>
    </xf>
    <xf numFmtId="0" fontId="0" fillId="0" borderId="22" xfId="0" applyBorder="1"/>
    <xf numFmtId="49" fontId="6" fillId="0" borderId="23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 wrapText="1"/>
    </xf>
    <xf numFmtId="44" fontId="5" fillId="0" borderId="24" xfId="1" applyFont="1" applyBorder="1" applyAlignment="1">
      <alignment vertical="center"/>
    </xf>
    <xf numFmtId="0" fontId="8" fillId="2" borderId="25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64" fontId="5" fillId="0" borderId="13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 wrapText="1"/>
    </xf>
    <xf numFmtId="9" fontId="5" fillId="0" borderId="24" xfId="2" applyFont="1" applyBorder="1" applyAlignment="1">
      <alignment horizontal="center" vertical="center"/>
    </xf>
    <xf numFmtId="9" fontId="5" fillId="0" borderId="13" xfId="2" applyFont="1" applyBorder="1" applyAlignment="1">
      <alignment horizontal="center" vertical="center"/>
    </xf>
    <xf numFmtId="44" fontId="2" fillId="0" borderId="10" xfId="1" applyFont="1" applyBorder="1"/>
    <xf numFmtId="0" fontId="0" fillId="0" borderId="0" xfId="0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6" fillId="0" borderId="13" xfId="0" quotePrefix="1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44" fontId="2" fillId="0" borderId="6" xfId="1" applyFont="1" applyBorder="1" applyAlignment="1">
      <alignment horizontal="center"/>
    </xf>
    <xf numFmtId="44" fontId="2" fillId="0" borderId="7" xfId="1" applyFont="1" applyBorder="1" applyAlignment="1">
      <alignment horizontal="center"/>
    </xf>
    <xf numFmtId="49" fontId="6" fillId="0" borderId="22" xfId="0" applyNumberFormat="1" applyFont="1" applyBorder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6" fillId="0" borderId="19" xfId="0" applyNumberFormat="1" applyFont="1" applyBorder="1" applyAlignment="1">
      <alignment horizontal="left" vertical="center" wrapText="1"/>
    </xf>
    <xf numFmtId="171" fontId="2" fillId="0" borderId="10" xfId="0" applyNumberFormat="1" applyFont="1" applyBorder="1"/>
    <xf numFmtId="0" fontId="9" fillId="3" borderId="2" xfId="0" applyFont="1" applyFill="1" applyBorder="1" applyAlignment="1"/>
    <xf numFmtId="44" fontId="2" fillId="0" borderId="6" xfId="1" applyFont="1" applyBorder="1" applyAlignment="1"/>
    <xf numFmtId="14" fontId="2" fillId="0" borderId="4" xfId="0" applyNumberFormat="1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11" Type="http://schemas.openxmlformats.org/officeDocument/2006/relationships/calcChain" Target="calcChain.xml"/><Relationship Id="rId5" Type="http://schemas.openxmlformats.org/officeDocument/2006/relationships/chartsheet" Target="chartsheets/sheet3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Transp!$K$3</c:f>
              <c:strCache>
                <c:ptCount val="1"/>
                <c:pt idx="0">
                  <c:v>Frete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Transp!$E$4:$E$12</c:f>
              <c:strCache>
                <c:ptCount val="9"/>
                <c:pt idx="0">
                  <c:v>Belo Horizonte - MG</c:v>
                </c:pt>
                <c:pt idx="1">
                  <c:v>Campinas - SP</c:v>
                </c:pt>
                <c:pt idx="2">
                  <c:v>Curitiba - PR</c:v>
                </c:pt>
                <c:pt idx="3">
                  <c:v>Goiânia - GO</c:v>
                </c:pt>
                <c:pt idx="4">
                  <c:v>Porto Alegre - RS</c:v>
                </c:pt>
                <c:pt idx="5">
                  <c:v>Recife - PE</c:v>
                </c:pt>
                <c:pt idx="6">
                  <c:v>Rio de Janeiro - RJ</c:v>
                </c:pt>
                <c:pt idx="7">
                  <c:v>Salvador - BA</c:v>
                </c:pt>
                <c:pt idx="8">
                  <c:v>São Paulo - SP</c:v>
                </c:pt>
              </c:strCache>
            </c:strRef>
          </c:xVal>
          <c:yVal>
            <c:numRef>
              <c:f>Transp!$K$4:$K$12</c:f>
              <c:numCache>
                <c:formatCode>_("R$"* #,##0.00_);_("R$"* \(#,##0.00\);_("R$"* "-"??_);_(@_)</c:formatCode>
                <c:ptCount val="9"/>
                <c:pt idx="0">
                  <c:v>11504.32</c:v>
                </c:pt>
                <c:pt idx="1">
                  <c:v>6742.6</c:v>
                </c:pt>
                <c:pt idx="2">
                  <c:v>13292.5</c:v>
                </c:pt>
                <c:pt idx="3">
                  <c:v>9465.9699999999993</c:v>
                </c:pt>
                <c:pt idx="4">
                  <c:v>26574.76</c:v>
                </c:pt>
                <c:pt idx="5">
                  <c:v>44577.41</c:v>
                </c:pt>
                <c:pt idx="6">
                  <c:v>15088.51</c:v>
                </c:pt>
                <c:pt idx="7">
                  <c:v>33308.019999999997</c:v>
                </c:pt>
                <c:pt idx="8">
                  <c:v>8530.33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53-4E7E-8663-204C62B06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1355183"/>
        <c:axId val="1281347663"/>
      </c:scatterChart>
      <c:valAx>
        <c:axId val="1361355183"/>
        <c:scaling>
          <c:orientation val="minMax"/>
        </c:scaling>
        <c:delete val="0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1347663"/>
        <c:crosses val="autoZero"/>
        <c:crossBetween val="midCat"/>
      </c:valAx>
      <c:valAx>
        <c:axId val="1281347663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5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Transp!$E$12</c:f>
              <c:strCache>
                <c:ptCount val="1"/>
                <c:pt idx="0">
                  <c:v>São Paulo - SP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Transp!$F$3:$F$11</c:f>
              <c:strCache>
                <c:ptCount val="9"/>
                <c:pt idx="0">
                  <c:v>Estado</c:v>
                </c:pt>
                <c:pt idx="1">
                  <c:v>MG</c:v>
                </c:pt>
                <c:pt idx="2">
                  <c:v>SP</c:v>
                </c:pt>
                <c:pt idx="3">
                  <c:v>PR</c:v>
                </c:pt>
                <c:pt idx="4">
                  <c:v>GO</c:v>
                </c:pt>
                <c:pt idx="5">
                  <c:v>RS</c:v>
                </c:pt>
                <c:pt idx="6">
                  <c:v>PE</c:v>
                </c:pt>
                <c:pt idx="7">
                  <c:v>RJ</c:v>
                </c:pt>
                <c:pt idx="8">
                  <c:v>BA</c:v>
                </c:pt>
              </c:strCache>
            </c:strRef>
          </c:cat>
          <c:val>
            <c:numRef>
              <c:f>Transp!$F$12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F-4E53-A556-E8B5F91A8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5291056"/>
        <c:axId val="1361257743"/>
      </c:barChart>
      <c:catAx>
        <c:axId val="143529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257743"/>
        <c:crosses val="autoZero"/>
        <c:auto val="1"/>
        <c:lblAlgn val="ctr"/>
        <c:lblOffset val="100"/>
        <c:noMultiLvlLbl val="0"/>
      </c:catAx>
      <c:valAx>
        <c:axId val="136125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529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Transp!$E$12</c:f>
              <c:strCache>
                <c:ptCount val="1"/>
                <c:pt idx="0">
                  <c:v>São Paulo - SP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Transp!$F$3:$F$11</c:f>
              <c:strCache>
                <c:ptCount val="9"/>
                <c:pt idx="0">
                  <c:v>Estado</c:v>
                </c:pt>
                <c:pt idx="1">
                  <c:v>MG</c:v>
                </c:pt>
                <c:pt idx="2">
                  <c:v>SP</c:v>
                </c:pt>
                <c:pt idx="3">
                  <c:v>PR</c:v>
                </c:pt>
                <c:pt idx="4">
                  <c:v>GO</c:v>
                </c:pt>
                <c:pt idx="5">
                  <c:v>RS</c:v>
                </c:pt>
                <c:pt idx="6">
                  <c:v>PE</c:v>
                </c:pt>
                <c:pt idx="7">
                  <c:v>RJ</c:v>
                </c:pt>
                <c:pt idx="8">
                  <c:v>BA</c:v>
                </c:pt>
              </c:strCache>
            </c:strRef>
          </c:cat>
          <c:val>
            <c:numRef>
              <c:f>Transp!$F$12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1-4782-971E-78E56F9FA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5237696"/>
        <c:axId val="1361248143"/>
      </c:barChart>
      <c:catAx>
        <c:axId val="143523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248143"/>
        <c:crosses val="autoZero"/>
        <c:auto val="1"/>
        <c:lblAlgn val="ctr"/>
        <c:lblOffset val="100"/>
        <c:noMultiLvlLbl val="0"/>
      </c:catAx>
      <c:valAx>
        <c:axId val="136124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523769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88B973-CD9D-490E-8A71-A7FB3EC02F7E}">
  <sheetPr/>
  <sheetViews>
    <sheetView zoomScale="8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F18BBC7-D104-46C8-A09D-4A39CEE2CB37}">
  <sheetPr/>
  <sheetViews>
    <sheetView zoomScale="8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9552D5-7EC5-4B95-8B54-581BB257EE72}">
  <sheetPr/>
  <sheetViews>
    <sheetView zoomScale="8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15</xdr:row>
      <xdr:rowOff>47625</xdr:rowOff>
    </xdr:from>
    <xdr:to>
      <xdr:col>5</xdr:col>
      <xdr:colOff>610298</xdr:colOff>
      <xdr:row>24</xdr:row>
      <xdr:rowOff>500122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C3182C-28A0-4D42-8A1F-C7EAB72DD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153025"/>
          <a:ext cx="6944423" cy="2862322"/>
        </a:xfrm>
        <a:prstGeom prst="rect">
          <a:avLst/>
        </a:prstGeom>
        <a:solidFill>
          <a:schemeClr val="accent2"/>
        </a:solidFill>
        <a:ln>
          <a:solidFill>
            <a:srgbClr val="FF0000"/>
          </a:solidFill>
        </a:ln>
      </xdr:spPr>
    </xdr:pic>
    <xdr:clientData/>
  </xdr:twoCellAnchor>
  <xdr:twoCellAnchor editAs="oneCell">
    <xdr:from>
      <xdr:col>5</xdr:col>
      <xdr:colOff>676275</xdr:colOff>
      <xdr:row>15</xdr:row>
      <xdr:rowOff>28576</xdr:rowOff>
    </xdr:from>
    <xdr:to>
      <xdr:col>9</xdr:col>
      <xdr:colOff>104775</xdr:colOff>
      <xdr:row>24</xdr:row>
      <xdr:rowOff>509731</xdr:rowOff>
    </xdr:to>
    <xdr:pic>
      <xdr:nvPicPr>
        <xdr:cNvPr id="3" name="Picture 2" descr="Resultado de imagem para cursores do excel">
          <a:extLst>
            <a:ext uri="{FF2B5EF4-FFF2-40B4-BE49-F238E27FC236}">
              <a16:creationId xmlns:a16="http://schemas.microsoft.com/office/drawing/2014/main" id="{9AD2A84D-7E9F-4E50-BEF2-ED0F047B2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8025" y="5133976"/>
          <a:ext cx="5981700" cy="2890980"/>
        </a:xfrm>
        <a:prstGeom prst="rect">
          <a:avLst/>
        </a:prstGeom>
        <a:noFill/>
        <a:ln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161925</xdr:colOff>
          <xdr:row>9</xdr:row>
          <xdr:rowOff>285750</xdr:rowOff>
        </xdr:from>
        <xdr:to>
          <xdr:col>7</xdr:col>
          <xdr:colOff>695325</xdr:colOff>
          <xdr:row>13</xdr:row>
          <xdr:rowOff>457200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563537</xdr:colOff>
      <xdr:row>46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ED0B6B3-48BA-4DEB-9FB2-765907ADD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755537" cy="8839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652774" cy="601701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71932BE-346D-CD6B-8EA8-7084C28C53F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652774" cy="601701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D14F44-33E8-B699-9220-309BF07708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652774" cy="601701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65639F-3F94-8D60-FD14-518880C1139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Microsoft_Excel_97-2003_Worksheet.xls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C4A4-6B52-42EC-9A65-F3746A005D4A}">
  <dimension ref="B1:H26"/>
  <sheetViews>
    <sheetView showGridLines="0" zoomScaleNormal="100" workbookViewId="0">
      <selection activeCell="B5" sqref="B5"/>
    </sheetView>
  </sheetViews>
  <sheetFormatPr defaultRowHeight="15" x14ac:dyDescent="0.25"/>
  <cols>
    <col min="1" max="1" width="3.5703125" customWidth="1"/>
    <col min="2" max="4" width="30.42578125" customWidth="1"/>
    <col min="5" max="5" width="4.42578125" customWidth="1"/>
    <col min="6" max="8" width="29.7109375" customWidth="1"/>
  </cols>
  <sheetData>
    <row r="1" spans="2:8" ht="25.5" customHeight="1" x14ac:dyDescent="0.25">
      <c r="B1" s="71" t="s">
        <v>42</v>
      </c>
      <c r="C1" s="71"/>
      <c r="D1" s="71"/>
      <c r="E1" s="71"/>
      <c r="F1" s="71"/>
      <c r="G1" s="71"/>
      <c r="H1" s="71"/>
    </row>
    <row r="2" spans="2:8" ht="15.75" customHeight="1" thickBot="1" x14ac:dyDescent="0.3">
      <c r="B2" s="72"/>
      <c r="C2" s="72"/>
      <c r="D2" s="72"/>
      <c r="E2" s="22"/>
      <c r="F2" s="51"/>
      <c r="G2" s="51"/>
      <c r="H2" s="51"/>
    </row>
    <row r="3" spans="2:8" ht="23.25" customHeight="1" x14ac:dyDescent="0.25">
      <c r="B3" s="23" t="s">
        <v>43</v>
      </c>
      <c r="C3" s="24" t="s">
        <v>44</v>
      </c>
      <c r="D3" s="25" t="s">
        <v>45</v>
      </c>
      <c r="E3" s="22"/>
      <c r="F3" s="26" t="s">
        <v>46</v>
      </c>
      <c r="G3" s="27" t="s">
        <v>44</v>
      </c>
      <c r="H3" s="28" t="s">
        <v>45</v>
      </c>
    </row>
    <row r="4" spans="2:8" ht="23.25" customHeight="1" x14ac:dyDescent="0.25">
      <c r="B4" s="29" t="s">
        <v>47</v>
      </c>
      <c r="C4" s="30" t="s">
        <v>48</v>
      </c>
      <c r="D4" s="31" t="s">
        <v>49</v>
      </c>
      <c r="E4" s="22"/>
      <c r="F4" s="29" t="s">
        <v>50</v>
      </c>
      <c r="G4" s="30" t="s">
        <v>51</v>
      </c>
      <c r="H4" s="31" t="s">
        <v>52</v>
      </c>
    </row>
    <row r="5" spans="2:8" ht="23.25" customHeight="1" x14ac:dyDescent="0.25">
      <c r="B5" s="29" t="s">
        <v>53</v>
      </c>
      <c r="C5" s="30" t="s">
        <v>54</v>
      </c>
      <c r="D5" s="31" t="s">
        <v>55</v>
      </c>
      <c r="E5" s="22"/>
      <c r="F5" s="29" t="s">
        <v>56</v>
      </c>
      <c r="G5" s="30" t="s">
        <v>57</v>
      </c>
      <c r="H5" s="31" t="s">
        <v>58</v>
      </c>
    </row>
    <row r="6" spans="2:8" ht="23.25" customHeight="1" x14ac:dyDescent="0.25">
      <c r="B6" s="29" t="s">
        <v>59</v>
      </c>
      <c r="C6" s="30" t="s">
        <v>60</v>
      </c>
      <c r="D6" s="31" t="s">
        <v>61</v>
      </c>
      <c r="E6" s="22"/>
      <c r="F6" s="29" t="s">
        <v>62</v>
      </c>
      <c r="G6" s="30" t="s">
        <v>63</v>
      </c>
      <c r="H6" s="31" t="s">
        <v>64</v>
      </c>
    </row>
    <row r="7" spans="2:8" ht="23.25" customHeight="1" x14ac:dyDescent="0.25">
      <c r="B7" s="29" t="s">
        <v>65</v>
      </c>
      <c r="C7" s="30" t="s">
        <v>66</v>
      </c>
      <c r="D7" s="31" t="s">
        <v>67</v>
      </c>
      <c r="E7" s="22"/>
      <c r="F7" s="29" t="s">
        <v>68</v>
      </c>
      <c r="G7" s="30" t="s">
        <v>69</v>
      </c>
      <c r="H7" s="31" t="s">
        <v>70</v>
      </c>
    </row>
    <row r="8" spans="2:8" ht="23.25" customHeight="1" x14ac:dyDescent="0.25">
      <c r="B8" s="29" t="s">
        <v>71</v>
      </c>
      <c r="C8" s="30" t="s">
        <v>72</v>
      </c>
      <c r="D8" s="31" t="s">
        <v>73</v>
      </c>
      <c r="E8" s="22"/>
      <c r="F8" s="29" t="s">
        <v>74</v>
      </c>
      <c r="G8" s="30" t="s">
        <v>75</v>
      </c>
      <c r="H8" s="31" t="s">
        <v>76</v>
      </c>
    </row>
    <row r="9" spans="2:8" ht="23.25" customHeight="1" thickBot="1" x14ac:dyDescent="0.3">
      <c r="B9" s="32" t="s">
        <v>77</v>
      </c>
      <c r="C9" s="33" t="s">
        <v>78</v>
      </c>
      <c r="D9" s="34" t="s">
        <v>79</v>
      </c>
      <c r="E9" s="22"/>
      <c r="F9" s="32" t="s">
        <v>80</v>
      </c>
      <c r="G9" s="33" t="s">
        <v>81</v>
      </c>
      <c r="H9" s="34" t="s">
        <v>82</v>
      </c>
    </row>
    <row r="10" spans="2:8" ht="23.25" customHeight="1" thickBot="1" x14ac:dyDescent="0.3">
      <c r="B10" s="35"/>
      <c r="C10" s="35"/>
      <c r="D10" s="36"/>
    </row>
    <row r="11" spans="2:8" ht="20.25" customHeight="1" x14ac:dyDescent="0.25">
      <c r="B11" s="26" t="s">
        <v>83</v>
      </c>
      <c r="C11" s="73" t="s">
        <v>44</v>
      </c>
      <c r="D11" s="73"/>
      <c r="E11" s="37"/>
      <c r="F11" s="28" t="s">
        <v>45</v>
      </c>
    </row>
    <row r="12" spans="2:8" ht="58.5" customHeight="1" x14ac:dyDescent="0.25">
      <c r="B12" s="29" t="s">
        <v>84</v>
      </c>
      <c r="C12" s="74" t="s">
        <v>85</v>
      </c>
      <c r="D12" s="74"/>
      <c r="E12" s="38"/>
      <c r="F12" s="39" t="s">
        <v>86</v>
      </c>
    </row>
    <row r="13" spans="2:8" ht="39" customHeight="1" x14ac:dyDescent="0.25">
      <c r="B13" s="29" t="s">
        <v>87</v>
      </c>
      <c r="C13" s="74" t="s">
        <v>88</v>
      </c>
      <c r="D13" s="74"/>
      <c r="E13" s="38"/>
      <c r="F13" s="39" t="s">
        <v>89</v>
      </c>
    </row>
    <row r="14" spans="2:8" ht="39" customHeight="1" thickBot="1" x14ac:dyDescent="0.3">
      <c r="B14" s="32" t="s">
        <v>90</v>
      </c>
      <c r="C14" s="70" t="s">
        <v>91</v>
      </c>
      <c r="D14" s="70"/>
      <c r="E14" s="40"/>
      <c r="F14" s="41" t="s">
        <v>92</v>
      </c>
    </row>
    <row r="15" spans="2:8" ht="18" customHeight="1" x14ac:dyDescent="0.25"/>
    <row r="16" spans="2:8" ht="18" customHeight="1" x14ac:dyDescent="0.25"/>
    <row r="17" spans="2:8" ht="18" customHeight="1" x14ac:dyDescent="0.25"/>
    <row r="18" spans="2:8" ht="18" customHeight="1" x14ac:dyDescent="0.25"/>
    <row r="19" spans="2:8" ht="15.75" x14ac:dyDescent="0.25">
      <c r="B19" s="35"/>
      <c r="C19" s="35"/>
      <c r="D19" s="36"/>
      <c r="F19" s="42"/>
      <c r="G19" s="42"/>
      <c r="H19" s="42"/>
    </row>
    <row r="20" spans="2:8" x14ac:dyDescent="0.25">
      <c r="F20" s="35"/>
      <c r="G20" s="35"/>
      <c r="H20" s="36"/>
    </row>
    <row r="21" spans="2:8" ht="27.75" customHeight="1" x14ac:dyDescent="0.25">
      <c r="F21" s="35"/>
      <c r="G21" s="35"/>
      <c r="H21" s="36"/>
    </row>
    <row r="24" spans="2:8" ht="47.25" customHeight="1" x14ac:dyDescent="0.25"/>
    <row r="25" spans="2:8" ht="40.5" customHeight="1" x14ac:dyDescent="0.25"/>
    <row r="26" spans="2:8" ht="34.5" customHeight="1" x14ac:dyDescent="0.25"/>
  </sheetData>
  <mergeCells count="7">
    <mergeCell ref="C14:D14"/>
    <mergeCell ref="B1:H1"/>
    <mergeCell ref="B2:D2"/>
    <mergeCell ref="F2:H2"/>
    <mergeCell ref="C11:D11"/>
    <mergeCell ref="C12:D12"/>
    <mergeCell ref="C13:D13"/>
  </mergeCells>
  <pageMargins left="0.511811024" right="0.511811024" top="0.78740157499999996" bottom="0.78740157499999996" header="0.31496062000000002" footer="0.31496062000000002"/>
  <drawing r:id="rId1"/>
  <legacyDrawing r:id="rId2"/>
  <oleObjects>
    <mc:AlternateContent xmlns:mc="http://schemas.openxmlformats.org/markup-compatibility/2006">
      <mc:Choice Requires="x14">
        <oleObject progId="Excel.Sheet.8" shapeId="2049" r:id="rId3">
          <objectPr defaultSize="0" autoPict="0" r:id="rId4">
            <anchor moveWithCells="1">
              <from>
                <xdr:col>6</xdr:col>
                <xdr:colOff>161925</xdr:colOff>
                <xdr:row>9</xdr:row>
                <xdr:rowOff>285750</xdr:rowOff>
              </from>
              <to>
                <xdr:col>7</xdr:col>
                <xdr:colOff>695325</xdr:colOff>
                <xdr:row>13</xdr:row>
                <xdr:rowOff>457200</xdr:rowOff>
              </to>
            </anchor>
          </objectPr>
        </oleObject>
      </mc:Choice>
      <mc:Fallback>
        <oleObject progId="Excel.Sheet.8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3F38-01B0-42F0-B78F-841D7CD788A2}">
  <dimension ref="A1"/>
  <sheetViews>
    <sheetView showGridLines="0" zoomScale="90" zoomScaleNormal="90" workbookViewId="0">
      <selection activeCell="F7" sqref="F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33"/>
  <sheetViews>
    <sheetView tabSelected="1" topLeftCell="A19" zoomScale="145" zoomScaleNormal="145" workbookViewId="0">
      <selection activeCell="B24" sqref="B24:C24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40.28515625" bestFit="1" customWidth="1"/>
    <col min="9" max="9" width="22.7109375" bestFit="1" customWidth="1"/>
    <col min="10" max="10" width="15" bestFit="1" customWidth="1"/>
    <col min="11" max="11" width="20.42578125" bestFit="1" customWidth="1"/>
    <col min="12" max="12" width="12.28515625" customWidth="1"/>
  </cols>
  <sheetData>
    <row r="1" spans="2:12" x14ac:dyDescent="0.25">
      <c r="B1" s="60" t="s">
        <v>33</v>
      </c>
      <c r="C1" s="60"/>
      <c r="D1" s="60"/>
      <c r="E1" s="7" t="s">
        <v>28</v>
      </c>
      <c r="F1" s="7"/>
      <c r="G1" s="59" t="s">
        <v>30</v>
      </c>
      <c r="H1" s="59"/>
      <c r="I1" s="59"/>
      <c r="J1" s="45" t="s">
        <v>29</v>
      </c>
      <c r="K1" s="59" t="s">
        <v>93</v>
      </c>
      <c r="L1" s="59"/>
    </row>
    <row r="2" spans="2:12" s="4" customFormat="1" ht="23.25" customHeight="1" x14ac:dyDescent="0.25">
      <c r="B2" s="61"/>
      <c r="C2" s="61"/>
      <c r="D2" s="61"/>
      <c r="E2" s="17" t="s">
        <v>41</v>
      </c>
      <c r="F2" s="8"/>
      <c r="G2" s="62" t="str">
        <f ca="1">"Hoje é "&amp;TEXT(TODAY(),"dddd"", dia ""dd"" de ""mmmm"" de ""aaaa")</f>
        <v>Hoje é quarta-feira, dia 16 de setembro de 2026</v>
      </c>
      <c r="H2" s="63"/>
      <c r="I2" s="63"/>
      <c r="J2" s="46" t="str">
        <f ca="1">TEXT(NOW(),"hh:mm:ss")</f>
        <v>11:06:37</v>
      </c>
      <c r="K2" s="9">
        <v>80</v>
      </c>
      <c r="L2" s="9" t="s">
        <v>95</v>
      </c>
    </row>
    <row r="3" spans="2:12" ht="45" x14ac:dyDescent="0.25">
      <c r="B3" s="12" t="s">
        <v>0</v>
      </c>
      <c r="C3" s="12" t="s">
        <v>1</v>
      </c>
      <c r="D3" s="13" t="s">
        <v>24</v>
      </c>
      <c r="E3" s="12" t="s">
        <v>11</v>
      </c>
      <c r="F3" s="12" t="s">
        <v>32</v>
      </c>
      <c r="G3" s="44" t="s">
        <v>25</v>
      </c>
      <c r="H3" s="47" t="s">
        <v>26</v>
      </c>
      <c r="I3" s="44" t="s">
        <v>14</v>
      </c>
      <c r="J3" s="44" t="s">
        <v>12</v>
      </c>
      <c r="K3" s="44" t="s">
        <v>13</v>
      </c>
      <c r="L3" s="44" t="s">
        <v>94</v>
      </c>
    </row>
    <row r="4" spans="2:12" ht="18" customHeight="1" x14ac:dyDescent="0.25">
      <c r="B4" s="18">
        <v>46152</v>
      </c>
      <c r="C4" s="18">
        <v>46164</v>
      </c>
      <c r="D4" s="9">
        <f>C4-B4</f>
        <v>12</v>
      </c>
      <c r="E4" s="19" t="s">
        <v>10</v>
      </c>
      <c r="F4" s="9" t="str">
        <f>RIGHT(E4,2)</f>
        <v>MG</v>
      </c>
      <c r="G4" s="9">
        <v>1272</v>
      </c>
      <c r="H4" s="9" t="str">
        <f>TEXT((G4/$K$2)/24,"dd"" dia, ""hh"" horas, ""mm"" minutos, ""ss"" segundos""")</f>
        <v>00 dia, 15 horas, 54 minutos, 00 segundos</v>
      </c>
      <c r="I4" s="19" t="s">
        <v>34</v>
      </c>
      <c r="J4" s="20">
        <f>IF(G4&gt;=1000,K4*35%,K4*45%)</f>
        <v>4026.5119999999997</v>
      </c>
      <c r="K4" s="21">
        <v>11504.32</v>
      </c>
      <c r="L4" s="48">
        <f>1-J4/K4</f>
        <v>0.65</v>
      </c>
    </row>
    <row r="5" spans="2:12" ht="18" customHeight="1" x14ac:dyDescent="0.25">
      <c r="B5" s="18">
        <v>46120</v>
      </c>
      <c r="C5" s="18">
        <v>46127</v>
      </c>
      <c r="D5" s="9">
        <f>C5-B5</f>
        <v>7</v>
      </c>
      <c r="E5" s="19" t="s">
        <v>4</v>
      </c>
      <c r="F5" s="9" t="str">
        <f t="shared" ref="F5:F12" si="0">RIGHT(E5,2)</f>
        <v>SP</v>
      </c>
      <c r="G5" s="9">
        <v>702</v>
      </c>
      <c r="H5" s="9" t="str">
        <f t="shared" ref="H5:H12" si="1">TEXT((G5/$K$2)/24,"dd"" dia, ""hh"" horas, ""mm"" minutos, ""ss"" segundos""")</f>
        <v>00 dia, 08 horas, 46 minutos, 30 segundos</v>
      </c>
      <c r="I5" s="19" t="s">
        <v>37</v>
      </c>
      <c r="J5" s="20">
        <f t="shared" ref="J5:J12" si="2">IF(G5&gt;=1000,K5*35%,K5*45%)</f>
        <v>3034.17</v>
      </c>
      <c r="K5" s="21">
        <v>6742.6</v>
      </c>
      <c r="L5" s="49">
        <f t="shared" ref="L5:L12" si="3">1-J5/K5</f>
        <v>0.55000000000000004</v>
      </c>
    </row>
    <row r="6" spans="2:12" ht="18" customHeight="1" x14ac:dyDescent="0.25">
      <c r="B6" s="18">
        <v>46170</v>
      </c>
      <c r="C6" s="18">
        <v>46177</v>
      </c>
      <c r="D6" s="9">
        <f t="shared" ref="D6:D12" si="4">C6-B6</f>
        <v>7</v>
      </c>
      <c r="E6" s="19" t="s">
        <v>9</v>
      </c>
      <c r="F6" s="9" t="str">
        <f t="shared" si="0"/>
        <v>PR</v>
      </c>
      <c r="G6" s="9">
        <v>1486</v>
      </c>
      <c r="H6" s="9" t="str">
        <f t="shared" si="1"/>
        <v>00 dia, 18 horas, 34 minutos, 30 segundos</v>
      </c>
      <c r="I6" s="4" t="s">
        <v>36</v>
      </c>
      <c r="J6" s="20">
        <f>IF(G6&gt;=1000,K6*35%,K6*45%)</f>
        <v>4652.375</v>
      </c>
      <c r="K6" s="21">
        <v>13292.5</v>
      </c>
      <c r="L6" s="48">
        <f t="shared" si="3"/>
        <v>0.65</v>
      </c>
    </row>
    <row r="7" spans="2:12" ht="18" customHeight="1" x14ac:dyDescent="0.25">
      <c r="B7" s="18">
        <v>46173</v>
      </c>
      <c r="C7" s="18">
        <v>46185</v>
      </c>
      <c r="D7" s="9">
        <f t="shared" si="4"/>
        <v>12</v>
      </c>
      <c r="E7" s="19" t="s">
        <v>8</v>
      </c>
      <c r="F7" s="9" t="str">
        <f t="shared" si="0"/>
        <v>GO</v>
      </c>
      <c r="G7" s="9">
        <v>1028</v>
      </c>
      <c r="H7" s="9" t="str">
        <f t="shared" si="1"/>
        <v>00 dia, 12 horas, 51 minutos, 00 segundos</v>
      </c>
      <c r="I7" s="19" t="s">
        <v>38</v>
      </c>
      <c r="J7" s="20">
        <f t="shared" si="2"/>
        <v>3313.0894999999996</v>
      </c>
      <c r="K7" s="21">
        <v>9465.9699999999993</v>
      </c>
      <c r="L7" s="48">
        <f t="shared" si="3"/>
        <v>0.65</v>
      </c>
    </row>
    <row r="8" spans="2:12" ht="18" customHeight="1" x14ac:dyDescent="0.25">
      <c r="B8" s="18">
        <v>46072</v>
      </c>
      <c r="C8" s="18">
        <v>46083</v>
      </c>
      <c r="D8" s="9">
        <f t="shared" si="4"/>
        <v>11</v>
      </c>
      <c r="E8" s="19" t="s">
        <v>3</v>
      </c>
      <c r="F8" s="9" t="str">
        <f t="shared" si="0"/>
        <v>RS</v>
      </c>
      <c r="G8" s="9">
        <v>3076</v>
      </c>
      <c r="H8" s="9" t="str">
        <f t="shared" si="1"/>
        <v>01 dia, 14 horas, 27 minutos, 00 segundos</v>
      </c>
      <c r="I8" s="19" t="s">
        <v>35</v>
      </c>
      <c r="J8" s="20">
        <f t="shared" si="2"/>
        <v>9301.1659999999993</v>
      </c>
      <c r="K8" s="21">
        <v>26574.76</v>
      </c>
      <c r="L8" s="48">
        <f t="shared" si="3"/>
        <v>0.65</v>
      </c>
    </row>
    <row r="9" spans="2:12" ht="18" customHeight="1" x14ac:dyDescent="0.25">
      <c r="B9" s="18">
        <v>46091</v>
      </c>
      <c r="C9" s="18">
        <v>46101</v>
      </c>
      <c r="D9" s="9">
        <f t="shared" si="4"/>
        <v>10</v>
      </c>
      <c r="E9" s="19" t="s">
        <v>2</v>
      </c>
      <c r="F9" s="9" t="str">
        <f t="shared" si="0"/>
        <v>PE</v>
      </c>
      <c r="G9" s="9">
        <v>5231</v>
      </c>
      <c r="H9" s="9" t="str">
        <f t="shared" si="1"/>
        <v>02 dia, 17 horas, 23 minutos, 15 segundos</v>
      </c>
      <c r="I9" s="19" t="s">
        <v>39</v>
      </c>
      <c r="J9" s="20">
        <f t="shared" si="2"/>
        <v>15602.093500000001</v>
      </c>
      <c r="K9" s="21">
        <v>44577.41</v>
      </c>
      <c r="L9" s="48">
        <f t="shared" si="3"/>
        <v>0.65</v>
      </c>
    </row>
    <row r="10" spans="2:12" ht="18" customHeight="1" x14ac:dyDescent="0.25">
      <c r="B10" s="18">
        <v>46075</v>
      </c>
      <c r="C10" s="18">
        <v>46080</v>
      </c>
      <c r="D10" s="9">
        <f t="shared" si="4"/>
        <v>5</v>
      </c>
      <c r="E10" s="19" t="s">
        <v>5</v>
      </c>
      <c r="F10" s="9" t="str">
        <f t="shared" si="0"/>
        <v>RJ</v>
      </c>
      <c r="G10" s="9">
        <v>1701</v>
      </c>
      <c r="H10" s="9" t="str">
        <f t="shared" si="1"/>
        <v>00 dia, 21 horas, 15 minutos, 45 segundos</v>
      </c>
      <c r="I10" s="19" t="s">
        <v>40</v>
      </c>
      <c r="J10" s="20">
        <f t="shared" si="2"/>
        <v>5280.9785000000002</v>
      </c>
      <c r="K10" s="21">
        <v>15088.51</v>
      </c>
      <c r="L10" s="48">
        <f t="shared" si="3"/>
        <v>0.64999999999999991</v>
      </c>
    </row>
    <row r="11" spans="2:12" ht="18" customHeight="1" x14ac:dyDescent="0.25">
      <c r="B11" s="18">
        <v>46068</v>
      </c>
      <c r="C11" s="18">
        <v>46078</v>
      </c>
      <c r="D11" s="9">
        <f t="shared" si="4"/>
        <v>10</v>
      </c>
      <c r="E11" s="19" t="s">
        <v>7</v>
      </c>
      <c r="F11" s="9" t="str">
        <f t="shared" si="0"/>
        <v>BA</v>
      </c>
      <c r="G11" s="9">
        <v>3882</v>
      </c>
      <c r="H11" s="9" t="str">
        <f t="shared" si="1"/>
        <v>02 dia, 00 horas, 31 minutos, 30 segundos</v>
      </c>
      <c r="I11" s="19" t="s">
        <v>34</v>
      </c>
      <c r="J11" s="20">
        <f t="shared" si="2"/>
        <v>11657.806999999999</v>
      </c>
      <c r="K11" s="43">
        <v>33308.019999999997</v>
      </c>
      <c r="L11" s="48">
        <f t="shared" si="3"/>
        <v>0.65</v>
      </c>
    </row>
    <row r="12" spans="2:12" ht="18" customHeight="1" x14ac:dyDescent="0.25">
      <c r="B12" s="18">
        <v>46186</v>
      </c>
      <c r="C12" s="18">
        <v>46198</v>
      </c>
      <c r="D12" s="9">
        <f t="shared" si="4"/>
        <v>12</v>
      </c>
      <c r="E12" s="19" t="s">
        <v>6</v>
      </c>
      <c r="F12" s="9" t="str">
        <f t="shared" si="0"/>
        <v>SP</v>
      </c>
      <c r="G12" s="9">
        <v>916</v>
      </c>
      <c r="H12" s="9" t="str">
        <f t="shared" si="1"/>
        <v>00 dia, 11 horas, 27 minutos, 00 segundos</v>
      </c>
      <c r="I12" s="19" t="s">
        <v>38</v>
      </c>
      <c r="J12" s="20">
        <f t="shared" si="2"/>
        <v>3838.6485000000002</v>
      </c>
      <c r="K12" s="21">
        <v>8530.33</v>
      </c>
      <c r="L12" s="48">
        <f t="shared" si="3"/>
        <v>0.55000000000000004</v>
      </c>
    </row>
    <row r="13" spans="2:12" ht="15.75" thickBot="1" x14ac:dyDescent="0.3">
      <c r="B13" s="3"/>
      <c r="C13" s="3"/>
    </row>
    <row r="14" spans="2:12" ht="18" customHeight="1" x14ac:dyDescent="0.25">
      <c r="B14" s="64" t="s">
        <v>16</v>
      </c>
      <c r="C14" s="65"/>
      <c r="E14" s="14" t="s">
        <v>17</v>
      </c>
      <c r="F14" s="11"/>
      <c r="I14" s="76" t="s">
        <v>31</v>
      </c>
    </row>
    <row r="15" spans="2:12" ht="18" customHeight="1" thickBot="1" x14ac:dyDescent="0.3">
      <c r="B15" s="66"/>
      <c r="C15" s="67"/>
      <c r="E15" s="5"/>
      <c r="F15" s="10"/>
      <c r="I15" s="77">
        <f>SUM(Custos)</f>
        <v>60706.840000000004</v>
      </c>
    </row>
    <row r="16" spans="2:12" ht="18" customHeight="1" thickBot="1" x14ac:dyDescent="0.3">
      <c r="B16" s="56" t="s">
        <v>15</v>
      </c>
      <c r="C16" s="57"/>
      <c r="E16" s="16" t="s">
        <v>15</v>
      </c>
      <c r="F16" s="11"/>
      <c r="H16" s="51"/>
      <c r="I16" s="51"/>
    </row>
    <row r="17" spans="2:9" ht="18" customHeight="1" thickBot="1" x14ac:dyDescent="0.3">
      <c r="B17" s="68">
        <f>SUMIF(Destinos,B15,Fretes)</f>
        <v>0</v>
      </c>
      <c r="C17" s="69"/>
      <c r="E17" s="50">
        <f>SUMIF(Motoristas,E15,Fretes)</f>
        <v>0</v>
      </c>
      <c r="F17" s="10"/>
      <c r="I17" s="76" t="s">
        <v>22</v>
      </c>
    </row>
    <row r="18" spans="2:9" ht="18" customHeight="1" thickBot="1" x14ac:dyDescent="0.3">
      <c r="B18" s="51"/>
      <c r="C18" s="51"/>
      <c r="I18" s="77">
        <f>AVERAGE(Custos)</f>
        <v>6745.2044444444446</v>
      </c>
    </row>
    <row r="19" spans="2:9" ht="18" customHeight="1" thickBot="1" x14ac:dyDescent="0.3">
      <c r="B19" s="54" t="s">
        <v>18</v>
      </c>
      <c r="C19" s="55"/>
      <c r="E19" s="14" t="s">
        <v>27</v>
      </c>
      <c r="F19" s="11"/>
      <c r="H19" s="51"/>
      <c r="I19" s="51"/>
    </row>
    <row r="20" spans="2:9" ht="18" customHeight="1" thickBot="1" x14ac:dyDescent="0.3">
      <c r="B20" s="56" t="s">
        <v>19</v>
      </c>
      <c r="C20" s="57"/>
      <c r="E20" s="75">
        <f>AVERAGE(Prazo)</f>
        <v>9.5555555555555554</v>
      </c>
      <c r="F20" s="10"/>
      <c r="I20" s="76" t="s">
        <v>23</v>
      </c>
    </row>
    <row r="21" spans="2:9" ht="18" customHeight="1" thickBot="1" x14ac:dyDescent="0.3">
      <c r="B21" s="78">
        <v>46023</v>
      </c>
      <c r="C21" s="58"/>
      <c r="I21" s="77">
        <f>SUM(Fretes)</f>
        <v>169084.41999999998</v>
      </c>
    </row>
    <row r="22" spans="2:9" ht="18" customHeight="1" x14ac:dyDescent="0.25">
      <c r="B22" s="56" t="s">
        <v>20</v>
      </c>
      <c r="C22" s="57"/>
      <c r="E22" s="14" t="s">
        <v>21</v>
      </c>
      <c r="F22" s="11"/>
    </row>
    <row r="23" spans="2:9" ht="18" customHeight="1" x14ac:dyDescent="0.25">
      <c r="B23" s="78">
        <v>46053</v>
      </c>
      <c r="C23" s="58"/>
      <c r="E23" s="6" t="s">
        <v>96</v>
      </c>
    </row>
    <row r="24" spans="2:9" ht="18" customHeight="1" thickBot="1" x14ac:dyDescent="0.3">
      <c r="B24" s="52"/>
      <c r="C24" s="53"/>
      <c r="E24" s="15">
        <f>AVERAGEIF(Estados,E23,Prazo)</f>
        <v>9.5</v>
      </c>
      <c r="F24" s="10"/>
    </row>
    <row r="26" spans="2:9" x14ac:dyDescent="0.25">
      <c r="B26"/>
      <c r="C26" s="3"/>
    </row>
    <row r="33" spans="2:2" x14ac:dyDescent="0.25">
      <c r="B33"/>
    </row>
  </sheetData>
  <mergeCells count="17">
    <mergeCell ref="K1:L1"/>
    <mergeCell ref="H16:I16"/>
    <mergeCell ref="H19:I19"/>
    <mergeCell ref="B1:D2"/>
    <mergeCell ref="G1:I1"/>
    <mergeCell ref="G2:I2"/>
    <mergeCell ref="B14:C14"/>
    <mergeCell ref="B16:C16"/>
    <mergeCell ref="B15:C15"/>
    <mergeCell ref="B17:C17"/>
    <mergeCell ref="B18:C18"/>
    <mergeCell ref="B24:C24"/>
    <mergeCell ref="B19:C19"/>
    <mergeCell ref="B20:C20"/>
    <mergeCell ref="B21:C21"/>
    <mergeCell ref="B22:C22"/>
    <mergeCell ref="B23:C23"/>
  </mergeCells>
  <dataValidations count="5">
    <dataValidation type="list" allowBlank="1" showInputMessage="1" showErrorMessage="1" sqref="F2" xr:uid="{E839BB19-5F09-4525-9529-897BA60ABD8A}">
      <formula1>"Guariroba,Jurupema,Taquaritinga,Vila Negri"</formula1>
    </dataValidation>
    <dataValidation type="list" allowBlank="1" showInputMessage="1" showErrorMessage="1" sqref="E2" xr:uid="{E8739A41-89D9-4A5B-8841-8BC2682A826B}">
      <formula1>"Baguaçu,Cajobi,Guaraci,Olímpia,Severínia"</formula1>
    </dataValidation>
    <dataValidation type="list" allowBlank="1" showInputMessage="1" showErrorMessage="1" sqref="B15:C15" xr:uid="{5F5EE326-E200-45C9-AC9C-B01677233F19}">
      <formula1>$E$4:$E$12</formula1>
    </dataValidation>
    <dataValidation type="list" allowBlank="1" showInputMessage="1" showErrorMessage="1" sqref="E15" xr:uid="{6293A87B-F521-4E61-9DB2-E4563D533CEC}">
      <formula1>Motoristas</formula1>
    </dataValidation>
    <dataValidation type="list" allowBlank="1" showInputMessage="1" showErrorMessage="1" sqref="E23" xr:uid="{BE3585EE-559B-49E8-BF98-88EDB084A924}">
      <formula1>Estados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3</vt:i4>
      </vt:variant>
      <vt:variant>
        <vt:lpstr>Gráficos</vt:lpstr>
      </vt:variant>
      <vt:variant>
        <vt:i4>3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Introdução</vt:lpstr>
      <vt:lpstr>Tabela_periódica</vt:lpstr>
      <vt:lpstr>Transp</vt:lpstr>
      <vt:lpstr>Gráfico1</vt:lpstr>
      <vt:lpstr>Gráfico2</vt:lpstr>
      <vt:lpstr>Gráfico3</vt:lpstr>
      <vt:lpstr>Custos</vt:lpstr>
      <vt:lpstr>Destinos</vt:lpstr>
      <vt:lpstr>Estados</vt:lpstr>
      <vt:lpstr>Fretes</vt:lpstr>
      <vt:lpstr>Motoristas</vt:lpstr>
      <vt:lpstr>Prazo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2026-09-16T14:06:37Z</dcterms:modified>
</cp:coreProperties>
</file>