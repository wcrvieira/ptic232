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5. Projetos TIC - Química - 232\ptic232\"/>
    </mc:Choice>
  </mc:AlternateContent>
  <xr:revisionPtr revIDLastSave="0" documentId="13_ncr:1_{01D9EBCD-4688-41E0-8A56-3C2FA2B0764F}" xr6:coauthVersionLast="47" xr6:coauthVersionMax="47" xr10:uidLastSave="{00000000-0000-0000-0000-000000000000}"/>
  <bookViews>
    <workbookView xWindow="20370" yWindow="-120" windowWidth="20730" windowHeight="11040" activeTab="2" xr2:uid="{DF3537CB-6E0A-4E7C-ABFB-B677C0E8847D}"/>
  </bookViews>
  <sheets>
    <sheet name="Introdução" sheetId="2" r:id="rId1"/>
    <sheet name="Tabela_periódica" sheetId="3" r:id="rId2"/>
    <sheet name="Transp" sheetId="1" r:id="rId3"/>
  </sheets>
  <definedNames>
    <definedName name="_xlnm._FilterDatabase" localSheetId="2" hidden="1">Transp!$B$3:$I$3</definedName>
    <definedName name="Custos">Transp!$J$4:$J$17</definedName>
    <definedName name="Destinos">Transp!$E$4:$E$17</definedName>
    <definedName name="Estados">Transp!$F$4:$F$17</definedName>
    <definedName name="Fretes">Transp!$K$4:$K$17</definedName>
    <definedName name="Motoristas">Transp!$I$4:$I$17</definedName>
    <definedName name="Prazo">Transp!$D$4:$D$17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L16" i="1"/>
  <c r="J16" i="1"/>
  <c r="H16" i="1"/>
  <c r="F16" i="1"/>
  <c r="D16" i="1"/>
  <c r="M14" i="1"/>
  <c r="L14" i="1"/>
  <c r="J14" i="1"/>
  <c r="H14" i="1"/>
  <c r="F14" i="1"/>
  <c r="D14" i="1"/>
  <c r="D12" i="1"/>
  <c r="F12" i="1"/>
  <c r="H12" i="1"/>
  <c r="J12" i="1"/>
  <c r="L12" i="1" s="1"/>
  <c r="M9" i="1"/>
  <c r="J9" i="1"/>
  <c r="L9" i="1" s="1"/>
  <c r="H9" i="1"/>
  <c r="F9" i="1"/>
  <c r="D9" i="1"/>
  <c r="J5" i="1"/>
  <c r="M5" i="1" s="1"/>
  <c r="H5" i="1"/>
  <c r="F5" i="1"/>
  <c r="D5" i="1"/>
  <c r="G28" i="1"/>
  <c r="B22" i="1"/>
  <c r="E22" i="1"/>
  <c r="G2" i="1"/>
  <c r="J2" i="1"/>
  <c r="J7" i="1"/>
  <c r="L7" i="1" s="1"/>
  <c r="J6" i="1"/>
  <c r="M6" i="1" s="1"/>
  <c r="J8" i="1"/>
  <c r="M8" i="1" s="1"/>
  <c r="J10" i="1"/>
  <c r="M10" i="1" s="1"/>
  <c r="J11" i="1"/>
  <c r="M11" i="1" s="1"/>
  <c r="J13" i="1"/>
  <c r="M13" i="1" s="1"/>
  <c r="J15" i="1"/>
  <c r="M15" i="1" s="1"/>
  <c r="J17" i="1"/>
  <c r="M17" i="1" s="1"/>
  <c r="J4" i="1"/>
  <c r="H4" i="1"/>
  <c r="H6" i="1"/>
  <c r="H7" i="1"/>
  <c r="H8" i="1"/>
  <c r="H10" i="1"/>
  <c r="H11" i="1"/>
  <c r="H13" i="1"/>
  <c r="H15" i="1"/>
  <c r="H17" i="1"/>
  <c r="F6" i="1"/>
  <c r="F7" i="1"/>
  <c r="F8" i="1"/>
  <c r="F10" i="1"/>
  <c r="F11" i="1"/>
  <c r="F13" i="1"/>
  <c r="F15" i="1"/>
  <c r="F17" i="1"/>
  <c r="F4" i="1"/>
  <c r="D7" i="1"/>
  <c r="D8" i="1"/>
  <c r="D10" i="1"/>
  <c r="D11" i="1"/>
  <c r="D13" i="1"/>
  <c r="D15" i="1"/>
  <c r="D17" i="1"/>
  <c r="D6" i="1"/>
  <c r="D4" i="1"/>
  <c r="M12" i="1" l="1"/>
  <c r="L5" i="1"/>
  <c r="L17" i="1"/>
  <c r="L13" i="1"/>
  <c r="G25" i="1"/>
  <c r="M7" i="1"/>
  <c r="L15" i="1"/>
  <c r="L11" i="1"/>
  <c r="L10" i="1"/>
  <c r="L8" i="1"/>
  <c r="E25" i="1"/>
  <c r="E29" i="1"/>
  <c r="L4" i="1"/>
  <c r="L6" i="1"/>
  <c r="G20" i="1"/>
  <c r="M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9C608-4888-443D-8F43-757DFC98A145}" keepAlive="1" name="Consulta - Código HTML" description="Conexão com a consulta 'Código HTML' na pasta de trabalho." type="5" refreshedVersion="0" background="1">
    <dbPr connection="Provider=Microsoft.Mashup.OleDb.1;Data Source=$Workbook$;Location=&quot;Código HTML&quot;;Extended Properties=&quot;&quot;" command="SELECT * FROM [Código HTML]"/>
  </connection>
</connections>
</file>

<file path=xl/sharedStrings.xml><?xml version="1.0" encoding="utf-8"?>
<sst xmlns="http://schemas.openxmlformats.org/spreadsheetml/2006/main" count="117" uniqueCount="98">
  <si>
    <t>Data Pedido</t>
  </si>
  <si>
    <t>Data Entrega</t>
  </si>
  <si>
    <t>Recife - PE</t>
  </si>
  <si>
    <t>Porto Alegre - RS</t>
  </si>
  <si>
    <t>Campinas - SP</t>
  </si>
  <si>
    <t>Rio de Janeiro - RJ</t>
  </si>
  <si>
    <t>São Paulo - SP</t>
  </si>
  <si>
    <t>Salvador - BA</t>
  </si>
  <si>
    <t>Goiânia - GO</t>
  </si>
  <si>
    <t>Curitiba - PR</t>
  </si>
  <si>
    <t>Belo Horizonte - MG</t>
  </si>
  <si>
    <t>Destino</t>
  </si>
  <si>
    <t>Custos</t>
  </si>
  <si>
    <t>Frete</t>
  </si>
  <si>
    <t>Motorista</t>
  </si>
  <si>
    <t>Valor de fretes</t>
  </si>
  <si>
    <t>Escolha o destino</t>
  </si>
  <si>
    <t>Escolha o motorista</t>
  </si>
  <si>
    <t>Escolha o período</t>
  </si>
  <si>
    <t>Data inicial</t>
  </si>
  <si>
    <t>Data final</t>
  </si>
  <si>
    <t>Média de entrega por UF</t>
  </si>
  <si>
    <t>Média de custos</t>
  </si>
  <si>
    <t>Faturamento</t>
  </si>
  <si>
    <t>Prazo (dias úteis)</t>
  </si>
  <si>
    <t>Distância (km)</t>
  </si>
  <si>
    <t>Tempo viagem (horas)</t>
  </si>
  <si>
    <t>Média de entrega (dias)</t>
  </si>
  <si>
    <t>Origem</t>
  </si>
  <si>
    <t>Hora atual</t>
  </si>
  <si>
    <t>Data atual</t>
  </si>
  <si>
    <t>Custos totais</t>
  </si>
  <si>
    <t>Estado</t>
  </si>
  <si>
    <t>Transportadora Química Certa</t>
  </si>
  <si>
    <t>Adriana Cecília Moraes</t>
  </si>
  <si>
    <t>Alana Sabrina Ferreira</t>
  </si>
  <si>
    <t>Sueli Maria Brito</t>
  </si>
  <si>
    <t>Nelson Iago Pires</t>
  </si>
  <si>
    <t>Renato Davi Lopes</t>
  </si>
  <si>
    <t>Vera Liz Teixeira</t>
  </si>
  <si>
    <t>Yago Igor Moura</t>
  </si>
  <si>
    <t>Olímpia</t>
  </si>
  <si>
    <t>Operadores de cálculo e ordem de execução</t>
  </si>
  <si>
    <t>Operador aritmético</t>
  </si>
  <si>
    <t>Significado</t>
  </si>
  <si>
    <t>Exemplo</t>
  </si>
  <si>
    <t>Operador de comparação</t>
  </si>
  <si>
    <t>+ (sinal de adição)</t>
  </si>
  <si>
    <t>Adição</t>
  </si>
  <si>
    <t>=A2+B2</t>
  </si>
  <si>
    <t>=  (sinal de igual)</t>
  </si>
  <si>
    <t>Igual a</t>
  </si>
  <si>
    <t>=E2=F2</t>
  </si>
  <si>
    <t>- (sinal de subtração)</t>
  </si>
  <si>
    <t>Subtração</t>
  </si>
  <si>
    <t>=A2-B2</t>
  </si>
  <si>
    <t>&gt;  (sinal de maior)</t>
  </si>
  <si>
    <t>Maior que</t>
  </si>
  <si>
    <t>=E2&gt;F2</t>
  </si>
  <si>
    <t>* (asterisco)</t>
  </si>
  <si>
    <t>Multiplicação</t>
  </si>
  <si>
    <t>=A2*B2</t>
  </si>
  <si>
    <t>&lt;  (sinal de menor)</t>
  </si>
  <si>
    <t>Menor que</t>
  </si>
  <si>
    <t>=E2&lt;F2</t>
  </si>
  <si>
    <t>/ (barra)</t>
  </si>
  <si>
    <t>Divisão</t>
  </si>
  <si>
    <t>=A2/B2</t>
  </si>
  <si>
    <t>&gt;=  (sinal de maior ou igual)</t>
  </si>
  <si>
    <t>Maior ou igual a</t>
  </si>
  <si>
    <t>=E2&gt;=F2</t>
  </si>
  <si>
    <t>% (símbolo de percentagem)</t>
  </si>
  <si>
    <t>Percentagem</t>
  </si>
  <si>
    <t>=A2*0,5</t>
  </si>
  <si>
    <t>&lt;=  (sinal de menor ou igual)</t>
  </si>
  <si>
    <t>Menor ou igual a</t>
  </si>
  <si>
    <t>=E2&lt;=F2</t>
  </si>
  <si>
    <t>^ (acento circunflexo)</t>
  </si>
  <si>
    <t>Exponenciação</t>
  </si>
  <si>
    <t>=A2^B2</t>
  </si>
  <si>
    <t>&lt;&gt;  (sinal de diferente)</t>
  </si>
  <si>
    <t>Diferente de</t>
  </si>
  <si>
    <t>=E2&lt;&gt;F2</t>
  </si>
  <si>
    <t>Operadores de referência</t>
  </si>
  <si>
    <t>: (dois pontos)</t>
  </si>
  <si>
    <t>Operador de intervalo, que produz uma referência a todas as células entre duas referências, incluindo as duas referências. Sentido de "até"</t>
  </si>
  <si>
    <t>=A2:G2</t>
  </si>
  <si>
    <t>; (ponto e vírgula)</t>
  </si>
  <si>
    <t>Operador de União que combina várias referências numa só. Sentido de "e"</t>
  </si>
  <si>
    <t>=SOMA(A2;B2;E2;F2;)</t>
  </si>
  <si>
    <t>(espaço)</t>
  </si>
  <si>
    <t>Operador de interseção, que produz no referência a células comuns às duas referências.</t>
  </si>
  <si>
    <t>=A2:B2 E2:F2)</t>
  </si>
  <si>
    <t>Velocidade máxima</t>
  </si>
  <si>
    <t>Lucro</t>
  </si>
  <si>
    <t>km/h</t>
  </si>
  <si>
    <t>SP</t>
  </si>
  <si>
    <t>Lucro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</si>
</sst>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h:mm:ss;@"/>
    <numFmt numFmtId="165" formatCode="[$-F800]dddd\,\ mmmm\ dd\,\ yyyy"/>
    <numFmt numFmtId="166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rgb="FFFF0000"/>
      <name val="Arial"/>
      <family val="2"/>
    </font>
    <font>
      <sz val="14"/>
      <color theme="1"/>
      <name val="Arial"/>
      <family val="2"/>
    </font>
    <font>
      <sz val="11"/>
      <color theme="6"/>
      <name val="Arial"/>
      <family val="2"/>
    </font>
    <font>
      <sz val="11"/>
      <color rgb="FFFF0000"/>
      <name val="Arial"/>
      <family val="2"/>
    </font>
    <font>
      <sz val="11"/>
      <color theme="3" tint="0.249977111117893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44" fontId="3" fillId="0" borderId="12" xfId="1" applyFont="1" applyBorder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vertical="center" wrapText="1"/>
    </xf>
    <xf numFmtId="49" fontId="8" fillId="4" borderId="14" xfId="0" applyNumberFormat="1" applyFont="1" applyFill="1" applyBorder="1" applyAlignment="1">
      <alignment vertical="center" wrapText="1"/>
    </xf>
    <xf numFmtId="49" fontId="8" fillId="4" borderId="15" xfId="0" applyNumberFormat="1" applyFont="1" applyFill="1" applyBorder="1" applyAlignment="1">
      <alignment horizontal="left"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vertical="center" wrapText="1"/>
    </xf>
    <xf numFmtId="49" fontId="9" fillId="0" borderId="18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9" fillId="0" borderId="2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0" fontId="0" fillId="4" borderId="14" xfId="0" applyFill="1" applyBorder="1"/>
    <xf numFmtId="0" fontId="0" fillId="0" borderId="17" xfId="0" applyBorder="1"/>
    <xf numFmtId="49" fontId="4" fillId="0" borderId="18" xfId="0" applyNumberFormat="1" applyFont="1" applyBorder="1" applyAlignment="1">
      <alignment horizontal="left" vertical="center" wrapText="1"/>
    </xf>
    <xf numFmtId="0" fontId="0" fillId="0" borderId="20" xfId="0" applyBorder="1"/>
    <xf numFmtId="49" fontId="4" fillId="0" borderId="21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4" fontId="3" fillId="0" borderId="22" xfId="1" applyFont="1" applyBorder="1" applyAlignment="1">
      <alignment vertical="center"/>
    </xf>
    <xf numFmtId="0" fontId="2" fillId="0" borderId="12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44" fontId="10" fillId="0" borderId="22" xfId="1" applyFont="1" applyBorder="1" applyAlignment="1">
      <alignment vertical="center"/>
    </xf>
    <xf numFmtId="44" fontId="11" fillId="0" borderId="22" xfId="0" applyNumberFormat="1" applyFont="1" applyBorder="1" applyAlignment="1">
      <alignment vertical="center"/>
    </xf>
    <xf numFmtId="44" fontId="11" fillId="0" borderId="12" xfId="0" applyNumberFormat="1" applyFont="1" applyBorder="1" applyAlignment="1">
      <alignment vertical="center"/>
    </xf>
    <xf numFmtId="9" fontId="12" fillId="0" borderId="22" xfId="2" applyFont="1" applyBorder="1" applyAlignment="1">
      <alignment horizontal="center" vertical="center"/>
    </xf>
    <xf numFmtId="9" fontId="12" fillId="0" borderId="12" xfId="2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23" xfId="0" applyFont="1" applyBorder="1"/>
    <xf numFmtId="0" fontId="5" fillId="3" borderId="7" xfId="0" applyFont="1" applyFill="1" applyBorder="1"/>
    <xf numFmtId="0" fontId="13" fillId="0" borderId="3" xfId="0" applyFont="1" applyBorder="1"/>
    <xf numFmtId="0" fontId="14" fillId="0" borderId="3" xfId="0" applyFont="1" applyBorder="1"/>
    <xf numFmtId="0" fontId="5" fillId="3" borderId="8" xfId="0" applyFont="1" applyFill="1" applyBorder="1"/>
    <xf numFmtId="0" fontId="13" fillId="0" borderId="0" xfId="0" applyFont="1"/>
    <xf numFmtId="44" fontId="14" fillId="0" borderId="9" xfId="1" applyFont="1" applyBorder="1" applyAlignment="1">
      <alignment horizontal="center" vertical="center"/>
    </xf>
    <xf numFmtId="0" fontId="14" fillId="0" borderId="0" xfId="0" applyFont="1"/>
    <xf numFmtId="0" fontId="3" fillId="0" borderId="0" xfId="0" applyFont="1" applyAlignment="1">
      <alignment horizontal="center"/>
    </xf>
    <xf numFmtId="166" fontId="14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6" fontId="14" fillId="3" borderId="9" xfId="0" applyNumberFormat="1" applyFont="1" applyFill="1" applyBorder="1" applyAlignment="1">
      <alignment horizontal="center" vertical="center"/>
    </xf>
    <xf numFmtId="44" fontId="14" fillId="0" borderId="7" xfId="1" applyFont="1" applyBorder="1" applyAlignment="1">
      <alignment horizontal="center" vertical="center"/>
    </xf>
    <xf numFmtId="44" fontId="14" fillId="0" borderId="9" xfId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4" fontId="14" fillId="0" borderId="3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5" fontId="4" fillId="0" borderId="24" xfId="0" quotePrefix="1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4" fontId="14" fillId="0" borderId="5" xfId="1" applyFont="1" applyBorder="1" applyAlignment="1">
      <alignment horizontal="center" vertical="center"/>
    </xf>
    <xf numFmtId="44" fontId="14" fillId="0" borderId="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4" fillId="0" borderId="20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8" fillId="4" borderId="14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47625</xdr:rowOff>
    </xdr:from>
    <xdr:to>
      <xdr:col>5</xdr:col>
      <xdr:colOff>610298</xdr:colOff>
      <xdr:row>24</xdr:row>
      <xdr:rowOff>500122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C3182C-28A0-4D42-8A1F-C7EAB72DD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153025"/>
          <a:ext cx="6944423" cy="2862322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</xdr:pic>
    <xdr:clientData/>
  </xdr:twoCellAnchor>
  <xdr:twoCellAnchor editAs="oneCell">
    <xdr:from>
      <xdr:col>5</xdr:col>
      <xdr:colOff>676275</xdr:colOff>
      <xdr:row>15</xdr:row>
      <xdr:rowOff>28576</xdr:rowOff>
    </xdr:from>
    <xdr:to>
      <xdr:col>9</xdr:col>
      <xdr:colOff>104775</xdr:colOff>
      <xdr:row>24</xdr:row>
      <xdr:rowOff>509731</xdr:rowOff>
    </xdr:to>
    <xdr:pic>
      <xdr:nvPicPr>
        <xdr:cNvPr id="3" name="Picture 2" descr="Resultado de imagem para cursores do excel">
          <a:extLst>
            <a:ext uri="{FF2B5EF4-FFF2-40B4-BE49-F238E27FC236}">
              <a16:creationId xmlns:a16="http://schemas.microsoft.com/office/drawing/2014/main" id="{9AD2A84D-7E9F-4E50-BEF2-ED0F047B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133976"/>
          <a:ext cx="5981700" cy="28909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9</xdr:row>
          <xdr:rowOff>285750</xdr:rowOff>
        </xdr:from>
        <xdr:to>
          <xdr:col>7</xdr:col>
          <xdr:colOff>695325</xdr:colOff>
          <xdr:row>13</xdr:row>
          <xdr:rowOff>457200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563537</xdr:colOff>
      <xdr:row>46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D0B6B3-48BA-4DEB-9FB2-765907ADD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55537" cy="883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0</xdr:row>
      <xdr:rowOff>21471</xdr:rowOff>
    </xdr:from>
    <xdr:to>
      <xdr:col>1</xdr:col>
      <xdr:colOff>583406</xdr:colOff>
      <xdr:row>2</xdr:row>
      <xdr:rowOff>351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F0FBA63-F018-B0C1-A70F-DEDC662A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2" y="21471"/>
          <a:ext cx="488155" cy="46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Worksheet.xls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C4A4-6B52-42EC-9A65-F3746A005D4A}">
  <dimension ref="B1:H26"/>
  <sheetViews>
    <sheetView showGridLines="0" topLeftCell="A23" zoomScaleNormal="100" workbookViewId="0">
      <selection activeCell="B5" sqref="B5"/>
    </sheetView>
  </sheetViews>
  <sheetFormatPr defaultRowHeight="15" x14ac:dyDescent="0.25"/>
  <cols>
    <col min="1" max="1" width="3.5703125" customWidth="1"/>
    <col min="2" max="4" width="30.42578125" customWidth="1"/>
    <col min="5" max="5" width="4.42578125" customWidth="1"/>
    <col min="6" max="8" width="29.7109375" customWidth="1"/>
  </cols>
  <sheetData>
    <row r="1" spans="2:8" ht="25.5" customHeight="1" x14ac:dyDescent="0.25">
      <c r="B1" s="80" t="s">
        <v>42</v>
      </c>
      <c r="C1" s="80"/>
      <c r="D1" s="80"/>
      <c r="E1" s="80"/>
      <c r="F1" s="80"/>
      <c r="G1" s="80"/>
      <c r="H1" s="80"/>
    </row>
    <row r="2" spans="2:8" ht="15.75" customHeight="1" thickBot="1" x14ac:dyDescent="0.3">
      <c r="B2" s="81"/>
      <c r="C2" s="81"/>
      <c r="D2" s="81"/>
      <c r="E2" s="7"/>
      <c r="F2" s="82"/>
      <c r="G2" s="82"/>
      <c r="H2" s="82"/>
    </row>
    <row r="3" spans="2:8" ht="23.25" customHeight="1" x14ac:dyDescent="0.25">
      <c r="B3" s="8" t="s">
        <v>43</v>
      </c>
      <c r="C3" s="9" t="s">
        <v>44</v>
      </c>
      <c r="D3" s="10" t="s">
        <v>45</v>
      </c>
      <c r="E3" s="7"/>
      <c r="F3" s="11" t="s">
        <v>46</v>
      </c>
      <c r="G3" s="12" t="s">
        <v>44</v>
      </c>
      <c r="H3" s="13" t="s">
        <v>45</v>
      </c>
    </row>
    <row r="4" spans="2:8" ht="23.25" customHeight="1" x14ac:dyDescent="0.25">
      <c r="B4" s="14" t="s">
        <v>47</v>
      </c>
      <c r="C4" s="15" t="s">
        <v>48</v>
      </c>
      <c r="D4" s="16" t="s">
        <v>49</v>
      </c>
      <c r="E4" s="7"/>
      <c r="F4" s="14" t="s">
        <v>50</v>
      </c>
      <c r="G4" s="15" t="s">
        <v>51</v>
      </c>
      <c r="H4" s="16" t="s">
        <v>52</v>
      </c>
    </row>
    <row r="5" spans="2:8" ht="23.25" customHeight="1" x14ac:dyDescent="0.25">
      <c r="B5" s="14" t="s">
        <v>53</v>
      </c>
      <c r="C5" s="15" t="s">
        <v>54</v>
      </c>
      <c r="D5" s="16" t="s">
        <v>55</v>
      </c>
      <c r="E5" s="7"/>
      <c r="F5" s="14" t="s">
        <v>56</v>
      </c>
      <c r="G5" s="15" t="s">
        <v>57</v>
      </c>
      <c r="H5" s="16" t="s">
        <v>58</v>
      </c>
    </row>
    <row r="6" spans="2:8" ht="23.25" customHeight="1" x14ac:dyDescent="0.25">
      <c r="B6" s="14" t="s">
        <v>59</v>
      </c>
      <c r="C6" s="15" t="s">
        <v>60</v>
      </c>
      <c r="D6" s="16" t="s">
        <v>61</v>
      </c>
      <c r="E6" s="7"/>
      <c r="F6" s="14" t="s">
        <v>62</v>
      </c>
      <c r="G6" s="15" t="s">
        <v>63</v>
      </c>
      <c r="H6" s="16" t="s">
        <v>64</v>
      </c>
    </row>
    <row r="7" spans="2:8" ht="23.25" customHeight="1" x14ac:dyDescent="0.25">
      <c r="B7" s="14" t="s">
        <v>65</v>
      </c>
      <c r="C7" s="15" t="s">
        <v>66</v>
      </c>
      <c r="D7" s="16" t="s">
        <v>67</v>
      </c>
      <c r="E7" s="7"/>
      <c r="F7" s="14" t="s">
        <v>68</v>
      </c>
      <c r="G7" s="15" t="s">
        <v>69</v>
      </c>
      <c r="H7" s="16" t="s">
        <v>70</v>
      </c>
    </row>
    <row r="8" spans="2:8" ht="23.25" customHeight="1" x14ac:dyDescent="0.25">
      <c r="B8" s="14" t="s">
        <v>71</v>
      </c>
      <c r="C8" s="15" t="s">
        <v>72</v>
      </c>
      <c r="D8" s="16" t="s">
        <v>73</v>
      </c>
      <c r="E8" s="7"/>
      <c r="F8" s="14" t="s">
        <v>74</v>
      </c>
      <c r="G8" s="15" t="s">
        <v>75</v>
      </c>
      <c r="H8" s="16" t="s">
        <v>76</v>
      </c>
    </row>
    <row r="9" spans="2:8" ht="23.25" customHeight="1" thickBot="1" x14ac:dyDescent="0.3">
      <c r="B9" s="17" t="s">
        <v>77</v>
      </c>
      <c r="C9" s="18" t="s">
        <v>78</v>
      </c>
      <c r="D9" s="19" t="s">
        <v>79</v>
      </c>
      <c r="E9" s="7"/>
      <c r="F9" s="17" t="s">
        <v>80</v>
      </c>
      <c r="G9" s="18" t="s">
        <v>81</v>
      </c>
      <c r="H9" s="19" t="s">
        <v>82</v>
      </c>
    </row>
    <row r="10" spans="2:8" ht="23.25" customHeight="1" thickBot="1" x14ac:dyDescent="0.3">
      <c r="B10" s="20"/>
      <c r="C10" s="20"/>
      <c r="D10" s="21"/>
    </row>
    <row r="11" spans="2:8" ht="20.25" customHeight="1" x14ac:dyDescent="0.25">
      <c r="B11" s="11" t="s">
        <v>83</v>
      </c>
      <c r="C11" s="83" t="s">
        <v>44</v>
      </c>
      <c r="D11" s="83"/>
      <c r="E11" s="22"/>
      <c r="F11" s="13" t="s">
        <v>45</v>
      </c>
    </row>
    <row r="12" spans="2:8" ht="58.5" customHeight="1" x14ac:dyDescent="0.25">
      <c r="B12" s="14" t="s">
        <v>84</v>
      </c>
      <c r="C12" s="84" t="s">
        <v>85</v>
      </c>
      <c r="D12" s="84"/>
      <c r="E12" s="23"/>
      <c r="F12" s="24" t="s">
        <v>86</v>
      </c>
    </row>
    <row r="13" spans="2:8" ht="39" customHeight="1" x14ac:dyDescent="0.25">
      <c r="B13" s="14" t="s">
        <v>87</v>
      </c>
      <c r="C13" s="84" t="s">
        <v>88</v>
      </c>
      <c r="D13" s="84"/>
      <c r="E13" s="23"/>
      <c r="F13" s="24" t="s">
        <v>89</v>
      </c>
    </row>
    <row r="14" spans="2:8" ht="39" customHeight="1" thickBot="1" x14ac:dyDescent="0.3">
      <c r="B14" s="17" t="s">
        <v>90</v>
      </c>
      <c r="C14" s="79" t="s">
        <v>91</v>
      </c>
      <c r="D14" s="79"/>
      <c r="E14" s="25"/>
      <c r="F14" s="26" t="s">
        <v>92</v>
      </c>
    </row>
    <row r="15" spans="2:8" ht="18" customHeight="1" x14ac:dyDescent="0.25"/>
    <row r="16" spans="2:8" ht="18" customHeight="1" x14ac:dyDescent="0.25"/>
    <row r="17" spans="2:8" ht="18" customHeight="1" x14ac:dyDescent="0.25"/>
    <row r="18" spans="2:8" ht="18" customHeight="1" x14ac:dyDescent="0.25"/>
    <row r="19" spans="2:8" ht="15.75" x14ac:dyDescent="0.25">
      <c r="B19" s="20"/>
      <c r="C19" s="20"/>
      <c r="D19" s="21"/>
      <c r="F19" s="27"/>
      <c r="G19" s="27"/>
      <c r="H19" s="27"/>
    </row>
    <row r="20" spans="2:8" x14ac:dyDescent="0.25">
      <c r="F20" s="20"/>
      <c r="G20" s="20"/>
      <c r="H20" s="21"/>
    </row>
    <row r="21" spans="2:8" ht="27.75" customHeight="1" x14ac:dyDescent="0.25">
      <c r="F21" s="20"/>
      <c r="G21" s="20"/>
      <c r="H21" s="21"/>
    </row>
    <row r="24" spans="2:8" ht="47.25" customHeight="1" x14ac:dyDescent="0.25"/>
    <row r="25" spans="2:8" ht="40.5" customHeight="1" x14ac:dyDescent="0.25"/>
    <row r="26" spans="2:8" ht="34.5" customHeight="1" x14ac:dyDescent="0.25"/>
  </sheetData>
  <mergeCells count="7">
    <mergeCell ref="C14:D14"/>
    <mergeCell ref="B1:H1"/>
    <mergeCell ref="B2:D2"/>
    <mergeCell ref="F2:H2"/>
    <mergeCell ref="C11:D11"/>
    <mergeCell ref="C12:D12"/>
    <mergeCell ref="C13:D13"/>
  </mergeCells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xcel.Sheet.8" shapeId="2049" r:id="rId3">
          <objectPr defaultSize="0" autoPict="0" r:id="rId4">
            <anchor moveWithCells="1">
              <from>
                <xdr:col>6</xdr:col>
                <xdr:colOff>161925</xdr:colOff>
                <xdr:row>9</xdr:row>
                <xdr:rowOff>285750</xdr:rowOff>
              </from>
              <to>
                <xdr:col>7</xdr:col>
                <xdr:colOff>695325</xdr:colOff>
                <xdr:row>13</xdr:row>
                <xdr:rowOff>457200</xdr:rowOff>
              </to>
            </anchor>
          </objectPr>
        </oleObject>
      </mc:Choice>
      <mc:Fallback>
        <oleObject progId="Excel.Sheet.8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3F38-01B0-42F0-B78F-841D7CD788A2}">
  <dimension ref="A1"/>
  <sheetViews>
    <sheetView showGridLines="0" zoomScale="90" zoomScaleNormal="90" workbookViewId="0">
      <selection activeCell="F7" sqref="F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7A75-63E6-465B-876C-1551E84420CF}">
  <dimension ref="B1:M38"/>
  <sheetViews>
    <sheetView showGridLines="0" tabSelected="1" zoomScale="145" zoomScaleNormal="145" workbookViewId="0">
      <selection activeCell="G17" sqref="G17"/>
    </sheetView>
  </sheetViews>
  <sheetFormatPr defaultRowHeight="14.25" x14ac:dyDescent="0.2"/>
  <cols>
    <col min="1" max="1" width="2.28515625" style="44" customWidth="1"/>
    <col min="2" max="2" width="18.140625" style="54" bestFit="1" customWidth="1"/>
    <col min="3" max="3" width="19" style="54" bestFit="1" customWidth="1"/>
    <col min="4" max="4" width="9" style="2" customWidth="1"/>
    <col min="5" max="5" width="26.7109375" style="44" bestFit="1" customWidth="1"/>
    <col min="6" max="6" width="8" style="44" bestFit="1" customWidth="1"/>
    <col min="7" max="7" width="17.85546875" style="44" bestFit="1" customWidth="1"/>
    <col min="8" max="8" width="40.28515625" style="44" bestFit="1" customWidth="1"/>
    <col min="9" max="9" width="22.7109375" style="44" bestFit="1" customWidth="1"/>
    <col min="10" max="10" width="15.140625" style="44" bestFit="1" customWidth="1"/>
    <col min="11" max="11" width="20.5703125" style="44" bestFit="1" customWidth="1"/>
    <col min="12" max="12" width="15.28515625" style="44" bestFit="1" customWidth="1"/>
    <col min="13" max="13" width="12.28515625" style="44" customWidth="1"/>
    <col min="14" max="16384" width="9.140625" style="44"/>
  </cols>
  <sheetData>
    <row r="1" spans="2:13" ht="15" x14ac:dyDescent="0.25">
      <c r="B1" s="70" t="s">
        <v>33</v>
      </c>
      <c r="C1" s="70"/>
      <c r="D1" s="70"/>
      <c r="E1" s="29" t="s">
        <v>28</v>
      </c>
      <c r="F1" s="1"/>
      <c r="G1" s="69" t="s">
        <v>30</v>
      </c>
      <c r="H1" s="69"/>
      <c r="I1" s="69"/>
      <c r="J1" s="29" t="s">
        <v>29</v>
      </c>
      <c r="K1" s="69" t="s">
        <v>93</v>
      </c>
      <c r="L1" s="69"/>
      <c r="M1" s="69"/>
    </row>
    <row r="2" spans="2:13" s="43" customFormat="1" ht="23.25" customHeight="1" x14ac:dyDescent="0.25">
      <c r="B2" s="70"/>
      <c r="C2" s="70"/>
      <c r="D2" s="70"/>
      <c r="E2" s="30" t="s">
        <v>41</v>
      </c>
      <c r="F2" s="2"/>
      <c r="G2" s="71" t="str">
        <f ca="1">"Hoje é "&amp;TEXT(TODAY(),"dddd"", dia ""dd"" de ""mmmm"" de ""aaaa")</f>
        <v>Hoje é terça-feira, dia 22 de setembro de 2026</v>
      </c>
      <c r="H2" s="72"/>
      <c r="I2" s="72"/>
      <c r="J2" s="31" t="str">
        <f ca="1">TEXT(NOW(),"hh:mm:ss")</f>
        <v>20:42:09</v>
      </c>
      <c r="K2" s="32">
        <v>80</v>
      </c>
      <c r="L2" s="32" t="s">
        <v>95</v>
      </c>
      <c r="M2" s="32"/>
    </row>
    <row r="3" spans="2:13" ht="45" x14ac:dyDescent="0.2">
      <c r="B3" s="36" t="s">
        <v>0</v>
      </c>
      <c r="C3" s="36" t="s">
        <v>1</v>
      </c>
      <c r="D3" s="37" t="s">
        <v>24</v>
      </c>
      <c r="E3" s="36" t="s">
        <v>11</v>
      </c>
      <c r="F3" s="36" t="s">
        <v>32</v>
      </c>
      <c r="G3" s="36" t="s">
        <v>25</v>
      </c>
      <c r="H3" s="37" t="s">
        <v>26</v>
      </c>
      <c r="I3" s="36" t="s">
        <v>14</v>
      </c>
      <c r="J3" s="36" t="s">
        <v>12</v>
      </c>
      <c r="K3" s="36" t="s">
        <v>13</v>
      </c>
      <c r="L3" s="36" t="s">
        <v>97</v>
      </c>
      <c r="M3" s="36" t="s">
        <v>94</v>
      </c>
    </row>
    <row r="4" spans="2:13" ht="18" customHeight="1" x14ac:dyDescent="0.2">
      <c r="B4" s="33">
        <v>46152</v>
      </c>
      <c r="C4" s="33">
        <v>46164</v>
      </c>
      <c r="D4" s="34">
        <f>C4-B4</f>
        <v>12</v>
      </c>
      <c r="E4" s="35" t="s">
        <v>10</v>
      </c>
      <c r="F4" s="34" t="str">
        <f>RIGHT(E4,2)</f>
        <v>MG</v>
      </c>
      <c r="G4" s="34">
        <v>1272</v>
      </c>
      <c r="H4" s="34" t="str">
        <f>TEXT((G4/$K$2)/24,"dd"" dia, ""hh"" horas, ""mm"" minutos, ""ss"" segundos""")</f>
        <v>00 dia, 15 horas, 54 minutos, 00 segundos</v>
      </c>
      <c r="I4" s="35" t="s">
        <v>34</v>
      </c>
      <c r="J4" s="39">
        <f>IF(G4&gt;=1000,K4*35%,K4*45%)</f>
        <v>4026.5119999999997</v>
      </c>
      <c r="K4" s="28">
        <v>11504.32</v>
      </c>
      <c r="L4" s="38">
        <f>K4-J4</f>
        <v>7477.808</v>
      </c>
      <c r="M4" s="41">
        <f>1-J4/K4</f>
        <v>0.65</v>
      </c>
    </row>
    <row r="5" spans="2:13" ht="18" customHeight="1" x14ac:dyDescent="0.2">
      <c r="B5" s="4">
        <v>46082</v>
      </c>
      <c r="C5" s="4">
        <v>46090</v>
      </c>
      <c r="D5" s="3">
        <f t="shared" ref="D5" si="0">C5-B5</f>
        <v>8</v>
      </c>
      <c r="E5" s="5" t="s">
        <v>3</v>
      </c>
      <c r="F5" s="3" t="str">
        <f t="shared" ref="F5" si="1">RIGHT(E5,2)</f>
        <v>RS</v>
      </c>
      <c r="G5" s="3">
        <v>3076</v>
      </c>
      <c r="H5" s="3" t="str">
        <f t="shared" ref="H5" si="2">TEXT((G5/$K$2)/24,"dd"" dia, ""hh"" horas, ""mm"" minutos, ""ss"" segundos""")</f>
        <v>01 dia, 14 horas, 27 minutos, 00 segundos</v>
      </c>
      <c r="I5" s="5" t="s">
        <v>38</v>
      </c>
      <c r="J5" s="40">
        <f t="shared" ref="J5" si="3">IF(G5&gt;=1000,K5*35%,K5*45%)</f>
        <v>9301.1659999999993</v>
      </c>
      <c r="K5" s="6">
        <v>26574.76</v>
      </c>
      <c r="L5" s="38">
        <f t="shared" ref="L5" si="4">K5-J5</f>
        <v>17273.593999999997</v>
      </c>
      <c r="M5" s="41">
        <f t="shared" ref="M5" si="5">1-J5/K5</f>
        <v>0.65</v>
      </c>
    </row>
    <row r="6" spans="2:13" ht="18" customHeight="1" x14ac:dyDescent="0.2">
      <c r="B6" s="4">
        <v>46120</v>
      </c>
      <c r="C6" s="4">
        <v>46127</v>
      </c>
      <c r="D6" s="3">
        <f>C6-B6</f>
        <v>7</v>
      </c>
      <c r="E6" s="5" t="s">
        <v>4</v>
      </c>
      <c r="F6" s="3" t="str">
        <f t="shared" ref="F6:F17" si="6">RIGHT(E6,2)</f>
        <v>SP</v>
      </c>
      <c r="G6" s="3">
        <v>702</v>
      </c>
      <c r="H6" s="3" t="str">
        <f t="shared" ref="H6:H17" si="7">TEXT((G6/$K$2)/24,"dd"" dia, ""hh"" horas, ""mm"" minutos, ""ss"" segundos""")</f>
        <v>00 dia, 08 horas, 46 minutos, 30 segundos</v>
      </c>
      <c r="I6" s="5" t="s">
        <v>37</v>
      </c>
      <c r="J6" s="40">
        <f t="shared" ref="J6:J17" si="8">IF(G6&gt;=1000,K6*35%,K6*45%)</f>
        <v>3034.17</v>
      </c>
      <c r="K6" s="6">
        <v>6742.6</v>
      </c>
      <c r="L6" s="38">
        <f t="shared" ref="L6:L17" si="9">K6-J6</f>
        <v>3708.4300000000003</v>
      </c>
      <c r="M6" s="42">
        <f t="shared" ref="M6:M17" si="10">1-J6/K6</f>
        <v>0.55000000000000004</v>
      </c>
    </row>
    <row r="7" spans="2:13" ht="18" customHeight="1" x14ac:dyDescent="0.2">
      <c r="B7" s="4">
        <v>46170</v>
      </c>
      <c r="C7" s="4">
        <v>46177</v>
      </c>
      <c r="D7" s="3">
        <f t="shared" ref="D7:D17" si="11">C7-B7</f>
        <v>7</v>
      </c>
      <c r="E7" s="5" t="s">
        <v>9</v>
      </c>
      <c r="F7" s="3" t="str">
        <f t="shared" si="6"/>
        <v>PR</v>
      </c>
      <c r="G7" s="3">
        <v>1486</v>
      </c>
      <c r="H7" s="3" t="str">
        <f t="shared" si="7"/>
        <v>00 dia, 18 horas, 34 minutos, 30 segundos</v>
      </c>
      <c r="I7" s="43" t="s">
        <v>36</v>
      </c>
      <c r="J7" s="40">
        <f>IF(G7&gt;=1000,K7*35%,K7*45%)</f>
        <v>4652.375</v>
      </c>
      <c r="K7" s="6">
        <v>13292.5</v>
      </c>
      <c r="L7" s="38">
        <f t="shared" si="9"/>
        <v>8640.125</v>
      </c>
      <c r="M7" s="41">
        <f t="shared" si="10"/>
        <v>0.65</v>
      </c>
    </row>
    <row r="8" spans="2:13" ht="18" customHeight="1" x14ac:dyDescent="0.2">
      <c r="B8" s="4">
        <v>46173</v>
      </c>
      <c r="C8" s="4">
        <v>46185</v>
      </c>
      <c r="D8" s="3">
        <f t="shared" si="11"/>
        <v>12</v>
      </c>
      <c r="E8" s="5" t="s">
        <v>8</v>
      </c>
      <c r="F8" s="3" t="str">
        <f t="shared" si="6"/>
        <v>GO</v>
      </c>
      <c r="G8" s="3">
        <v>1028</v>
      </c>
      <c r="H8" s="3" t="str">
        <f t="shared" si="7"/>
        <v>00 dia, 12 horas, 51 minutos, 00 segundos</v>
      </c>
      <c r="I8" s="5" t="s">
        <v>38</v>
      </c>
      <c r="J8" s="40">
        <f t="shared" si="8"/>
        <v>3313.0894999999996</v>
      </c>
      <c r="K8" s="6">
        <v>9465.9699999999993</v>
      </c>
      <c r="L8" s="38">
        <f t="shared" si="9"/>
        <v>6152.8804999999993</v>
      </c>
      <c r="M8" s="41">
        <f t="shared" si="10"/>
        <v>0.65</v>
      </c>
    </row>
    <row r="9" spans="2:13" ht="18" customHeight="1" x14ac:dyDescent="0.2">
      <c r="B9" s="4">
        <v>46113</v>
      </c>
      <c r="C9" s="4">
        <v>46123</v>
      </c>
      <c r="D9" s="3">
        <f t="shared" ref="D9" si="12">C9-B9</f>
        <v>10</v>
      </c>
      <c r="E9" s="5" t="s">
        <v>2</v>
      </c>
      <c r="F9" s="3" t="str">
        <f t="shared" ref="F9" si="13">RIGHT(E9,2)</f>
        <v>PE</v>
      </c>
      <c r="G9" s="3">
        <v>5231</v>
      </c>
      <c r="H9" s="3" t="str">
        <f t="shared" ref="H9" si="14">TEXT((G9/$K$2)/24,"dd"" dia, ""hh"" horas, ""mm"" minutos, ""ss"" segundos""")</f>
        <v>02 dia, 17 horas, 23 minutos, 15 segundos</v>
      </c>
      <c r="I9" s="35" t="s">
        <v>34</v>
      </c>
      <c r="J9" s="40">
        <f t="shared" ref="J9" si="15">IF(G9&gt;=1000,K9*35%,K9*45%)</f>
        <v>15602.093500000001</v>
      </c>
      <c r="K9" s="6">
        <v>44577.41</v>
      </c>
      <c r="L9" s="38">
        <f t="shared" ref="L9" si="16">K9-J9</f>
        <v>28975.316500000001</v>
      </c>
      <c r="M9" s="41">
        <f t="shared" ref="M9" si="17">1-J9/K9</f>
        <v>0.65</v>
      </c>
    </row>
    <row r="10" spans="2:13" ht="18" customHeight="1" x14ac:dyDescent="0.2">
      <c r="B10" s="4">
        <v>46072</v>
      </c>
      <c r="C10" s="4">
        <v>46083</v>
      </c>
      <c r="D10" s="3">
        <f t="shared" si="11"/>
        <v>11</v>
      </c>
      <c r="E10" s="5" t="s">
        <v>3</v>
      </c>
      <c r="F10" s="3" t="str">
        <f t="shared" si="6"/>
        <v>RS</v>
      </c>
      <c r="G10" s="3">
        <v>3076</v>
      </c>
      <c r="H10" s="3" t="str">
        <f t="shared" si="7"/>
        <v>01 dia, 14 horas, 27 minutos, 00 segundos</v>
      </c>
      <c r="I10" s="5" t="s">
        <v>35</v>
      </c>
      <c r="J10" s="40">
        <f t="shared" si="8"/>
        <v>9301.1659999999993</v>
      </c>
      <c r="K10" s="6">
        <v>26574.76</v>
      </c>
      <c r="L10" s="38">
        <f t="shared" si="9"/>
        <v>17273.593999999997</v>
      </c>
      <c r="M10" s="41">
        <f t="shared" si="10"/>
        <v>0.65</v>
      </c>
    </row>
    <row r="11" spans="2:13" ht="18" customHeight="1" x14ac:dyDescent="0.2">
      <c r="B11" s="4">
        <v>46091</v>
      </c>
      <c r="C11" s="4">
        <v>46101</v>
      </c>
      <c r="D11" s="3">
        <f t="shared" si="11"/>
        <v>10</v>
      </c>
      <c r="E11" s="5" t="s">
        <v>2</v>
      </c>
      <c r="F11" s="3" t="str">
        <f t="shared" si="6"/>
        <v>PE</v>
      </c>
      <c r="G11" s="3">
        <v>5231</v>
      </c>
      <c r="H11" s="3" t="str">
        <f t="shared" si="7"/>
        <v>02 dia, 17 horas, 23 minutos, 15 segundos</v>
      </c>
      <c r="I11" s="5" t="s">
        <v>39</v>
      </c>
      <c r="J11" s="40">
        <f t="shared" si="8"/>
        <v>15602.093500000001</v>
      </c>
      <c r="K11" s="6">
        <v>44577.41</v>
      </c>
      <c r="L11" s="38">
        <f t="shared" si="9"/>
        <v>28975.316500000001</v>
      </c>
      <c r="M11" s="41">
        <f t="shared" si="10"/>
        <v>0.65</v>
      </c>
    </row>
    <row r="12" spans="2:13" ht="18" customHeight="1" x14ac:dyDescent="0.2">
      <c r="B12" s="4">
        <v>46075</v>
      </c>
      <c r="C12" s="4">
        <v>46081</v>
      </c>
      <c r="D12" s="3">
        <f t="shared" ref="D12" si="18">C12-B12</f>
        <v>6</v>
      </c>
      <c r="E12" s="5" t="s">
        <v>5</v>
      </c>
      <c r="F12" s="3" t="str">
        <f t="shared" ref="F12" si="19">RIGHT(E12,2)</f>
        <v>RJ</v>
      </c>
      <c r="G12" s="3">
        <v>1750</v>
      </c>
      <c r="H12" s="3" t="str">
        <f t="shared" ref="H12" si="20">TEXT((G12/$K$2)/24,"dd"" dia, ""hh"" horas, ""mm"" minutos, ""ss"" segundos""")</f>
        <v>00 dia, 21 horas, 52 minutos, 30 segundos</v>
      </c>
      <c r="I12" s="5" t="s">
        <v>40</v>
      </c>
      <c r="J12" s="40">
        <f t="shared" ref="J12" si="21">IF(G12&gt;=1000,K12*35%,K12*45%)</f>
        <v>5280.6284999999998</v>
      </c>
      <c r="K12" s="6">
        <v>15087.51</v>
      </c>
      <c r="L12" s="38">
        <f t="shared" ref="L12" si="22">K12-J12</f>
        <v>9806.8814999999995</v>
      </c>
      <c r="M12" s="41">
        <f t="shared" ref="M12" si="23">1-J12/K12</f>
        <v>0.65</v>
      </c>
    </row>
    <row r="13" spans="2:13" ht="18" customHeight="1" x14ac:dyDescent="0.2">
      <c r="B13" s="4">
        <v>46075</v>
      </c>
      <c r="C13" s="4">
        <v>46080</v>
      </c>
      <c r="D13" s="3">
        <f t="shared" si="11"/>
        <v>5</v>
      </c>
      <c r="E13" s="5" t="s">
        <v>5</v>
      </c>
      <c r="F13" s="3" t="str">
        <f t="shared" si="6"/>
        <v>RJ</v>
      </c>
      <c r="G13" s="3">
        <v>1700</v>
      </c>
      <c r="H13" s="3" t="str">
        <f t="shared" si="7"/>
        <v>00 dia, 21 horas, 15 minutos, 00 segundos</v>
      </c>
      <c r="I13" s="5" t="s">
        <v>38</v>
      </c>
      <c r="J13" s="40">
        <f t="shared" si="8"/>
        <v>5280.9785000000002</v>
      </c>
      <c r="K13" s="6">
        <v>15088.51</v>
      </c>
      <c r="L13" s="38">
        <f t="shared" si="9"/>
        <v>9807.531500000001</v>
      </c>
      <c r="M13" s="41">
        <f t="shared" si="10"/>
        <v>0.64999999999999991</v>
      </c>
    </row>
    <row r="14" spans="2:13" ht="18" customHeight="1" x14ac:dyDescent="0.2">
      <c r="B14" s="4">
        <v>46217</v>
      </c>
      <c r="C14" s="4">
        <v>46223</v>
      </c>
      <c r="D14" s="3">
        <f t="shared" ref="D14" si="24">C14-B14</f>
        <v>6</v>
      </c>
      <c r="E14" s="5" t="s">
        <v>6</v>
      </c>
      <c r="F14" s="3" t="str">
        <f t="shared" ref="F14" si="25">RIGHT(E14,2)</f>
        <v>SP</v>
      </c>
      <c r="G14" s="3">
        <v>916</v>
      </c>
      <c r="H14" s="3" t="str">
        <f t="shared" ref="H14" si="26">TEXT((G14/$K$2)/24,"dd"" dia, ""hh"" horas, ""mm"" minutos, ""ss"" segundos""")</f>
        <v>00 dia, 11 horas, 27 minutos, 00 segundos</v>
      </c>
      <c r="I14" s="5" t="s">
        <v>38</v>
      </c>
      <c r="J14" s="40">
        <f t="shared" ref="J14" si="27">IF(G14&gt;=1000,K14*35%,K14*45%)</f>
        <v>3838.6485000000002</v>
      </c>
      <c r="K14" s="6">
        <v>8530.33</v>
      </c>
      <c r="L14" s="38">
        <f t="shared" ref="L14" si="28">K14-J14</f>
        <v>4691.6814999999997</v>
      </c>
      <c r="M14" s="41">
        <f t="shared" ref="M14" si="29">1-J14/K14</f>
        <v>0.55000000000000004</v>
      </c>
    </row>
    <row r="15" spans="2:13" ht="18" customHeight="1" x14ac:dyDescent="0.2">
      <c r="B15" s="4">
        <v>46068</v>
      </c>
      <c r="C15" s="4">
        <v>46078</v>
      </c>
      <c r="D15" s="3">
        <f t="shared" si="11"/>
        <v>10</v>
      </c>
      <c r="E15" s="5" t="s">
        <v>7</v>
      </c>
      <c r="F15" s="3" t="str">
        <f t="shared" si="6"/>
        <v>BA</v>
      </c>
      <c r="G15" s="3">
        <v>3882</v>
      </c>
      <c r="H15" s="3" t="str">
        <f t="shared" si="7"/>
        <v>02 dia, 00 horas, 31 minutos, 30 segundos</v>
      </c>
      <c r="I15" s="43" t="s">
        <v>36</v>
      </c>
      <c r="J15" s="40">
        <f t="shared" si="8"/>
        <v>11657.806999999999</v>
      </c>
      <c r="K15" s="28">
        <v>33308.019999999997</v>
      </c>
      <c r="L15" s="38">
        <f t="shared" si="9"/>
        <v>21650.212999999996</v>
      </c>
      <c r="M15" s="41">
        <f t="shared" si="10"/>
        <v>0.65</v>
      </c>
    </row>
    <row r="16" spans="2:13" ht="18" customHeight="1" x14ac:dyDescent="0.2">
      <c r="B16" s="4">
        <v>46183</v>
      </c>
      <c r="C16" s="4">
        <v>46191</v>
      </c>
      <c r="D16" s="3">
        <f t="shared" ref="D16" si="30">C16-B16</f>
        <v>8</v>
      </c>
      <c r="E16" s="5" t="s">
        <v>9</v>
      </c>
      <c r="F16" s="3" t="str">
        <f t="shared" ref="F16" si="31">RIGHT(E16,2)</f>
        <v>PR</v>
      </c>
      <c r="G16" s="3">
        <v>1486</v>
      </c>
      <c r="H16" s="3" t="str">
        <f t="shared" ref="H16" si="32">TEXT((G16/$K$2)/24,"dd"" dia, ""hh"" horas, ""mm"" minutos, ""ss"" segundos""")</f>
        <v>00 dia, 18 horas, 34 minutos, 30 segundos</v>
      </c>
      <c r="I16" s="43" t="s">
        <v>36</v>
      </c>
      <c r="J16" s="40">
        <f>IF(G16&gt;=1000,K16*35%,K16*45%)</f>
        <v>4652.375</v>
      </c>
      <c r="K16" s="6">
        <v>13292.5</v>
      </c>
      <c r="L16" s="38">
        <f t="shared" ref="L16" si="33">K16-J16</f>
        <v>8640.125</v>
      </c>
      <c r="M16" s="41">
        <f t="shared" ref="M16" si="34">1-J16/K16</f>
        <v>0.65</v>
      </c>
    </row>
    <row r="17" spans="2:13" ht="18" customHeight="1" x14ac:dyDescent="0.2">
      <c r="B17" s="4">
        <v>46186</v>
      </c>
      <c r="C17" s="4">
        <v>46198</v>
      </c>
      <c r="D17" s="3">
        <f t="shared" si="11"/>
        <v>12</v>
      </c>
      <c r="E17" s="5" t="s">
        <v>6</v>
      </c>
      <c r="F17" s="3" t="str">
        <f t="shared" si="6"/>
        <v>SP</v>
      </c>
      <c r="G17" s="3">
        <v>916</v>
      </c>
      <c r="H17" s="3" t="str">
        <f t="shared" si="7"/>
        <v>00 dia, 11 horas, 27 minutos, 00 segundos</v>
      </c>
      <c r="I17" s="5" t="s">
        <v>38</v>
      </c>
      <c r="J17" s="40">
        <f t="shared" si="8"/>
        <v>3838.6485000000002</v>
      </c>
      <c r="K17" s="6">
        <v>8530.33</v>
      </c>
      <c r="L17" s="38">
        <f t="shared" si="9"/>
        <v>4691.6814999999997</v>
      </c>
      <c r="M17" s="41">
        <f t="shared" si="10"/>
        <v>0.55000000000000004</v>
      </c>
    </row>
    <row r="18" spans="2:13" ht="15" thickBot="1" x14ac:dyDescent="0.25">
      <c r="B18" s="45"/>
      <c r="C18" s="45"/>
      <c r="G18" s="46"/>
    </row>
    <row r="19" spans="2:13" ht="18" customHeight="1" thickBot="1" x14ac:dyDescent="0.3">
      <c r="B19" s="73" t="s">
        <v>16</v>
      </c>
      <c r="C19" s="74"/>
      <c r="E19" s="47" t="s">
        <v>17</v>
      </c>
      <c r="F19" s="48"/>
      <c r="G19" s="47" t="s">
        <v>31</v>
      </c>
    </row>
    <row r="20" spans="2:13" ht="18" customHeight="1" x14ac:dyDescent="0.2">
      <c r="B20" s="75" t="s">
        <v>9</v>
      </c>
      <c r="C20" s="68"/>
      <c r="E20" s="57" t="s">
        <v>36</v>
      </c>
      <c r="F20" s="49"/>
      <c r="G20" s="59">
        <f>SUM(Custos)</f>
        <v>99381.751499999984</v>
      </c>
    </row>
    <row r="21" spans="2:13" ht="18" customHeight="1" thickBot="1" x14ac:dyDescent="0.3">
      <c r="B21" s="65" t="s">
        <v>15</v>
      </c>
      <c r="C21" s="66"/>
      <c r="E21" s="50" t="s">
        <v>15</v>
      </c>
      <c r="F21" s="51"/>
      <c r="G21" s="60"/>
    </row>
    <row r="22" spans="2:13" ht="18" customHeight="1" thickBot="1" x14ac:dyDescent="0.25">
      <c r="B22" s="76">
        <f>SUMIF(Destinos,B20,Fretes)</f>
        <v>26585</v>
      </c>
      <c r="C22" s="77"/>
      <c r="E22" s="52">
        <f>SUMIF(Motoristas,E20,Fretes)</f>
        <v>59893.02</v>
      </c>
      <c r="F22" s="53"/>
    </row>
    <row r="23" spans="2:13" ht="18" customHeight="1" thickBot="1" x14ac:dyDescent="0.25">
      <c r="B23" s="78"/>
      <c r="C23" s="78"/>
    </row>
    <row r="24" spans="2:13" ht="18" customHeight="1" thickBot="1" x14ac:dyDescent="0.3">
      <c r="B24" s="63" t="s">
        <v>18</v>
      </c>
      <c r="C24" s="64"/>
      <c r="E24" s="47" t="s">
        <v>27</v>
      </c>
      <c r="F24" s="51"/>
      <c r="G24" s="47" t="s">
        <v>22</v>
      </c>
    </row>
    <row r="25" spans="2:13" ht="18" customHeight="1" thickBot="1" x14ac:dyDescent="0.3">
      <c r="B25" s="65" t="s">
        <v>19</v>
      </c>
      <c r="C25" s="66"/>
      <c r="E25" s="55">
        <f>AVERAGE(Prazo)</f>
        <v>8.8571428571428577</v>
      </c>
      <c r="F25" s="53"/>
      <c r="G25" s="52">
        <f>AVERAGE(Custos)</f>
        <v>7098.6965357142844</v>
      </c>
    </row>
    <row r="26" spans="2:13" ht="18" customHeight="1" thickBot="1" x14ac:dyDescent="0.25">
      <c r="B26" s="67">
        <v>46023</v>
      </c>
      <c r="C26" s="68"/>
    </row>
    <row r="27" spans="2:13" ht="18" customHeight="1" thickBot="1" x14ac:dyDescent="0.3">
      <c r="B27" s="65" t="s">
        <v>20</v>
      </c>
      <c r="C27" s="66"/>
      <c r="E27" s="47" t="s">
        <v>21</v>
      </c>
      <c r="F27" s="51"/>
      <c r="G27" s="47" t="s">
        <v>23</v>
      </c>
    </row>
    <row r="28" spans="2:13" ht="18" customHeight="1" x14ac:dyDescent="0.2">
      <c r="B28" s="67">
        <v>46053</v>
      </c>
      <c r="C28" s="68"/>
      <c r="E28" s="56" t="s">
        <v>96</v>
      </c>
      <c r="G28" s="59">
        <f>SUM(Fretes)</f>
        <v>277146.93</v>
      </c>
    </row>
    <row r="29" spans="2:13" ht="18" customHeight="1" thickBot="1" x14ac:dyDescent="0.25">
      <c r="B29" s="61"/>
      <c r="C29" s="62"/>
      <c r="E29" s="58">
        <f>AVERAGEIF(Estados,E28,Prazo)</f>
        <v>8.3333333333333339</v>
      </c>
      <c r="F29" s="53"/>
      <c r="G29" s="60"/>
    </row>
    <row r="31" spans="2:13" x14ac:dyDescent="0.2">
      <c r="B31" s="44"/>
      <c r="C31" s="45"/>
    </row>
    <row r="38" spans="2:2" x14ac:dyDescent="0.2">
      <c r="B38" s="44"/>
    </row>
  </sheetData>
  <mergeCells count="17">
    <mergeCell ref="K1:M1"/>
    <mergeCell ref="B1:D2"/>
    <mergeCell ref="G1:I1"/>
    <mergeCell ref="G2:I2"/>
    <mergeCell ref="B19:C19"/>
    <mergeCell ref="G28:G29"/>
    <mergeCell ref="G20:G21"/>
    <mergeCell ref="B29:C29"/>
    <mergeCell ref="B24:C24"/>
    <mergeCell ref="B25:C25"/>
    <mergeCell ref="B26:C26"/>
    <mergeCell ref="B27:C27"/>
    <mergeCell ref="B28:C28"/>
    <mergeCell ref="B21:C21"/>
    <mergeCell ref="B20:C20"/>
    <mergeCell ref="B22:C22"/>
    <mergeCell ref="B23:C23"/>
  </mergeCells>
  <dataValidations count="5">
    <dataValidation type="list" allowBlank="1" showInputMessage="1" showErrorMessage="1" sqref="F2" xr:uid="{E839BB19-5F09-4525-9529-897BA60ABD8A}">
      <formula1>"Guariroba,Jurupema,Taquaritinga,Vila Negri"</formula1>
    </dataValidation>
    <dataValidation type="list" allowBlank="1" showInputMessage="1" showErrorMessage="1" sqref="E2" xr:uid="{E8739A41-89D9-4A5B-8841-8BC2682A826B}">
      <formula1>"Baguaçu,Cajobi,Guaraci,Olímpia,Severínia"</formula1>
    </dataValidation>
    <dataValidation type="list" allowBlank="1" showInputMessage="1" showErrorMessage="1" sqref="B20:C20" xr:uid="{5F5EE326-E200-45C9-AC9C-B01677233F19}">
      <formula1>$E$4:$E$17</formula1>
    </dataValidation>
    <dataValidation type="list" allowBlank="1" showInputMessage="1" showErrorMessage="1" sqref="E20" xr:uid="{6293A87B-F521-4E61-9DB2-E4563D533CEC}">
      <formula1>Motoristas</formula1>
    </dataValidation>
    <dataValidation type="list" allowBlank="1" showInputMessage="1" showErrorMessage="1" sqref="E28" xr:uid="{BE3585EE-559B-49E8-BF98-88EDB084A924}">
      <formula1>Estados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71A80B-7653-475C-A394-D64E06298A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Introdução</vt:lpstr>
      <vt:lpstr>Tabela_periódica</vt:lpstr>
      <vt:lpstr>Transp</vt:lpstr>
      <vt:lpstr>Custos</vt:lpstr>
      <vt:lpstr>Destinos</vt:lpstr>
      <vt:lpstr>Estados</vt:lpstr>
      <vt:lpstr>Fretes</vt:lpstr>
      <vt:lpstr>Motoristas</vt:lpstr>
      <vt:lpstr>Prazo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CESAR VIEIRA</dc:creator>
  <cp:lastModifiedBy>Wagner Cesar Vieira</cp:lastModifiedBy>
  <dcterms:created xsi:type="dcterms:W3CDTF">2024-09-10T00:57:41Z</dcterms:created>
  <dcterms:modified xsi:type="dcterms:W3CDTF">2026-09-22T23:42:22Z</dcterms:modified>
</cp:coreProperties>
</file>