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ulas\5. Projetos TIC - Química - 232\ptic232\"/>
    </mc:Choice>
  </mc:AlternateContent>
  <xr:revisionPtr revIDLastSave="0" documentId="8_{590E4BF4-566A-483D-B820-15BACE9BF95A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tabela_periodica" sheetId="1" r:id="rId1"/>
    <sheet name="Cálcul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2" l="1"/>
  <c r="N21" i="2"/>
  <c r="N22" i="2"/>
  <c r="N20" i="2"/>
  <c r="L22" i="2"/>
  <c r="L21" i="2"/>
  <c r="L20" i="2"/>
  <c r="N14" i="2"/>
  <c r="N13" i="2"/>
  <c r="N15" i="2" s="1"/>
  <c r="L14" i="2"/>
  <c r="L13" i="2"/>
  <c r="N5" i="2"/>
  <c r="L7" i="2"/>
  <c r="N7" i="2" s="1"/>
  <c r="L6" i="2"/>
  <c r="N6" i="2" s="1"/>
  <c r="N8" i="2" s="1"/>
  <c r="L5" i="2"/>
  <c r="E14" i="2"/>
  <c r="G14" i="2" s="1"/>
  <c r="E13" i="2"/>
  <c r="G13" i="2" s="1"/>
  <c r="G15" i="2" s="1"/>
  <c r="G6" i="2"/>
  <c r="E6" i="2"/>
  <c r="E5" i="2"/>
  <c r="G5" i="2" s="1"/>
  <c r="G7" i="2" s="1"/>
</calcChain>
</file>

<file path=xl/sharedStrings.xml><?xml version="1.0" encoding="utf-8"?>
<sst xmlns="http://schemas.openxmlformats.org/spreadsheetml/2006/main" count="326" uniqueCount="269">
  <si>
    <t>Na</t>
  </si>
  <si>
    <t>Rutherfórdio</t>
  </si>
  <si>
    <t>57 - 71</t>
  </si>
  <si>
    <t>89 - 103</t>
  </si>
  <si>
    <t>H</t>
  </si>
  <si>
    <t>Li</t>
  </si>
  <si>
    <t>K</t>
  </si>
  <si>
    <t>Rb</t>
  </si>
  <si>
    <t>Cs</t>
  </si>
  <si>
    <t>Fr</t>
  </si>
  <si>
    <t>Ra</t>
  </si>
  <si>
    <t>Ba</t>
  </si>
  <si>
    <t>Sr</t>
  </si>
  <si>
    <t>Ca</t>
  </si>
  <si>
    <t>Mg</t>
  </si>
  <si>
    <t>Be</t>
  </si>
  <si>
    <t>Sc</t>
  </si>
  <si>
    <t>Y</t>
  </si>
  <si>
    <t>Ti</t>
  </si>
  <si>
    <t>Zr</t>
  </si>
  <si>
    <t>Hf</t>
  </si>
  <si>
    <t>Rf</t>
  </si>
  <si>
    <t>Db</t>
  </si>
  <si>
    <t>Ta</t>
  </si>
  <si>
    <t>Nb</t>
  </si>
  <si>
    <t>V</t>
  </si>
  <si>
    <t>Cr</t>
  </si>
  <si>
    <t>Mo</t>
  </si>
  <si>
    <t>W</t>
  </si>
  <si>
    <t>Sg</t>
  </si>
  <si>
    <t>Bh</t>
  </si>
  <si>
    <t>Re</t>
  </si>
  <si>
    <t>Tc</t>
  </si>
  <si>
    <t>Mn</t>
  </si>
  <si>
    <t>Fe</t>
  </si>
  <si>
    <t>Ru</t>
  </si>
  <si>
    <t>Os</t>
  </si>
  <si>
    <t>Hs</t>
  </si>
  <si>
    <t>Co</t>
  </si>
  <si>
    <t>Rh</t>
  </si>
  <si>
    <t>Ir</t>
  </si>
  <si>
    <t>Mt</t>
  </si>
  <si>
    <t>Ni</t>
  </si>
  <si>
    <t>Pd</t>
  </si>
  <si>
    <t>Pt</t>
  </si>
  <si>
    <t>Ds</t>
  </si>
  <si>
    <t>Cu</t>
  </si>
  <si>
    <t>Ag</t>
  </si>
  <si>
    <t>Au</t>
  </si>
  <si>
    <t>Rg</t>
  </si>
  <si>
    <t>Zn</t>
  </si>
  <si>
    <t>Cd</t>
  </si>
  <si>
    <t>Hg</t>
  </si>
  <si>
    <t>Cn</t>
  </si>
  <si>
    <t>B</t>
  </si>
  <si>
    <t>C</t>
  </si>
  <si>
    <t>N</t>
  </si>
  <si>
    <t>O</t>
  </si>
  <si>
    <t>F</t>
  </si>
  <si>
    <t>Ne</t>
  </si>
  <si>
    <t>He</t>
  </si>
  <si>
    <t>Ar</t>
  </si>
  <si>
    <t>Cl</t>
  </si>
  <si>
    <t>S</t>
  </si>
  <si>
    <t>P</t>
  </si>
  <si>
    <t>Si</t>
  </si>
  <si>
    <t>Al</t>
  </si>
  <si>
    <t>Ga</t>
  </si>
  <si>
    <t>Ge</t>
  </si>
  <si>
    <t>As</t>
  </si>
  <si>
    <t>Se</t>
  </si>
  <si>
    <t>Br</t>
  </si>
  <si>
    <t>Kr</t>
  </si>
  <si>
    <t>In</t>
  </si>
  <si>
    <t>Sn</t>
  </si>
  <si>
    <t>Sb</t>
  </si>
  <si>
    <t>Te</t>
  </si>
  <si>
    <t>I</t>
  </si>
  <si>
    <t>Xe</t>
  </si>
  <si>
    <t>Tl</t>
  </si>
  <si>
    <t>Pb</t>
  </si>
  <si>
    <t>Bi</t>
  </si>
  <si>
    <t>Po</t>
  </si>
  <si>
    <t>At</t>
  </si>
  <si>
    <t>Rn</t>
  </si>
  <si>
    <t>Nh</t>
  </si>
  <si>
    <t>Fl</t>
  </si>
  <si>
    <t>Mc</t>
  </si>
  <si>
    <t>Lv</t>
  </si>
  <si>
    <t>Ts</t>
  </si>
  <si>
    <t>Og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</si>
  <si>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</si>
  <si>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</si>
  <si>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</si>
  <si>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</si>
  <si>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</si>
  <si>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</si>
  <si>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</si>
  <si>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</si>
  <si>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</si>
  <si>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</si>
  <si>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</si>
  <si>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</si>
  <si>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</si>
  <si>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</si>
  <si>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</si>
  <si>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</si>
  <si>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</si>
  <si>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</si>
  <si>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</si>
  <si>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</si>
  <si>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</si>
  <si>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</si>
  <si>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</si>
  <si>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</si>
  <si>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</si>
  <si>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</si>
  <si>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</si>
  <si>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</si>
  <si>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</si>
  <si>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</si>
  <si>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Hidrogênio</t>
  </si>
  <si>
    <t>Lítio</t>
  </si>
  <si>
    <t>Berílio</t>
  </si>
  <si>
    <t>Sódio</t>
  </si>
  <si>
    <t>Magnésio</t>
  </si>
  <si>
    <t>Cálcio</t>
  </si>
  <si>
    <t>Potássio</t>
  </si>
  <si>
    <t>Rubídio</t>
  </si>
  <si>
    <t>Césio</t>
  </si>
  <si>
    <t>Frâncio</t>
  </si>
  <si>
    <t>Rádio</t>
  </si>
  <si>
    <t>Bário</t>
  </si>
  <si>
    <t>Ítrio</t>
  </si>
  <si>
    <t>Titânio</t>
  </si>
  <si>
    <t>Zircônio</t>
  </si>
  <si>
    <t>Háfnio</t>
  </si>
  <si>
    <t>Dúbnio</t>
  </si>
  <si>
    <t>Tântalo</t>
  </si>
  <si>
    <t>Nióbio</t>
  </si>
  <si>
    <t>Vanádio</t>
  </si>
  <si>
    <t>Molibdênio</t>
  </si>
  <si>
    <t>Tungstênio</t>
  </si>
  <si>
    <t>Seabórgio</t>
  </si>
  <si>
    <t>Bóhrio</t>
  </si>
  <si>
    <t>Rênio</t>
  </si>
  <si>
    <t>Tecnécio</t>
  </si>
  <si>
    <t>Manganês</t>
  </si>
  <si>
    <t>Ferro</t>
  </si>
  <si>
    <t>Rutênio</t>
  </si>
  <si>
    <t>Hássio</t>
  </si>
  <si>
    <t>Cobalto</t>
  </si>
  <si>
    <t>Ródio</t>
  </si>
  <si>
    <t>Irídio</t>
  </si>
  <si>
    <t>Meitnério</t>
  </si>
  <si>
    <t>Níquel</t>
  </si>
  <si>
    <t>Platina</t>
  </si>
  <si>
    <t>Paládio</t>
  </si>
  <si>
    <t>Darmstádtio</t>
  </si>
  <si>
    <t>Cobre</t>
  </si>
  <si>
    <t>Prata</t>
  </si>
  <si>
    <t>Ouro</t>
  </si>
  <si>
    <t>Roentgênio</t>
  </si>
  <si>
    <t>Zinco</t>
  </si>
  <si>
    <t>Cádmio</t>
  </si>
  <si>
    <t>Mercúrio</t>
  </si>
  <si>
    <t>Boro</t>
  </si>
  <si>
    <t>Carbono</t>
  </si>
  <si>
    <t>Alumínio</t>
  </si>
  <si>
    <t>Gálio</t>
  </si>
  <si>
    <t>Índio</t>
  </si>
  <si>
    <t>Tálio</t>
  </si>
  <si>
    <t>Flevório</t>
  </si>
  <si>
    <t>Chumbo</t>
  </si>
  <si>
    <t>Estanho</t>
  </si>
  <si>
    <t>Germânio</t>
  </si>
  <si>
    <t>Silício</t>
  </si>
  <si>
    <t>Nitrogênio</t>
  </si>
  <si>
    <t>Fóforo</t>
  </si>
  <si>
    <t>Astato</t>
  </si>
  <si>
    <t>Arsênio</t>
  </si>
  <si>
    <t>Antimônio</t>
  </si>
  <si>
    <t>Bismuto</t>
  </si>
  <si>
    <t>Moscóvio</t>
  </si>
  <si>
    <t>Oxigênio</t>
  </si>
  <si>
    <t>Enxofre</t>
  </si>
  <si>
    <t>Selênio</t>
  </si>
  <si>
    <t>Telúrio</t>
  </si>
  <si>
    <t>Polônio</t>
  </si>
  <si>
    <t>Livermório</t>
  </si>
  <si>
    <t>Iodo</t>
  </si>
  <si>
    <t>Xenônio</t>
  </si>
  <si>
    <t>Radônio</t>
  </si>
  <si>
    <t>Criptônio</t>
  </si>
  <si>
    <t>Argônio</t>
  </si>
  <si>
    <t>Nêonio</t>
  </si>
  <si>
    <t>Hélio</t>
  </si>
  <si>
    <t>Flúor</t>
  </si>
  <si>
    <t>Cloro</t>
  </si>
  <si>
    <t>Bromo</t>
  </si>
  <si>
    <t>Lantânio</t>
  </si>
  <si>
    <t>Cério</t>
  </si>
  <si>
    <t>Praseodímio</t>
  </si>
  <si>
    <t>Neodímio</t>
  </si>
  <si>
    <t>Samário</t>
  </si>
  <si>
    <t>Promécio</t>
  </si>
  <si>
    <t>Európio</t>
  </si>
  <si>
    <t>Gadolínio</t>
  </si>
  <si>
    <t>Térbio</t>
  </si>
  <si>
    <t>Disprósio</t>
  </si>
  <si>
    <t>Hólmio</t>
  </si>
  <si>
    <t>Érbio</t>
  </si>
  <si>
    <t>Túlio</t>
  </si>
  <si>
    <t>Itérbio</t>
  </si>
  <si>
    <t>Lutécio</t>
  </si>
  <si>
    <t>Actínio</t>
  </si>
  <si>
    <t>Tório</t>
  </si>
  <si>
    <t>Protactínio</t>
  </si>
  <si>
    <t>Urânio</t>
  </si>
  <si>
    <t>Plutônio</t>
  </si>
  <si>
    <t>Amerício</t>
  </si>
  <si>
    <t>Cúrio</t>
  </si>
  <si>
    <t>Berquélio</t>
  </si>
  <si>
    <t>Califórnio</t>
  </si>
  <si>
    <t>Einstênio</t>
  </si>
  <si>
    <t>Férmio</t>
  </si>
  <si>
    <t>Nobélio</t>
  </si>
  <si>
    <t>Laurêncio</t>
  </si>
  <si>
    <t>TABELA PERIÓDICA DOS ELEMENTOS</t>
  </si>
  <si>
    <t>Crômio</t>
  </si>
  <si>
    <t>Estrôncio</t>
  </si>
  <si>
    <t>Ósmio</t>
  </si>
  <si>
    <t>Copernício</t>
  </si>
  <si>
    <t>Nihônio</t>
  </si>
  <si>
    <t>Tennesso</t>
  </si>
  <si>
    <t>Oganessônio</t>
  </si>
  <si>
    <t>Neptúnio</t>
  </si>
  <si>
    <t>Mendelévio</t>
  </si>
  <si>
    <t>Escândio</t>
  </si>
  <si>
    <t>Metais Alcalinos</t>
  </si>
  <si>
    <t>Ametais</t>
  </si>
  <si>
    <t>Metais Representativos</t>
  </si>
  <si>
    <t>Semimetais</t>
  </si>
  <si>
    <t>Gases Nobres</t>
  </si>
  <si>
    <t>Lantanídeos</t>
  </si>
  <si>
    <t>Actinídeos</t>
  </si>
  <si>
    <t>Halogênios</t>
  </si>
  <si>
    <t>Metais de Transição</t>
  </si>
  <si>
    <t>Nº Atômico</t>
  </si>
  <si>
    <t>Símbolo</t>
  </si>
  <si>
    <t>Nome</t>
  </si>
  <si>
    <t>Massa</t>
  </si>
  <si>
    <t>Metais Alcalinoterrosos</t>
  </si>
  <si>
    <t>Elemento</t>
  </si>
  <si>
    <t>Quantidade</t>
  </si>
  <si>
    <t>Massa atômica</t>
  </si>
  <si>
    <t>Resultado</t>
  </si>
  <si>
    <t>=</t>
  </si>
  <si>
    <t>*</t>
  </si>
  <si>
    <t>Massa molecular do CO</t>
  </si>
  <si>
    <t>b) Ácido clorídrico, HCl</t>
  </si>
  <si>
    <t>Massa molecular do HCl</t>
  </si>
  <si>
    <t>Massa molecular da Glicose</t>
  </si>
  <si>
    <t>Massa molecular do ácido clorídrico</t>
  </si>
  <si>
    <t>d) Cloreto de sódio, NaCl</t>
  </si>
  <si>
    <r>
      <t xml:space="preserve">c) Glicose, </t>
    </r>
    <r>
      <rPr>
        <b/>
        <sz val="16"/>
        <color theme="1"/>
        <rFont val="Tahoma"/>
        <family val="2"/>
      </rPr>
      <t>C</t>
    </r>
    <r>
      <rPr>
        <b/>
        <vertAlign val="subscript"/>
        <sz val="16"/>
        <color theme="1"/>
        <rFont val="Tahoma"/>
        <family val="2"/>
      </rPr>
      <t>6</t>
    </r>
    <r>
      <rPr>
        <b/>
        <sz val="16"/>
        <color theme="1"/>
        <rFont val="Tahoma"/>
        <family val="2"/>
      </rPr>
      <t>H</t>
    </r>
    <r>
      <rPr>
        <b/>
        <vertAlign val="subscript"/>
        <sz val="16"/>
        <color theme="1"/>
        <rFont val="Tahoma"/>
        <family val="2"/>
      </rPr>
      <t>12</t>
    </r>
    <r>
      <rPr>
        <b/>
        <sz val="16"/>
        <color theme="1"/>
        <rFont val="Tahoma"/>
        <family val="2"/>
      </rPr>
      <t>O</t>
    </r>
    <r>
      <rPr>
        <b/>
        <vertAlign val="subscript"/>
        <sz val="16"/>
        <color theme="1"/>
        <rFont val="Tahoma"/>
        <family val="2"/>
      </rPr>
      <t>6</t>
    </r>
  </si>
  <si>
    <r>
      <t xml:space="preserve">a) Gás carbônico, </t>
    </r>
    <r>
      <rPr>
        <b/>
        <sz val="16"/>
        <color rgb="FF404040"/>
        <rFont val="Tahoma"/>
        <family val="2"/>
      </rPr>
      <t>CO</t>
    </r>
    <r>
      <rPr>
        <b/>
        <vertAlign val="subscript"/>
        <sz val="16"/>
        <color rgb="FF404040"/>
        <rFont val="Tahoma"/>
        <family val="2"/>
      </rPr>
      <t>2</t>
    </r>
  </si>
  <si>
    <r>
      <t>e) Hipoclorito de cálcio, Ca(ClO)</t>
    </r>
    <r>
      <rPr>
        <b/>
        <vertAlign val="subscript"/>
        <sz val="12"/>
        <color theme="1"/>
        <rFont val="Tahoma"/>
        <family val="2"/>
      </rPr>
      <t>2</t>
    </r>
  </si>
  <si>
    <t>Massa molecular do hipoclorito de cálcio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</si>
</sst>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b/>
      <sz val="20"/>
      <name val="Tahoma"/>
      <family val="2"/>
    </font>
    <font>
      <b/>
      <sz val="11"/>
      <name val="Tahoma"/>
      <family val="2"/>
    </font>
    <font>
      <sz val="20"/>
      <name val="Tahoma"/>
      <family val="2"/>
    </font>
    <font>
      <b/>
      <sz val="80"/>
      <name val="Tahoma"/>
      <family val="2"/>
    </font>
    <font>
      <sz val="20"/>
      <color theme="0"/>
      <name val="Tahoma"/>
      <family val="2"/>
    </font>
    <font>
      <b/>
      <sz val="40"/>
      <color theme="0"/>
      <name val="Tahoma"/>
      <family val="2"/>
    </font>
    <font>
      <b/>
      <sz val="20"/>
      <color theme="0"/>
      <name val="Tahoma"/>
      <family val="2"/>
    </font>
    <font>
      <sz val="11"/>
      <color theme="0"/>
      <name val="Tahoma"/>
      <family val="2"/>
    </font>
    <font>
      <b/>
      <sz val="80"/>
      <color theme="0"/>
      <name val="Tahoma"/>
      <family val="2"/>
    </font>
    <font>
      <b/>
      <sz val="90"/>
      <name val="Tahoma"/>
      <family val="2"/>
    </font>
    <font>
      <sz val="90"/>
      <name val="Tahoma"/>
      <family val="2"/>
    </font>
    <font>
      <b/>
      <sz val="20"/>
      <color theme="1"/>
      <name val="Tahoma"/>
      <family val="2"/>
    </font>
    <font>
      <b/>
      <sz val="30"/>
      <color theme="0"/>
      <name val="Tahoma"/>
      <family val="2"/>
    </font>
    <font>
      <b/>
      <sz val="90"/>
      <color theme="0"/>
      <name val="Tahoma"/>
      <family val="2"/>
    </font>
    <font>
      <b/>
      <sz val="12"/>
      <color rgb="FF404040"/>
      <name val="Tahoma"/>
      <family val="2"/>
    </font>
    <font>
      <sz val="12"/>
      <color theme="1"/>
      <name val="Tahoma"/>
      <family val="2"/>
    </font>
    <font>
      <sz val="12"/>
      <color rgb="FF404040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6"/>
      <color theme="1"/>
      <name val="Tahoma"/>
      <family val="2"/>
    </font>
    <font>
      <b/>
      <vertAlign val="subscript"/>
      <sz val="16"/>
      <color theme="1"/>
      <name val="Tahoma"/>
      <family val="2"/>
    </font>
    <font>
      <b/>
      <sz val="16"/>
      <color rgb="FF404040"/>
      <name val="Tahoma"/>
      <family val="2"/>
    </font>
    <font>
      <b/>
      <vertAlign val="subscript"/>
      <sz val="16"/>
      <color rgb="FF404040"/>
      <name val="Tahoma"/>
      <family val="2"/>
    </font>
    <font>
      <b/>
      <vertAlign val="subscript"/>
      <sz val="12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ED1A3A"/>
        <bgColor indexed="64"/>
      </patternFill>
    </fill>
    <fill>
      <patternFill patternType="solid">
        <fgColor rgb="FF3BB44A"/>
        <bgColor indexed="64"/>
      </patternFill>
    </fill>
    <fill>
      <patternFill patternType="solid">
        <fgColor rgb="FF333795"/>
        <bgColor indexed="64"/>
      </patternFill>
    </fill>
    <fill>
      <patternFill patternType="solid">
        <fgColor rgb="FFA6CD39"/>
        <bgColor indexed="64"/>
      </patternFill>
    </fill>
    <fill>
      <patternFill patternType="solid">
        <fgColor rgb="FF07B8AA"/>
        <bgColor indexed="64"/>
      </patternFill>
    </fill>
    <fill>
      <patternFill patternType="solid">
        <fgColor rgb="FF34BCED"/>
        <bgColor indexed="64"/>
      </patternFill>
    </fill>
    <fill>
      <patternFill patternType="solid">
        <fgColor rgb="FF7F3394"/>
        <bgColor indexed="64"/>
      </patternFill>
    </fill>
    <fill>
      <patternFill patternType="solid">
        <fgColor rgb="FFE22391"/>
        <bgColor indexed="64"/>
      </patternFill>
    </fill>
    <fill>
      <patternFill patternType="solid">
        <fgColor rgb="FFF37124"/>
        <bgColor indexed="64"/>
      </patternFill>
    </fill>
    <fill>
      <patternFill patternType="solid">
        <fgColor rgb="FFFDC01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 style="medium">
        <color rgb="FFDEDEDE"/>
      </left>
      <right/>
      <top style="medium">
        <color rgb="FFDEDEDE"/>
      </top>
      <bottom style="medium">
        <color rgb="FFDEDEDE"/>
      </bottom>
      <diagonal/>
    </border>
    <border>
      <left/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/>
      <right/>
      <top style="medium">
        <color rgb="FFDEDEDE"/>
      </top>
      <bottom style="medium">
        <color rgb="FFDEDE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13" borderId="14" xfId="0" applyFont="1" applyFill="1" applyBorder="1" applyAlignment="1">
      <alignment horizontal="center" vertical="center" wrapText="1"/>
    </xf>
    <xf numFmtId="0" fontId="17" fillId="0" borderId="0" xfId="0" applyFont="1"/>
    <xf numFmtId="0" fontId="18" fillId="13" borderId="10" xfId="0" applyFont="1" applyFill="1" applyBorder="1" applyAlignment="1">
      <alignment horizontal="center" vertical="center" wrapText="1"/>
    </xf>
    <xf numFmtId="0" fontId="16" fillId="13" borderId="10" xfId="0" applyFont="1" applyFill="1" applyBorder="1" applyAlignment="1">
      <alignment vertical="center" wrapText="1"/>
    </xf>
    <xf numFmtId="0" fontId="16" fillId="13" borderId="14" xfId="0" applyFont="1" applyFill="1" applyBorder="1" applyAlignment="1">
      <alignment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9" fillId="0" borderId="0" xfId="0" applyFont="1"/>
    <xf numFmtId="0" fontId="20" fillId="0" borderId="14" xfId="0" applyFont="1" applyBorder="1"/>
    <xf numFmtId="0" fontId="17" fillId="0" borderId="14" xfId="0" applyFont="1" applyBorder="1"/>
    <xf numFmtId="0" fontId="17" fillId="0" borderId="14" xfId="0" applyFont="1" applyBorder="1" applyAlignment="1">
      <alignment horizontal="center"/>
    </xf>
    <xf numFmtId="164" fontId="18" fillId="13" borderId="14" xfId="0" applyNumberFormat="1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/>
    </xf>
    <xf numFmtId="164" fontId="20" fillId="0" borderId="14" xfId="0" applyNumberFormat="1" applyFont="1" applyBorder="1" applyAlignment="1">
      <alignment horizontal="center"/>
    </xf>
    <xf numFmtId="164" fontId="17" fillId="0" borderId="14" xfId="0" applyNumberFormat="1" applyFont="1" applyBorder="1"/>
    <xf numFmtId="0" fontId="6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164" fontId="8" fillId="11" borderId="0" xfId="0" applyNumberFormat="1" applyFont="1" applyFill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10" fillId="11" borderId="0" xfId="0" applyFont="1" applyFill="1" applyAlignment="1">
      <alignment horizontal="center" vertical="top" wrapText="1"/>
    </xf>
    <xf numFmtId="0" fontId="6" fillId="11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6" fillId="11" borderId="2" xfId="0" applyNumberFormat="1" applyFon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6" fillId="10" borderId="2" xfId="0" applyNumberFormat="1" applyFont="1" applyFill="1" applyBorder="1" applyAlignment="1">
      <alignment horizontal="center" vertical="center"/>
    </xf>
    <xf numFmtId="164" fontId="6" fillId="10" borderId="3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6" fillId="2" borderId="7" xfId="0" applyNumberFormat="1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3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16" fillId="13" borderId="11" xfId="0" applyFont="1" applyFill="1" applyBorder="1" applyAlignment="1">
      <alignment horizontal="left" vertical="center" wrapText="1"/>
    </xf>
    <xf numFmtId="0" fontId="16" fillId="13" borderId="13" xfId="0" applyFont="1" applyFill="1" applyBorder="1" applyAlignment="1">
      <alignment horizontal="left" vertical="center" wrapText="1"/>
    </xf>
    <xf numFmtId="0" fontId="16" fillId="13" borderId="1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13" borderId="14" xfId="0" applyFont="1" applyFill="1" applyBorder="1" applyAlignment="1">
      <alignment vertical="center" wrapText="1"/>
    </xf>
    <xf numFmtId="0" fontId="16" fillId="13" borderId="14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vertical="center" wrapText="1"/>
    </xf>
    <xf numFmtId="0" fontId="16" fillId="1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795"/>
      <color rgb="FFA6CD39"/>
      <color rgb="FF34BCED"/>
      <color rgb="FF7F3394"/>
      <color rgb="FF3BB44A"/>
      <color rgb="FFED1A3A"/>
      <color rgb="FF07B8AA"/>
      <color rgb="FFFDC011"/>
      <color rgb="FFF37124"/>
      <color rgb="FFE223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19"/>
  <sheetViews>
    <sheetView showGridLines="0" tabSelected="1" zoomScale="40" zoomScaleNormal="40" workbookViewId="0">
      <selection activeCell="T29" sqref="T29:T30"/>
    </sheetView>
  </sheetViews>
  <sheetFormatPr defaultColWidth="0" defaultRowHeight="16.899999999999999" customHeight="1" zeroHeight="1" x14ac:dyDescent="0.25"/>
  <cols>
    <col min="1" max="2" width="4.28515625" style="1" customWidth="1"/>
    <col min="3" max="3" width="2.85546875" style="5" customWidth="1"/>
    <col min="4" max="21" width="27.28515625" style="5" customWidth="1"/>
    <col min="22" max="22" width="8.85546875" style="5" customWidth="1"/>
    <col min="23" max="59" width="0" style="5" hidden="1" customWidth="1"/>
    <col min="60" max="16384" width="8.85546875" style="5" hidden="1"/>
  </cols>
  <sheetData>
    <row r="1" spans="1:21" s="1" customFormat="1" ht="16.899999999999999" customHeight="1" x14ac:dyDescent="0.25">
      <c r="D1" s="59">
        <v>1</v>
      </c>
      <c r="E1" s="59">
        <v>2</v>
      </c>
      <c r="F1" s="59">
        <v>3</v>
      </c>
      <c r="G1" s="59">
        <v>4</v>
      </c>
      <c r="H1" s="59">
        <v>5</v>
      </c>
      <c r="I1" s="59">
        <v>6</v>
      </c>
      <c r="J1" s="59">
        <v>7</v>
      </c>
      <c r="K1" s="59">
        <v>8</v>
      </c>
      <c r="L1" s="59">
        <v>9</v>
      </c>
      <c r="M1" s="59">
        <v>10</v>
      </c>
      <c r="N1" s="59">
        <v>11</v>
      </c>
      <c r="O1" s="59">
        <v>12</v>
      </c>
      <c r="P1" s="59">
        <v>13</v>
      </c>
      <c r="Q1" s="59">
        <v>14</v>
      </c>
      <c r="R1" s="59">
        <v>15</v>
      </c>
      <c r="S1" s="59">
        <v>16</v>
      </c>
      <c r="T1" s="59">
        <v>17</v>
      </c>
      <c r="U1" s="59">
        <v>18</v>
      </c>
    </row>
    <row r="2" spans="1:21" s="2" customFormat="1" ht="16.899999999999999" customHeight="1" x14ac:dyDescent="0.25"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21" ht="16.899999999999999" customHeight="1" x14ac:dyDescent="0.25"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6.899999999999999" customHeight="1" x14ac:dyDescent="0.25">
      <c r="A4" s="59"/>
      <c r="B4" s="59">
        <v>1</v>
      </c>
      <c r="C4" s="7"/>
      <c r="D4" s="61">
        <v>1</v>
      </c>
      <c r="F4" s="120" t="s">
        <v>228</v>
      </c>
      <c r="G4" s="120"/>
      <c r="H4" s="120"/>
      <c r="I4" s="120"/>
      <c r="J4" s="120"/>
      <c r="K4" s="120"/>
      <c r="L4" s="120"/>
      <c r="M4" s="120"/>
      <c r="N4" s="120"/>
      <c r="O4" s="120"/>
      <c r="U4" s="101">
        <v>2</v>
      </c>
    </row>
    <row r="5" spans="1:21" ht="16.899999999999999" customHeight="1" x14ac:dyDescent="0.25">
      <c r="A5" s="59"/>
      <c r="B5" s="59"/>
      <c r="C5" s="7"/>
      <c r="D5" s="62"/>
      <c r="F5" s="120"/>
      <c r="G5" s="120"/>
      <c r="H5" s="120"/>
      <c r="I5" s="120"/>
      <c r="J5" s="120"/>
      <c r="K5" s="120"/>
      <c r="L5" s="120"/>
      <c r="M5" s="120"/>
      <c r="N5" s="120"/>
      <c r="O5" s="120"/>
      <c r="U5" s="84"/>
    </row>
    <row r="6" spans="1:21" ht="16.899999999999999" customHeight="1" x14ac:dyDescent="0.25">
      <c r="A6" s="59"/>
      <c r="B6" s="59"/>
      <c r="C6" s="7"/>
      <c r="D6" s="63" t="s">
        <v>4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U6" s="95" t="s">
        <v>60</v>
      </c>
    </row>
    <row r="7" spans="1:21" ht="16.899999999999999" customHeight="1" x14ac:dyDescent="0.25">
      <c r="A7" s="59"/>
      <c r="B7" s="59"/>
      <c r="C7" s="7"/>
      <c r="D7" s="63"/>
      <c r="F7" s="120"/>
      <c r="G7" s="120"/>
      <c r="H7" s="120"/>
      <c r="I7" s="120"/>
      <c r="J7" s="120"/>
      <c r="K7" s="120"/>
      <c r="L7" s="120"/>
      <c r="M7" s="120"/>
      <c r="N7" s="120"/>
      <c r="O7" s="120"/>
      <c r="U7" s="95"/>
    </row>
    <row r="8" spans="1:21" ht="16.899999999999999" customHeight="1" x14ac:dyDescent="0.25">
      <c r="A8" s="59"/>
      <c r="B8" s="59"/>
      <c r="C8" s="7"/>
      <c r="D8" s="63"/>
      <c r="F8" s="120"/>
      <c r="G8" s="120"/>
      <c r="H8" s="120"/>
      <c r="I8" s="120"/>
      <c r="J8" s="120"/>
      <c r="K8" s="120"/>
      <c r="L8" s="120"/>
      <c r="M8" s="120"/>
      <c r="N8" s="120"/>
      <c r="O8" s="120"/>
      <c r="U8" s="95"/>
    </row>
    <row r="9" spans="1:21" ht="16.899999999999999" customHeight="1" x14ac:dyDescent="0.25">
      <c r="A9" s="59"/>
      <c r="B9" s="59"/>
      <c r="C9" s="7"/>
      <c r="D9" s="62" t="s">
        <v>121</v>
      </c>
      <c r="F9" s="120"/>
      <c r="G9" s="120"/>
      <c r="H9" s="120"/>
      <c r="I9" s="120"/>
      <c r="J9" s="120"/>
      <c r="K9" s="120"/>
      <c r="L9" s="120"/>
      <c r="M9" s="120"/>
      <c r="N9" s="120"/>
      <c r="O9" s="120"/>
      <c r="U9" s="84" t="s">
        <v>196</v>
      </c>
    </row>
    <row r="10" spans="1:21" s="6" customFormat="1" ht="16.899999999999999" customHeight="1" x14ac:dyDescent="0.25">
      <c r="A10" s="59"/>
      <c r="B10" s="59"/>
      <c r="C10" s="7"/>
      <c r="D10" s="62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U10" s="84"/>
    </row>
    <row r="11" spans="1:21" s="6" customFormat="1" ht="16.899999999999999" customHeight="1" x14ac:dyDescent="0.25">
      <c r="A11" s="59"/>
      <c r="B11" s="59"/>
      <c r="C11" s="7"/>
      <c r="D11" s="64">
        <v>1.008</v>
      </c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U11" s="98">
        <v>4.0026000000000002</v>
      </c>
    </row>
    <row r="12" spans="1:21" s="6" customFormat="1" ht="16.899999999999999" customHeight="1" x14ac:dyDescent="0.25">
      <c r="A12" s="59"/>
      <c r="B12" s="59"/>
      <c r="C12" s="7"/>
      <c r="D12" s="65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U12" s="99"/>
    </row>
    <row r="13" spans="1:21" ht="16.899999999999999" customHeight="1" x14ac:dyDescent="0.25">
      <c r="A13" s="59"/>
      <c r="B13" s="59">
        <v>2</v>
      </c>
      <c r="C13" s="7"/>
      <c r="D13" s="66">
        <v>3</v>
      </c>
      <c r="E13" s="70">
        <v>4</v>
      </c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92">
        <v>5</v>
      </c>
      <c r="Q13" s="61">
        <v>6</v>
      </c>
      <c r="R13" s="61">
        <v>7</v>
      </c>
      <c r="S13" s="61">
        <v>8</v>
      </c>
      <c r="T13" s="100">
        <v>9</v>
      </c>
      <c r="U13" s="101">
        <v>10</v>
      </c>
    </row>
    <row r="14" spans="1:21" ht="16.899999999999999" customHeight="1" x14ac:dyDescent="0.25">
      <c r="A14" s="59"/>
      <c r="B14" s="59"/>
      <c r="C14" s="7"/>
      <c r="D14" s="66"/>
      <c r="E14" s="55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93"/>
      <c r="Q14" s="62"/>
      <c r="R14" s="62"/>
      <c r="S14" s="62"/>
      <c r="T14" s="85"/>
      <c r="U14" s="84"/>
    </row>
    <row r="15" spans="1:21" ht="16.899999999999999" customHeight="1" x14ac:dyDescent="0.25">
      <c r="A15" s="59"/>
      <c r="B15" s="59"/>
      <c r="C15" s="7"/>
      <c r="D15" s="67" t="s">
        <v>5</v>
      </c>
      <c r="E15" s="60" t="s">
        <v>15</v>
      </c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83" t="s">
        <v>54</v>
      </c>
      <c r="Q15" s="63" t="s">
        <v>55</v>
      </c>
      <c r="R15" s="63" t="s">
        <v>56</v>
      </c>
      <c r="S15" s="63" t="s">
        <v>57</v>
      </c>
      <c r="T15" s="94" t="s">
        <v>58</v>
      </c>
      <c r="U15" s="95" t="s">
        <v>59</v>
      </c>
    </row>
    <row r="16" spans="1:21" ht="16.899999999999999" customHeight="1" x14ac:dyDescent="0.25">
      <c r="A16" s="59"/>
      <c r="B16" s="59"/>
      <c r="C16" s="7"/>
      <c r="D16" s="67"/>
      <c r="E16" s="6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83"/>
      <c r="Q16" s="63"/>
      <c r="R16" s="63"/>
      <c r="S16" s="63"/>
      <c r="T16" s="94"/>
      <c r="U16" s="95"/>
    </row>
    <row r="17" spans="1:21" ht="16.899999999999999" customHeight="1" x14ac:dyDescent="0.25">
      <c r="A17" s="59"/>
      <c r="B17" s="59"/>
      <c r="C17" s="7"/>
      <c r="D17" s="67"/>
      <c r="E17" s="6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83"/>
      <c r="Q17" s="63"/>
      <c r="R17" s="63"/>
      <c r="S17" s="63"/>
      <c r="T17" s="94"/>
      <c r="U17" s="95"/>
    </row>
    <row r="18" spans="1:21" ht="16.899999999999999" customHeight="1" x14ac:dyDescent="0.25">
      <c r="A18" s="59"/>
      <c r="B18" s="59"/>
      <c r="C18" s="7"/>
      <c r="D18" s="56" t="s">
        <v>122</v>
      </c>
      <c r="E18" s="55" t="s">
        <v>123</v>
      </c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93" t="s">
        <v>166</v>
      </c>
      <c r="Q18" s="62" t="s">
        <v>167</v>
      </c>
      <c r="R18" s="62" t="s">
        <v>177</v>
      </c>
      <c r="S18" s="62" t="s">
        <v>184</v>
      </c>
      <c r="T18" s="85" t="s">
        <v>197</v>
      </c>
      <c r="U18" s="84" t="s">
        <v>195</v>
      </c>
    </row>
    <row r="19" spans="1:21" s="6" customFormat="1" ht="16.899999999999999" customHeight="1" x14ac:dyDescent="0.25">
      <c r="A19" s="59"/>
      <c r="B19" s="59"/>
      <c r="C19" s="7"/>
      <c r="D19" s="56"/>
      <c r="E19" s="55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93"/>
      <c r="Q19" s="62"/>
      <c r="R19" s="62"/>
      <c r="S19" s="62"/>
      <c r="T19" s="85"/>
      <c r="U19" s="84"/>
    </row>
    <row r="20" spans="1:21" s="6" customFormat="1" ht="16.899999999999999" customHeight="1" x14ac:dyDescent="0.25">
      <c r="A20" s="59"/>
      <c r="B20" s="59"/>
      <c r="C20" s="7"/>
      <c r="D20" s="68">
        <v>6.94</v>
      </c>
      <c r="E20" s="57">
        <v>9.0122</v>
      </c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86">
        <v>10.81</v>
      </c>
      <c r="Q20" s="64">
        <v>12.010999999999999</v>
      </c>
      <c r="R20" s="64">
        <v>14.007</v>
      </c>
      <c r="S20" s="64">
        <v>15.999000000000001</v>
      </c>
      <c r="T20" s="96">
        <v>18.998000000000001</v>
      </c>
      <c r="U20" s="98">
        <v>20.18</v>
      </c>
    </row>
    <row r="21" spans="1:21" s="6" customFormat="1" ht="16.899999999999999" customHeight="1" x14ac:dyDescent="0.25">
      <c r="A21" s="59"/>
      <c r="B21" s="59"/>
      <c r="C21" s="7"/>
      <c r="D21" s="69"/>
      <c r="E21" s="58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87"/>
      <c r="Q21" s="65"/>
      <c r="R21" s="65"/>
      <c r="S21" s="65"/>
      <c r="T21" s="97"/>
      <c r="U21" s="99"/>
    </row>
    <row r="22" spans="1:21" ht="16.899999999999999" customHeight="1" x14ac:dyDescent="0.25">
      <c r="A22" s="59"/>
      <c r="B22" s="59">
        <v>3</v>
      </c>
      <c r="C22" s="7"/>
      <c r="D22" s="66">
        <v>11</v>
      </c>
      <c r="E22" s="70">
        <v>12</v>
      </c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88">
        <v>13</v>
      </c>
      <c r="Q22" s="92">
        <v>14</v>
      </c>
      <c r="R22" s="61">
        <v>15</v>
      </c>
      <c r="S22" s="61">
        <v>16</v>
      </c>
      <c r="T22" s="100">
        <v>17</v>
      </c>
      <c r="U22" s="101">
        <v>18</v>
      </c>
    </row>
    <row r="23" spans="1:21" ht="16.899999999999999" customHeight="1" x14ac:dyDescent="0.25">
      <c r="A23" s="59"/>
      <c r="B23" s="59"/>
      <c r="C23" s="7"/>
      <c r="D23" s="56"/>
      <c r="E23" s="55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89"/>
      <c r="Q23" s="93"/>
      <c r="R23" s="62"/>
      <c r="S23" s="62"/>
      <c r="T23" s="85"/>
      <c r="U23" s="84"/>
    </row>
    <row r="24" spans="1:21" ht="16.899999999999999" customHeight="1" x14ac:dyDescent="0.25">
      <c r="A24" s="59"/>
      <c r="B24" s="59"/>
      <c r="C24" s="7"/>
      <c r="D24" s="67" t="s">
        <v>0</v>
      </c>
      <c r="E24" s="60" t="s">
        <v>14</v>
      </c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82" t="s">
        <v>66</v>
      </c>
      <c r="Q24" s="83" t="s">
        <v>65</v>
      </c>
      <c r="R24" s="63" t="s">
        <v>64</v>
      </c>
      <c r="S24" s="63" t="s">
        <v>63</v>
      </c>
      <c r="T24" s="94" t="s">
        <v>62</v>
      </c>
      <c r="U24" s="95" t="s">
        <v>61</v>
      </c>
    </row>
    <row r="25" spans="1:21" ht="16.899999999999999" customHeight="1" x14ac:dyDescent="0.25">
      <c r="A25" s="59"/>
      <c r="B25" s="59"/>
      <c r="C25" s="7"/>
      <c r="D25" s="67"/>
      <c r="E25" s="6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82"/>
      <c r="Q25" s="83"/>
      <c r="R25" s="63"/>
      <c r="S25" s="63"/>
      <c r="T25" s="94"/>
      <c r="U25" s="95"/>
    </row>
    <row r="26" spans="1:21" ht="16.899999999999999" customHeight="1" x14ac:dyDescent="0.25">
      <c r="A26" s="59"/>
      <c r="B26" s="59"/>
      <c r="C26" s="7"/>
      <c r="D26" s="67"/>
      <c r="E26" s="6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82"/>
      <c r="Q26" s="83"/>
      <c r="R26" s="63"/>
      <c r="S26" s="63"/>
      <c r="T26" s="94"/>
      <c r="U26" s="95"/>
    </row>
    <row r="27" spans="1:21" ht="16.899999999999999" customHeight="1" x14ac:dyDescent="0.25">
      <c r="A27" s="59"/>
      <c r="B27" s="59"/>
      <c r="C27" s="7"/>
      <c r="D27" s="56" t="s">
        <v>124</v>
      </c>
      <c r="E27" s="55" t="s">
        <v>125</v>
      </c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89" t="s">
        <v>168</v>
      </c>
      <c r="Q27" s="93" t="s">
        <v>176</v>
      </c>
      <c r="R27" s="62" t="s">
        <v>178</v>
      </c>
      <c r="S27" s="62" t="s">
        <v>185</v>
      </c>
      <c r="T27" s="85" t="s">
        <v>198</v>
      </c>
      <c r="U27" s="84" t="s">
        <v>194</v>
      </c>
    </row>
    <row r="28" spans="1:21" s="6" customFormat="1" ht="16.899999999999999" customHeight="1" x14ac:dyDescent="0.25">
      <c r="A28" s="59"/>
      <c r="B28" s="59"/>
      <c r="C28" s="7"/>
      <c r="D28" s="56"/>
      <c r="E28" s="55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89"/>
      <c r="Q28" s="93"/>
      <c r="R28" s="62"/>
      <c r="S28" s="62"/>
      <c r="T28" s="85"/>
      <c r="U28" s="84"/>
    </row>
    <row r="29" spans="1:21" s="6" customFormat="1" ht="16.899999999999999" customHeight="1" x14ac:dyDescent="0.25">
      <c r="A29" s="59"/>
      <c r="B29" s="59"/>
      <c r="C29" s="7"/>
      <c r="D29" s="68">
        <v>22.99</v>
      </c>
      <c r="E29" s="57">
        <v>24.305</v>
      </c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90">
        <v>26.981999999999999</v>
      </c>
      <c r="Q29" s="86">
        <v>28.085000000000001</v>
      </c>
      <c r="R29" s="64">
        <v>30.974</v>
      </c>
      <c r="S29" s="64">
        <v>32.06</v>
      </c>
      <c r="T29" s="96">
        <v>35.450000000000003</v>
      </c>
      <c r="U29" s="98">
        <v>39.950000000000003</v>
      </c>
    </row>
    <row r="30" spans="1:21" s="6" customFormat="1" ht="16.899999999999999" customHeight="1" x14ac:dyDescent="0.25">
      <c r="A30" s="59"/>
      <c r="B30" s="59"/>
      <c r="C30" s="7"/>
      <c r="D30" s="69"/>
      <c r="E30" s="58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91"/>
      <c r="Q30" s="87"/>
      <c r="R30" s="65"/>
      <c r="S30" s="65"/>
      <c r="T30" s="97"/>
      <c r="U30" s="99"/>
    </row>
    <row r="31" spans="1:21" ht="16.899999999999999" customHeight="1" x14ac:dyDescent="0.25">
      <c r="A31" s="59"/>
      <c r="B31" s="59">
        <v>4</v>
      </c>
      <c r="C31" s="7"/>
      <c r="D31" s="66">
        <v>19</v>
      </c>
      <c r="E31" s="70">
        <v>20</v>
      </c>
      <c r="F31" s="71">
        <v>21</v>
      </c>
      <c r="G31" s="71">
        <v>22</v>
      </c>
      <c r="H31" s="71">
        <v>23</v>
      </c>
      <c r="I31" s="71">
        <v>24</v>
      </c>
      <c r="J31" s="71">
        <v>25</v>
      </c>
      <c r="K31" s="71">
        <v>26</v>
      </c>
      <c r="L31" s="71">
        <v>27</v>
      </c>
      <c r="M31" s="71">
        <v>28</v>
      </c>
      <c r="N31" s="71">
        <v>29</v>
      </c>
      <c r="O31" s="71">
        <v>30</v>
      </c>
      <c r="P31" s="88">
        <v>31</v>
      </c>
      <c r="Q31" s="92">
        <v>32</v>
      </c>
      <c r="R31" s="92">
        <v>33</v>
      </c>
      <c r="S31" s="61">
        <v>34</v>
      </c>
      <c r="T31" s="100">
        <v>35</v>
      </c>
      <c r="U31" s="101">
        <v>36</v>
      </c>
    </row>
    <row r="32" spans="1:21" ht="16.899999999999999" customHeight="1" x14ac:dyDescent="0.25">
      <c r="A32" s="59"/>
      <c r="B32" s="59"/>
      <c r="C32" s="7"/>
      <c r="D32" s="66"/>
      <c r="E32" s="70"/>
      <c r="F32" s="71"/>
      <c r="G32" s="71"/>
      <c r="H32" s="71"/>
      <c r="I32" s="72"/>
      <c r="J32" s="72"/>
      <c r="K32" s="72"/>
      <c r="L32" s="72"/>
      <c r="M32" s="72"/>
      <c r="N32" s="71"/>
      <c r="O32" s="71"/>
      <c r="P32" s="89"/>
      <c r="Q32" s="93"/>
      <c r="R32" s="93"/>
      <c r="S32" s="62"/>
      <c r="T32" s="85"/>
      <c r="U32" s="84"/>
    </row>
    <row r="33" spans="1:21" ht="16.899999999999999" customHeight="1" x14ac:dyDescent="0.25">
      <c r="A33" s="59"/>
      <c r="B33" s="59"/>
      <c r="C33" s="7"/>
      <c r="D33" s="67" t="s">
        <v>6</v>
      </c>
      <c r="E33" s="60" t="s">
        <v>13</v>
      </c>
      <c r="F33" s="73" t="s">
        <v>16</v>
      </c>
      <c r="G33" s="73" t="s">
        <v>18</v>
      </c>
      <c r="H33" s="73" t="s">
        <v>25</v>
      </c>
      <c r="I33" s="73" t="s">
        <v>26</v>
      </c>
      <c r="J33" s="73" t="s">
        <v>33</v>
      </c>
      <c r="K33" s="73" t="s">
        <v>34</v>
      </c>
      <c r="L33" s="73" t="s">
        <v>38</v>
      </c>
      <c r="M33" s="73" t="s">
        <v>42</v>
      </c>
      <c r="N33" s="73" t="s">
        <v>46</v>
      </c>
      <c r="O33" s="73" t="s">
        <v>50</v>
      </c>
      <c r="P33" s="82" t="s">
        <v>67</v>
      </c>
      <c r="Q33" s="83" t="s">
        <v>68</v>
      </c>
      <c r="R33" s="83" t="s">
        <v>69</v>
      </c>
      <c r="S33" s="63" t="s">
        <v>70</v>
      </c>
      <c r="T33" s="94" t="s">
        <v>71</v>
      </c>
      <c r="U33" s="95" t="s">
        <v>72</v>
      </c>
    </row>
    <row r="34" spans="1:21" ht="16.899999999999999" customHeight="1" x14ac:dyDescent="0.25">
      <c r="A34" s="59"/>
      <c r="B34" s="59"/>
      <c r="C34" s="7"/>
      <c r="D34" s="67"/>
      <c r="E34" s="60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82"/>
      <c r="Q34" s="83"/>
      <c r="R34" s="83"/>
      <c r="S34" s="63"/>
      <c r="T34" s="94"/>
      <c r="U34" s="95"/>
    </row>
    <row r="35" spans="1:21" ht="16.899999999999999" customHeight="1" x14ac:dyDescent="0.25">
      <c r="A35" s="59"/>
      <c r="B35" s="59"/>
      <c r="C35" s="7"/>
      <c r="D35" s="67"/>
      <c r="E35" s="60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82"/>
      <c r="Q35" s="83"/>
      <c r="R35" s="83"/>
      <c r="S35" s="63"/>
      <c r="T35" s="94"/>
      <c r="U35" s="95"/>
    </row>
    <row r="36" spans="1:21" s="6" customFormat="1" ht="16.899999999999999" customHeight="1" x14ac:dyDescent="0.25">
      <c r="A36" s="59"/>
      <c r="B36" s="59"/>
      <c r="C36" s="7"/>
      <c r="D36" s="56" t="s">
        <v>127</v>
      </c>
      <c r="E36" s="55" t="s">
        <v>126</v>
      </c>
      <c r="F36" s="72" t="s">
        <v>238</v>
      </c>
      <c r="G36" s="72" t="s">
        <v>134</v>
      </c>
      <c r="H36" s="72" t="s">
        <v>140</v>
      </c>
      <c r="I36" s="72" t="s">
        <v>229</v>
      </c>
      <c r="J36" s="72" t="s">
        <v>147</v>
      </c>
      <c r="K36" s="72" t="s">
        <v>148</v>
      </c>
      <c r="L36" s="72" t="s">
        <v>151</v>
      </c>
      <c r="M36" s="72" t="s">
        <v>155</v>
      </c>
      <c r="N36" s="72" t="s">
        <v>159</v>
      </c>
      <c r="O36" s="72" t="s">
        <v>163</v>
      </c>
      <c r="P36" s="89" t="s">
        <v>169</v>
      </c>
      <c r="Q36" s="93" t="s">
        <v>175</v>
      </c>
      <c r="R36" s="93" t="s">
        <v>180</v>
      </c>
      <c r="S36" s="62" t="s">
        <v>186</v>
      </c>
      <c r="T36" s="85" t="s">
        <v>199</v>
      </c>
      <c r="U36" s="84" t="s">
        <v>193</v>
      </c>
    </row>
    <row r="37" spans="1:21" s="6" customFormat="1" ht="16.899999999999999" customHeight="1" x14ac:dyDescent="0.25">
      <c r="A37" s="59"/>
      <c r="B37" s="59"/>
      <c r="C37" s="7"/>
      <c r="D37" s="56"/>
      <c r="E37" s="55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89"/>
      <c r="Q37" s="93"/>
      <c r="R37" s="93"/>
      <c r="S37" s="62"/>
      <c r="T37" s="85"/>
      <c r="U37" s="84"/>
    </row>
    <row r="38" spans="1:21" s="6" customFormat="1" ht="16.899999999999999" customHeight="1" x14ac:dyDescent="0.25">
      <c r="A38" s="59"/>
      <c r="B38" s="59"/>
      <c r="C38" s="7"/>
      <c r="D38" s="68">
        <v>39.097999999999999</v>
      </c>
      <c r="E38" s="57">
        <v>40.078000000000003</v>
      </c>
      <c r="F38" s="74">
        <v>44.956000000000003</v>
      </c>
      <c r="G38" s="74">
        <v>47.866999999999997</v>
      </c>
      <c r="H38" s="74">
        <v>50.942</v>
      </c>
      <c r="I38" s="74">
        <v>51.996000000000002</v>
      </c>
      <c r="J38" s="74">
        <v>54.938000000000002</v>
      </c>
      <c r="K38" s="74">
        <v>55.844999999999999</v>
      </c>
      <c r="L38" s="74">
        <v>58.933</v>
      </c>
      <c r="M38" s="74">
        <v>58.692999999999998</v>
      </c>
      <c r="N38" s="74">
        <v>63.545999999999999</v>
      </c>
      <c r="O38" s="74">
        <v>65.38</v>
      </c>
      <c r="P38" s="90">
        <v>69.722999999999999</v>
      </c>
      <c r="Q38" s="86">
        <v>72.63</v>
      </c>
      <c r="R38" s="86">
        <v>74.921999999999997</v>
      </c>
      <c r="S38" s="64">
        <v>78.971000000000004</v>
      </c>
      <c r="T38" s="96">
        <v>79.903999999999996</v>
      </c>
      <c r="U38" s="98">
        <v>83.798000000000002</v>
      </c>
    </row>
    <row r="39" spans="1:21" s="6" customFormat="1" ht="16.899999999999999" customHeight="1" x14ac:dyDescent="0.25">
      <c r="A39" s="59"/>
      <c r="B39" s="59"/>
      <c r="C39" s="7"/>
      <c r="D39" s="69"/>
      <c r="E39" s="57"/>
      <c r="F39" s="74"/>
      <c r="G39" s="75"/>
      <c r="H39" s="74"/>
      <c r="I39" s="75"/>
      <c r="J39" s="75"/>
      <c r="K39" s="75"/>
      <c r="L39" s="75"/>
      <c r="M39" s="75"/>
      <c r="N39" s="75"/>
      <c r="O39" s="75"/>
      <c r="P39" s="91"/>
      <c r="Q39" s="87"/>
      <c r="R39" s="87"/>
      <c r="S39" s="65"/>
      <c r="T39" s="97"/>
      <c r="U39" s="99"/>
    </row>
    <row r="40" spans="1:21" ht="16.899999999999999" customHeight="1" x14ac:dyDescent="0.25">
      <c r="A40" s="59"/>
      <c r="B40" s="59">
        <v>5</v>
      </c>
      <c r="C40" s="7"/>
      <c r="D40" s="66">
        <v>37</v>
      </c>
      <c r="E40" s="70">
        <v>38</v>
      </c>
      <c r="F40" s="71">
        <v>39</v>
      </c>
      <c r="G40" s="71">
        <v>40</v>
      </c>
      <c r="H40" s="71">
        <v>41</v>
      </c>
      <c r="I40" s="71">
        <v>42</v>
      </c>
      <c r="J40" s="71">
        <v>43</v>
      </c>
      <c r="K40" s="71">
        <v>44</v>
      </c>
      <c r="L40" s="71">
        <v>45</v>
      </c>
      <c r="M40" s="71">
        <v>46</v>
      </c>
      <c r="N40" s="71">
        <v>47</v>
      </c>
      <c r="O40" s="71">
        <v>48</v>
      </c>
      <c r="P40" s="88">
        <v>49</v>
      </c>
      <c r="Q40" s="88">
        <v>50</v>
      </c>
      <c r="R40" s="92">
        <v>51</v>
      </c>
      <c r="S40" s="92">
        <v>52</v>
      </c>
      <c r="T40" s="100">
        <v>53</v>
      </c>
      <c r="U40" s="101">
        <v>54</v>
      </c>
    </row>
    <row r="41" spans="1:21" ht="16.899999999999999" customHeight="1" x14ac:dyDescent="0.25">
      <c r="A41" s="59"/>
      <c r="B41" s="59"/>
      <c r="C41" s="7"/>
      <c r="D41" s="56"/>
      <c r="E41" s="55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89"/>
      <c r="Q41" s="89"/>
      <c r="R41" s="93"/>
      <c r="S41" s="93"/>
      <c r="T41" s="85"/>
      <c r="U41" s="84"/>
    </row>
    <row r="42" spans="1:21" ht="16.899999999999999" customHeight="1" x14ac:dyDescent="0.25">
      <c r="A42" s="59"/>
      <c r="B42" s="59"/>
      <c r="C42" s="7"/>
      <c r="D42" s="67" t="s">
        <v>7</v>
      </c>
      <c r="E42" s="60" t="s">
        <v>12</v>
      </c>
      <c r="F42" s="73" t="s">
        <v>17</v>
      </c>
      <c r="G42" s="73" t="s">
        <v>19</v>
      </c>
      <c r="H42" s="73" t="s">
        <v>24</v>
      </c>
      <c r="I42" s="73" t="s">
        <v>27</v>
      </c>
      <c r="J42" s="73" t="s">
        <v>32</v>
      </c>
      <c r="K42" s="73" t="s">
        <v>35</v>
      </c>
      <c r="L42" s="73" t="s">
        <v>39</v>
      </c>
      <c r="M42" s="73" t="s">
        <v>43</v>
      </c>
      <c r="N42" s="73" t="s">
        <v>47</v>
      </c>
      <c r="O42" s="73" t="s">
        <v>51</v>
      </c>
      <c r="P42" s="82" t="s">
        <v>73</v>
      </c>
      <c r="Q42" s="82" t="s">
        <v>74</v>
      </c>
      <c r="R42" s="83" t="s">
        <v>75</v>
      </c>
      <c r="S42" s="83" t="s">
        <v>76</v>
      </c>
      <c r="T42" s="94" t="s">
        <v>77</v>
      </c>
      <c r="U42" s="95" t="s">
        <v>78</v>
      </c>
    </row>
    <row r="43" spans="1:21" ht="16.899999999999999" customHeight="1" x14ac:dyDescent="0.25">
      <c r="A43" s="59"/>
      <c r="B43" s="59"/>
      <c r="C43" s="7"/>
      <c r="D43" s="67"/>
      <c r="E43" s="60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82"/>
      <c r="Q43" s="82"/>
      <c r="R43" s="83"/>
      <c r="S43" s="83"/>
      <c r="T43" s="94"/>
      <c r="U43" s="95"/>
    </row>
    <row r="44" spans="1:21" ht="16.899999999999999" customHeight="1" x14ac:dyDescent="0.25">
      <c r="A44" s="59"/>
      <c r="B44" s="59"/>
      <c r="C44" s="7"/>
      <c r="D44" s="67"/>
      <c r="E44" s="60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82"/>
      <c r="Q44" s="82"/>
      <c r="R44" s="83"/>
      <c r="S44" s="83"/>
      <c r="T44" s="94"/>
      <c r="U44" s="95"/>
    </row>
    <row r="45" spans="1:21" ht="16.899999999999999" customHeight="1" x14ac:dyDescent="0.25">
      <c r="A45" s="59"/>
      <c r="B45" s="59"/>
      <c r="C45" s="7"/>
      <c r="D45" s="56" t="s">
        <v>128</v>
      </c>
      <c r="E45" s="55" t="s">
        <v>230</v>
      </c>
      <c r="F45" s="72" t="s">
        <v>133</v>
      </c>
      <c r="G45" s="72" t="s">
        <v>135</v>
      </c>
      <c r="H45" s="72" t="s">
        <v>139</v>
      </c>
      <c r="I45" s="72" t="s">
        <v>141</v>
      </c>
      <c r="J45" s="72" t="s">
        <v>146</v>
      </c>
      <c r="K45" s="72" t="s">
        <v>149</v>
      </c>
      <c r="L45" s="72" t="s">
        <v>152</v>
      </c>
      <c r="M45" s="72" t="s">
        <v>157</v>
      </c>
      <c r="N45" s="72" t="s">
        <v>160</v>
      </c>
      <c r="O45" s="72" t="s">
        <v>164</v>
      </c>
      <c r="P45" s="89" t="s">
        <v>170</v>
      </c>
      <c r="Q45" s="89" t="s">
        <v>174</v>
      </c>
      <c r="R45" s="93" t="s">
        <v>181</v>
      </c>
      <c r="S45" s="93" t="s">
        <v>187</v>
      </c>
      <c r="T45" s="85" t="s">
        <v>190</v>
      </c>
      <c r="U45" s="84" t="s">
        <v>191</v>
      </c>
    </row>
    <row r="46" spans="1:21" s="6" customFormat="1" ht="16.899999999999999" customHeight="1" x14ac:dyDescent="0.25">
      <c r="A46" s="59"/>
      <c r="B46" s="59"/>
      <c r="C46" s="7"/>
      <c r="D46" s="56"/>
      <c r="E46" s="55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89"/>
      <c r="Q46" s="89"/>
      <c r="R46" s="93"/>
      <c r="S46" s="93"/>
      <c r="T46" s="85"/>
      <c r="U46" s="84"/>
    </row>
    <row r="47" spans="1:21" s="6" customFormat="1" ht="16.899999999999999" customHeight="1" x14ac:dyDescent="0.25">
      <c r="A47" s="59"/>
      <c r="B47" s="59"/>
      <c r="C47" s="7"/>
      <c r="D47" s="68">
        <v>85.468000000000004</v>
      </c>
      <c r="E47" s="57">
        <v>87.62</v>
      </c>
      <c r="F47" s="74">
        <v>88.906000000000006</v>
      </c>
      <c r="G47" s="74">
        <v>91.224000000000004</v>
      </c>
      <c r="H47" s="74">
        <v>92.906000000000006</v>
      </c>
      <c r="I47" s="74">
        <v>95.95</v>
      </c>
      <c r="J47" s="74">
        <v>97</v>
      </c>
      <c r="K47" s="74">
        <v>101.07</v>
      </c>
      <c r="L47" s="74">
        <v>102.91</v>
      </c>
      <c r="M47" s="74">
        <v>106.42</v>
      </c>
      <c r="N47" s="74">
        <v>107.87</v>
      </c>
      <c r="O47" s="74">
        <v>112.41</v>
      </c>
      <c r="P47" s="90">
        <v>114.82</v>
      </c>
      <c r="Q47" s="90">
        <v>118.71</v>
      </c>
      <c r="R47" s="86">
        <v>121.76</v>
      </c>
      <c r="S47" s="86">
        <v>127.6</v>
      </c>
      <c r="T47" s="96">
        <v>126.9</v>
      </c>
      <c r="U47" s="98">
        <v>131.29</v>
      </c>
    </row>
    <row r="48" spans="1:21" s="6" customFormat="1" ht="16.899999999999999" customHeight="1" x14ac:dyDescent="0.25">
      <c r="A48" s="59"/>
      <c r="B48" s="59"/>
      <c r="C48" s="7"/>
      <c r="D48" s="69"/>
      <c r="E48" s="58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91"/>
      <c r="Q48" s="91"/>
      <c r="R48" s="87"/>
      <c r="S48" s="87"/>
      <c r="T48" s="97"/>
      <c r="U48" s="99"/>
    </row>
    <row r="49" spans="1:21" ht="16.899999999999999" customHeight="1" x14ac:dyDescent="0.25">
      <c r="A49" s="59"/>
      <c r="B49" s="59">
        <v>6</v>
      </c>
      <c r="C49" s="7"/>
      <c r="D49" s="66">
        <v>55</v>
      </c>
      <c r="E49" s="70">
        <v>56</v>
      </c>
      <c r="F49" s="76" t="s">
        <v>2</v>
      </c>
      <c r="G49" s="71">
        <v>72</v>
      </c>
      <c r="H49" s="71">
        <v>73</v>
      </c>
      <c r="I49" s="71">
        <v>74</v>
      </c>
      <c r="J49" s="71">
        <v>75</v>
      </c>
      <c r="K49" s="71">
        <v>76</v>
      </c>
      <c r="L49" s="71">
        <v>77</v>
      </c>
      <c r="M49" s="71">
        <v>78</v>
      </c>
      <c r="N49" s="71">
        <v>79</v>
      </c>
      <c r="O49" s="71">
        <v>80</v>
      </c>
      <c r="P49" s="88">
        <v>81</v>
      </c>
      <c r="Q49" s="88">
        <v>82</v>
      </c>
      <c r="R49" s="88">
        <v>83</v>
      </c>
      <c r="S49" s="92">
        <v>84</v>
      </c>
      <c r="T49" s="100">
        <v>85</v>
      </c>
      <c r="U49" s="101">
        <v>86</v>
      </c>
    </row>
    <row r="50" spans="1:21" ht="16.899999999999999" customHeight="1" x14ac:dyDescent="0.25">
      <c r="A50" s="59"/>
      <c r="B50" s="59"/>
      <c r="C50" s="7"/>
      <c r="D50" s="56"/>
      <c r="E50" s="55"/>
      <c r="F50" s="77"/>
      <c r="G50" s="72"/>
      <c r="H50" s="72"/>
      <c r="I50" s="72"/>
      <c r="J50" s="72"/>
      <c r="K50" s="72"/>
      <c r="L50" s="72"/>
      <c r="M50" s="72"/>
      <c r="N50" s="72"/>
      <c r="O50" s="72"/>
      <c r="P50" s="89"/>
      <c r="Q50" s="89"/>
      <c r="R50" s="89"/>
      <c r="S50" s="93"/>
      <c r="T50" s="85"/>
      <c r="U50" s="84"/>
    </row>
    <row r="51" spans="1:21" ht="16.899999999999999" customHeight="1" x14ac:dyDescent="0.25">
      <c r="A51" s="59"/>
      <c r="B51" s="59"/>
      <c r="C51" s="7"/>
      <c r="D51" s="67" t="s">
        <v>8</v>
      </c>
      <c r="E51" s="60" t="s">
        <v>11</v>
      </c>
      <c r="F51" s="77"/>
      <c r="G51" s="73" t="s">
        <v>20</v>
      </c>
      <c r="H51" s="73" t="s">
        <v>23</v>
      </c>
      <c r="I51" s="73" t="s">
        <v>28</v>
      </c>
      <c r="J51" s="73" t="s">
        <v>31</v>
      </c>
      <c r="K51" s="73" t="s">
        <v>36</v>
      </c>
      <c r="L51" s="73" t="s">
        <v>40</v>
      </c>
      <c r="M51" s="73" t="s">
        <v>44</v>
      </c>
      <c r="N51" s="73" t="s">
        <v>48</v>
      </c>
      <c r="O51" s="73" t="s">
        <v>52</v>
      </c>
      <c r="P51" s="82" t="s">
        <v>79</v>
      </c>
      <c r="Q51" s="82" t="s">
        <v>80</v>
      </c>
      <c r="R51" s="82" t="s">
        <v>81</v>
      </c>
      <c r="S51" s="83" t="s">
        <v>82</v>
      </c>
      <c r="T51" s="94" t="s">
        <v>83</v>
      </c>
      <c r="U51" s="95" t="s">
        <v>84</v>
      </c>
    </row>
    <row r="52" spans="1:21" ht="16.899999999999999" customHeight="1" x14ac:dyDescent="0.25">
      <c r="A52" s="59"/>
      <c r="B52" s="59"/>
      <c r="C52" s="7"/>
      <c r="D52" s="67"/>
      <c r="E52" s="60"/>
      <c r="F52" s="77"/>
      <c r="G52" s="73"/>
      <c r="H52" s="73"/>
      <c r="I52" s="73"/>
      <c r="J52" s="73"/>
      <c r="K52" s="73"/>
      <c r="L52" s="73"/>
      <c r="M52" s="73"/>
      <c r="N52" s="73"/>
      <c r="O52" s="73"/>
      <c r="P52" s="82"/>
      <c r="Q52" s="82"/>
      <c r="R52" s="82"/>
      <c r="S52" s="83"/>
      <c r="T52" s="94"/>
      <c r="U52" s="95"/>
    </row>
    <row r="53" spans="1:21" ht="16.899999999999999" customHeight="1" x14ac:dyDescent="0.25">
      <c r="A53" s="59"/>
      <c r="B53" s="59"/>
      <c r="C53" s="7"/>
      <c r="D53" s="67"/>
      <c r="E53" s="60"/>
      <c r="F53" s="77"/>
      <c r="G53" s="73"/>
      <c r="H53" s="73"/>
      <c r="I53" s="73"/>
      <c r="J53" s="73"/>
      <c r="K53" s="73"/>
      <c r="L53" s="73"/>
      <c r="M53" s="73"/>
      <c r="N53" s="73"/>
      <c r="O53" s="73"/>
      <c r="P53" s="82"/>
      <c r="Q53" s="82"/>
      <c r="R53" s="82"/>
      <c r="S53" s="83"/>
      <c r="T53" s="94"/>
      <c r="U53" s="95"/>
    </row>
    <row r="54" spans="1:21" ht="16.899999999999999" customHeight="1" x14ac:dyDescent="0.25">
      <c r="A54" s="59"/>
      <c r="B54" s="59"/>
      <c r="C54" s="7"/>
      <c r="D54" s="56" t="s">
        <v>129</v>
      </c>
      <c r="E54" s="55" t="s">
        <v>132</v>
      </c>
      <c r="F54" s="77"/>
      <c r="G54" s="72" t="s">
        <v>136</v>
      </c>
      <c r="H54" s="72" t="s">
        <v>138</v>
      </c>
      <c r="I54" s="72" t="s">
        <v>142</v>
      </c>
      <c r="J54" s="72" t="s">
        <v>145</v>
      </c>
      <c r="K54" s="72" t="s">
        <v>231</v>
      </c>
      <c r="L54" s="72" t="s">
        <v>153</v>
      </c>
      <c r="M54" s="72" t="s">
        <v>156</v>
      </c>
      <c r="N54" s="72" t="s">
        <v>161</v>
      </c>
      <c r="O54" s="72" t="s">
        <v>165</v>
      </c>
      <c r="P54" s="89" t="s">
        <v>171</v>
      </c>
      <c r="Q54" s="89" t="s">
        <v>173</v>
      </c>
      <c r="R54" s="89" t="s">
        <v>182</v>
      </c>
      <c r="S54" s="93" t="s">
        <v>188</v>
      </c>
      <c r="T54" s="85" t="s">
        <v>179</v>
      </c>
      <c r="U54" s="84" t="s">
        <v>192</v>
      </c>
    </row>
    <row r="55" spans="1:21" s="6" customFormat="1" ht="16.899999999999999" customHeight="1" x14ac:dyDescent="0.25">
      <c r="A55" s="59"/>
      <c r="B55" s="59"/>
      <c r="C55" s="7"/>
      <c r="D55" s="56"/>
      <c r="E55" s="55"/>
      <c r="F55" s="77"/>
      <c r="G55" s="72"/>
      <c r="H55" s="72"/>
      <c r="I55" s="72"/>
      <c r="J55" s="72"/>
      <c r="K55" s="72"/>
      <c r="L55" s="72"/>
      <c r="M55" s="72"/>
      <c r="N55" s="72"/>
      <c r="O55" s="72"/>
      <c r="P55" s="89"/>
      <c r="Q55" s="89"/>
      <c r="R55" s="89"/>
      <c r="S55" s="93"/>
      <c r="T55" s="85"/>
      <c r="U55" s="84"/>
    </row>
    <row r="56" spans="1:21" s="6" customFormat="1" ht="16.899999999999999" customHeight="1" x14ac:dyDescent="0.25">
      <c r="A56" s="59"/>
      <c r="B56" s="59"/>
      <c r="C56" s="7"/>
      <c r="D56" s="68">
        <v>132.91</v>
      </c>
      <c r="E56" s="57">
        <v>137.33000000000001</v>
      </c>
      <c r="F56" s="77"/>
      <c r="G56" s="74">
        <v>178.49</v>
      </c>
      <c r="H56" s="74">
        <v>180.95</v>
      </c>
      <c r="I56" s="74">
        <v>183.84</v>
      </c>
      <c r="J56" s="74">
        <v>186.21</v>
      </c>
      <c r="K56" s="74">
        <v>190.23</v>
      </c>
      <c r="L56" s="74">
        <v>192.22</v>
      </c>
      <c r="M56" s="74">
        <v>195.08</v>
      </c>
      <c r="N56" s="74">
        <v>196.97</v>
      </c>
      <c r="O56" s="74">
        <v>200.59</v>
      </c>
      <c r="P56" s="90">
        <v>204.38</v>
      </c>
      <c r="Q56" s="90">
        <v>207.2</v>
      </c>
      <c r="R56" s="90">
        <v>208.98</v>
      </c>
      <c r="S56" s="86">
        <v>209</v>
      </c>
      <c r="T56" s="96">
        <v>210</v>
      </c>
      <c r="U56" s="98">
        <v>222</v>
      </c>
    </row>
    <row r="57" spans="1:21" s="6" customFormat="1" ht="16.899999999999999" customHeight="1" x14ac:dyDescent="0.25">
      <c r="A57" s="59"/>
      <c r="B57" s="59"/>
      <c r="C57" s="7"/>
      <c r="D57" s="68"/>
      <c r="E57" s="58"/>
      <c r="F57" s="78"/>
      <c r="G57" s="75"/>
      <c r="H57" s="75"/>
      <c r="I57" s="75"/>
      <c r="J57" s="75"/>
      <c r="K57" s="75"/>
      <c r="L57" s="75"/>
      <c r="M57" s="75"/>
      <c r="N57" s="75"/>
      <c r="O57" s="75"/>
      <c r="P57" s="91"/>
      <c r="Q57" s="91"/>
      <c r="R57" s="91"/>
      <c r="S57" s="87"/>
      <c r="T57" s="97"/>
      <c r="U57" s="99"/>
    </row>
    <row r="58" spans="1:21" ht="16.899999999999999" customHeight="1" x14ac:dyDescent="0.25">
      <c r="A58" s="59"/>
      <c r="B58" s="59">
        <v>7</v>
      </c>
      <c r="C58" s="7"/>
      <c r="D58" s="66">
        <v>102</v>
      </c>
      <c r="E58" s="70">
        <v>102</v>
      </c>
      <c r="F58" s="79" t="s">
        <v>3</v>
      </c>
      <c r="G58" s="71">
        <v>104</v>
      </c>
      <c r="H58" s="71">
        <v>105</v>
      </c>
      <c r="I58" s="71">
        <v>106</v>
      </c>
      <c r="J58" s="71">
        <v>107</v>
      </c>
      <c r="K58" s="71">
        <v>108</v>
      </c>
      <c r="L58" s="71">
        <v>109</v>
      </c>
      <c r="M58" s="71">
        <v>110</v>
      </c>
      <c r="N58" s="71">
        <v>111</v>
      </c>
      <c r="O58" s="71">
        <v>112</v>
      </c>
      <c r="P58" s="88">
        <v>113</v>
      </c>
      <c r="Q58" s="88">
        <v>114</v>
      </c>
      <c r="R58" s="88">
        <v>115</v>
      </c>
      <c r="S58" s="88">
        <v>116</v>
      </c>
      <c r="T58" s="88">
        <v>117</v>
      </c>
      <c r="U58" s="88">
        <v>118</v>
      </c>
    </row>
    <row r="59" spans="1:21" ht="16.899999999999999" customHeight="1" x14ac:dyDescent="0.25">
      <c r="A59" s="59"/>
      <c r="B59" s="59"/>
      <c r="C59" s="7"/>
      <c r="D59" s="56"/>
      <c r="E59" s="55"/>
      <c r="F59" s="80"/>
      <c r="G59" s="72"/>
      <c r="H59" s="72"/>
      <c r="I59" s="72"/>
      <c r="J59" s="72"/>
      <c r="K59" s="72"/>
      <c r="L59" s="72"/>
      <c r="M59" s="72"/>
      <c r="N59" s="72"/>
      <c r="O59" s="72"/>
      <c r="P59" s="89"/>
      <c r="Q59" s="89"/>
      <c r="R59" s="89"/>
      <c r="S59" s="89"/>
      <c r="T59" s="89"/>
      <c r="U59" s="89"/>
    </row>
    <row r="60" spans="1:21" ht="16.899999999999999" customHeight="1" x14ac:dyDescent="0.25">
      <c r="A60" s="59"/>
      <c r="B60" s="59"/>
      <c r="C60" s="7"/>
      <c r="D60" s="67" t="s">
        <v>9</v>
      </c>
      <c r="E60" s="60" t="s">
        <v>10</v>
      </c>
      <c r="F60" s="80"/>
      <c r="G60" s="73" t="s">
        <v>21</v>
      </c>
      <c r="H60" s="73" t="s">
        <v>22</v>
      </c>
      <c r="I60" s="73" t="s">
        <v>29</v>
      </c>
      <c r="J60" s="73" t="s">
        <v>30</v>
      </c>
      <c r="K60" s="73" t="s">
        <v>37</v>
      </c>
      <c r="L60" s="73" t="s">
        <v>41</v>
      </c>
      <c r="M60" s="73" t="s">
        <v>45</v>
      </c>
      <c r="N60" s="73" t="s">
        <v>49</v>
      </c>
      <c r="O60" s="73" t="s">
        <v>53</v>
      </c>
      <c r="P60" s="82" t="s">
        <v>85</v>
      </c>
      <c r="Q60" s="82" t="s">
        <v>86</v>
      </c>
      <c r="R60" s="82" t="s">
        <v>87</v>
      </c>
      <c r="S60" s="82" t="s">
        <v>88</v>
      </c>
      <c r="T60" s="82" t="s">
        <v>89</v>
      </c>
      <c r="U60" s="82" t="s">
        <v>90</v>
      </c>
    </row>
    <row r="61" spans="1:21" ht="16.899999999999999" customHeight="1" x14ac:dyDescent="0.25">
      <c r="A61" s="59"/>
      <c r="B61" s="59"/>
      <c r="C61" s="7"/>
      <c r="D61" s="67"/>
      <c r="E61" s="60"/>
      <c r="F61" s="80"/>
      <c r="G61" s="73"/>
      <c r="H61" s="73"/>
      <c r="I61" s="73"/>
      <c r="J61" s="73"/>
      <c r="K61" s="73"/>
      <c r="L61" s="73"/>
      <c r="M61" s="73"/>
      <c r="N61" s="73"/>
      <c r="O61" s="73"/>
      <c r="P61" s="82"/>
      <c r="Q61" s="82"/>
      <c r="R61" s="82"/>
      <c r="S61" s="82"/>
      <c r="T61" s="82"/>
      <c r="U61" s="82"/>
    </row>
    <row r="62" spans="1:21" ht="16.899999999999999" customHeight="1" x14ac:dyDescent="0.25">
      <c r="A62" s="59"/>
      <c r="B62" s="59"/>
      <c r="C62" s="7"/>
      <c r="D62" s="67"/>
      <c r="E62" s="60"/>
      <c r="F62" s="80"/>
      <c r="G62" s="73"/>
      <c r="H62" s="73"/>
      <c r="I62" s="73"/>
      <c r="J62" s="73"/>
      <c r="K62" s="73"/>
      <c r="L62" s="73"/>
      <c r="M62" s="73"/>
      <c r="N62" s="73"/>
      <c r="O62" s="73"/>
      <c r="P62" s="82"/>
      <c r="Q62" s="82"/>
      <c r="R62" s="82"/>
      <c r="S62" s="82"/>
      <c r="T62" s="82"/>
      <c r="U62" s="82"/>
    </row>
    <row r="63" spans="1:21" ht="16.899999999999999" customHeight="1" x14ac:dyDescent="0.25">
      <c r="A63" s="59"/>
      <c r="B63" s="59"/>
      <c r="C63" s="7"/>
      <c r="D63" s="56" t="s">
        <v>130</v>
      </c>
      <c r="E63" s="55" t="s">
        <v>131</v>
      </c>
      <c r="F63" s="80"/>
      <c r="G63" s="72" t="s">
        <v>1</v>
      </c>
      <c r="H63" s="72" t="s">
        <v>137</v>
      </c>
      <c r="I63" s="72" t="s">
        <v>143</v>
      </c>
      <c r="J63" s="72" t="s">
        <v>144</v>
      </c>
      <c r="K63" s="72" t="s">
        <v>150</v>
      </c>
      <c r="L63" s="72" t="s">
        <v>154</v>
      </c>
      <c r="M63" s="72" t="s">
        <v>158</v>
      </c>
      <c r="N63" s="72" t="s">
        <v>162</v>
      </c>
      <c r="O63" s="72" t="s">
        <v>232</v>
      </c>
      <c r="P63" s="89" t="s">
        <v>233</v>
      </c>
      <c r="Q63" s="89" t="s">
        <v>172</v>
      </c>
      <c r="R63" s="89" t="s">
        <v>183</v>
      </c>
      <c r="S63" s="89" t="s">
        <v>189</v>
      </c>
      <c r="T63" s="89" t="s">
        <v>234</v>
      </c>
      <c r="U63" s="89" t="s">
        <v>235</v>
      </c>
    </row>
    <row r="64" spans="1:21" s="6" customFormat="1" ht="16.899999999999999" customHeight="1" x14ac:dyDescent="0.25">
      <c r="A64" s="59"/>
      <c r="B64" s="59"/>
      <c r="C64" s="7"/>
      <c r="D64" s="56"/>
      <c r="E64" s="55"/>
      <c r="F64" s="80"/>
      <c r="G64" s="72"/>
      <c r="H64" s="72"/>
      <c r="I64" s="72"/>
      <c r="J64" s="72"/>
      <c r="K64" s="72"/>
      <c r="L64" s="72"/>
      <c r="M64" s="72"/>
      <c r="N64" s="72"/>
      <c r="O64" s="72"/>
      <c r="P64" s="89"/>
      <c r="Q64" s="89"/>
      <c r="R64" s="89"/>
      <c r="S64" s="89"/>
      <c r="T64" s="89"/>
      <c r="U64" s="89"/>
    </row>
    <row r="65" spans="1:21" s="6" customFormat="1" ht="16.899999999999999" customHeight="1" x14ac:dyDescent="0.25">
      <c r="A65" s="59"/>
      <c r="B65" s="59"/>
      <c r="C65" s="7"/>
      <c r="D65" s="68">
        <v>223</v>
      </c>
      <c r="E65" s="57">
        <v>226</v>
      </c>
      <c r="F65" s="80"/>
      <c r="G65" s="74">
        <v>267</v>
      </c>
      <c r="H65" s="74">
        <v>268</v>
      </c>
      <c r="I65" s="74">
        <v>269</v>
      </c>
      <c r="J65" s="74">
        <v>270</v>
      </c>
      <c r="K65" s="74">
        <v>269</v>
      </c>
      <c r="L65" s="74">
        <v>277</v>
      </c>
      <c r="M65" s="74">
        <v>281</v>
      </c>
      <c r="N65" s="74">
        <v>282</v>
      </c>
      <c r="O65" s="74">
        <v>285</v>
      </c>
      <c r="P65" s="90">
        <v>286</v>
      </c>
      <c r="Q65" s="90">
        <v>290</v>
      </c>
      <c r="R65" s="90">
        <v>290</v>
      </c>
      <c r="S65" s="90">
        <v>293</v>
      </c>
      <c r="T65" s="90">
        <v>294</v>
      </c>
      <c r="U65" s="90">
        <v>294</v>
      </c>
    </row>
    <row r="66" spans="1:21" s="6" customFormat="1" ht="16.899999999999999" customHeight="1" x14ac:dyDescent="0.25">
      <c r="A66" s="59"/>
      <c r="B66" s="59"/>
      <c r="C66" s="7"/>
      <c r="D66" s="69"/>
      <c r="E66" s="58"/>
      <c r="F66" s="81"/>
      <c r="G66" s="75"/>
      <c r="H66" s="75"/>
      <c r="I66" s="75"/>
      <c r="J66" s="75"/>
      <c r="K66" s="75"/>
      <c r="L66" s="75"/>
      <c r="M66" s="75"/>
      <c r="N66" s="75"/>
      <c r="O66" s="75"/>
      <c r="P66" s="91"/>
      <c r="Q66" s="91"/>
      <c r="R66" s="91"/>
      <c r="S66" s="91"/>
      <c r="T66" s="91"/>
      <c r="U66" s="91"/>
    </row>
    <row r="67" spans="1:21" s="6" customFormat="1" ht="16.899999999999999" customHeight="1" x14ac:dyDescent="0.25">
      <c r="A67" s="12"/>
      <c r="B67" s="12"/>
      <c r="C67" s="7"/>
      <c r="D67" s="9"/>
      <c r="E67" s="9"/>
      <c r="F67" s="1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s="6" customFormat="1" ht="16.899999999999999" customHeight="1" x14ac:dyDescent="0.25">
      <c r="A68" s="12"/>
      <c r="B68" s="12"/>
      <c r="C68" s="7"/>
      <c r="D68" s="9"/>
      <c r="E68" s="9"/>
      <c r="F68" s="1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6.899999999999999" customHeight="1" x14ac:dyDescent="0.25">
      <c r="E69" s="8"/>
      <c r="F69" s="121" t="s">
        <v>2</v>
      </c>
      <c r="G69" s="115">
        <v>57</v>
      </c>
      <c r="H69" s="115">
        <v>58</v>
      </c>
      <c r="I69" s="115">
        <v>59</v>
      </c>
      <c r="J69" s="115">
        <v>60</v>
      </c>
      <c r="K69" s="115">
        <v>61</v>
      </c>
      <c r="L69" s="115">
        <v>62</v>
      </c>
      <c r="M69" s="115">
        <v>63</v>
      </c>
      <c r="N69" s="115">
        <v>64</v>
      </c>
      <c r="O69" s="115">
        <v>65</v>
      </c>
      <c r="P69" s="115">
        <v>66</v>
      </c>
      <c r="Q69" s="115">
        <v>67</v>
      </c>
      <c r="R69" s="115">
        <v>68</v>
      </c>
      <c r="S69" s="115">
        <v>69</v>
      </c>
      <c r="T69" s="115">
        <v>70</v>
      </c>
      <c r="U69" s="115">
        <v>71</v>
      </c>
    </row>
    <row r="70" spans="1:21" ht="16.899999999999999" customHeight="1" x14ac:dyDescent="0.25">
      <c r="E70" s="8"/>
      <c r="F70" s="122"/>
      <c r="G70" s="114"/>
      <c r="H70" s="114"/>
      <c r="I70" s="115"/>
      <c r="J70" s="115"/>
      <c r="K70" s="115"/>
      <c r="L70" s="115"/>
      <c r="M70" s="115"/>
      <c r="N70" s="115"/>
      <c r="O70" s="114"/>
      <c r="P70" s="114"/>
      <c r="Q70" s="114"/>
      <c r="R70" s="114"/>
      <c r="S70" s="114"/>
      <c r="T70" s="114"/>
      <c r="U70" s="115"/>
    </row>
    <row r="71" spans="1:21" ht="16.899999999999999" customHeight="1" x14ac:dyDescent="0.25">
      <c r="E71" s="8"/>
      <c r="F71" s="122"/>
      <c r="G71" s="116" t="s">
        <v>91</v>
      </c>
      <c r="H71" s="116" t="s">
        <v>92</v>
      </c>
      <c r="I71" s="116" t="s">
        <v>93</v>
      </c>
      <c r="J71" s="116" t="s">
        <v>94</v>
      </c>
      <c r="K71" s="116" t="s">
        <v>95</v>
      </c>
      <c r="L71" s="116" t="s">
        <v>96</v>
      </c>
      <c r="M71" s="116" t="s">
        <v>97</v>
      </c>
      <c r="N71" s="116" t="s">
        <v>98</v>
      </c>
      <c r="O71" s="116" t="s">
        <v>99</v>
      </c>
      <c r="P71" s="116" t="s">
        <v>100</v>
      </c>
      <c r="Q71" s="116" t="s">
        <v>101</v>
      </c>
      <c r="R71" s="116" t="s">
        <v>102</v>
      </c>
      <c r="S71" s="116" t="s">
        <v>103</v>
      </c>
      <c r="T71" s="116" t="s">
        <v>104</v>
      </c>
      <c r="U71" s="116" t="s">
        <v>105</v>
      </c>
    </row>
    <row r="72" spans="1:21" ht="16.899999999999999" customHeight="1" x14ac:dyDescent="0.25">
      <c r="E72" s="8"/>
      <c r="F72" s="122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</row>
    <row r="73" spans="1:21" ht="16.899999999999999" customHeight="1" x14ac:dyDescent="0.25">
      <c r="E73" s="8"/>
      <c r="F73" s="122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</row>
    <row r="74" spans="1:21" ht="16.899999999999999" customHeight="1" x14ac:dyDescent="0.25">
      <c r="E74" s="8"/>
      <c r="F74" s="122"/>
      <c r="G74" s="114" t="s">
        <v>200</v>
      </c>
      <c r="H74" s="114" t="s">
        <v>201</v>
      </c>
      <c r="I74" s="114" t="s">
        <v>202</v>
      </c>
      <c r="J74" s="114" t="s">
        <v>203</v>
      </c>
      <c r="K74" s="114" t="s">
        <v>205</v>
      </c>
      <c r="L74" s="114" t="s">
        <v>204</v>
      </c>
      <c r="M74" s="114" t="s">
        <v>206</v>
      </c>
      <c r="N74" s="114" t="s">
        <v>207</v>
      </c>
      <c r="O74" s="114" t="s">
        <v>208</v>
      </c>
      <c r="P74" s="114" t="s">
        <v>209</v>
      </c>
      <c r="Q74" s="114" t="s">
        <v>210</v>
      </c>
      <c r="R74" s="114" t="s">
        <v>211</v>
      </c>
      <c r="S74" s="114" t="s">
        <v>212</v>
      </c>
      <c r="T74" s="114" t="s">
        <v>213</v>
      </c>
      <c r="U74" s="114" t="s">
        <v>214</v>
      </c>
    </row>
    <row r="75" spans="1:21" s="6" customFormat="1" ht="16.899999999999999" customHeight="1" x14ac:dyDescent="0.25">
      <c r="A75" s="3"/>
      <c r="B75" s="3"/>
      <c r="E75" s="8"/>
      <c r="F75" s="122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</row>
    <row r="76" spans="1:21" s="6" customFormat="1" ht="16.899999999999999" customHeight="1" x14ac:dyDescent="0.25">
      <c r="A76" s="3"/>
      <c r="B76" s="3"/>
      <c r="E76" s="8"/>
      <c r="F76" s="122"/>
      <c r="G76" s="118">
        <v>138.91</v>
      </c>
      <c r="H76" s="118">
        <v>140.12</v>
      </c>
      <c r="I76" s="118">
        <v>140.91</v>
      </c>
      <c r="J76" s="118">
        <v>144.24</v>
      </c>
      <c r="K76" s="118">
        <v>145</v>
      </c>
      <c r="L76" s="118">
        <v>150.36000000000001</v>
      </c>
      <c r="M76" s="118">
        <v>151.96</v>
      </c>
      <c r="N76" s="118">
        <v>157.25</v>
      </c>
      <c r="O76" s="118">
        <v>158.93</v>
      </c>
      <c r="P76" s="118">
        <v>162.5</v>
      </c>
      <c r="Q76" s="118">
        <v>164.93</v>
      </c>
      <c r="R76" s="118">
        <v>167.26</v>
      </c>
      <c r="S76" s="118">
        <v>168.93</v>
      </c>
      <c r="T76" s="118">
        <v>173.05</v>
      </c>
      <c r="U76" s="118">
        <v>174.97</v>
      </c>
    </row>
    <row r="77" spans="1:21" s="6" customFormat="1" ht="16.899999999999999" customHeight="1" x14ac:dyDescent="0.25">
      <c r="A77" s="3"/>
      <c r="B77" s="3"/>
      <c r="E77" s="8"/>
      <c r="F77" s="122"/>
      <c r="G77" s="119"/>
      <c r="H77" s="119"/>
      <c r="I77" s="119"/>
      <c r="J77" s="119"/>
      <c r="K77" s="119"/>
      <c r="L77" s="119"/>
      <c r="M77" s="119"/>
      <c r="N77" s="119"/>
      <c r="O77" s="118"/>
      <c r="P77" s="118"/>
      <c r="Q77" s="118"/>
      <c r="R77" s="118"/>
      <c r="S77" s="118"/>
      <c r="T77" s="118"/>
      <c r="U77" s="118"/>
    </row>
    <row r="78" spans="1:21" ht="16.899999999999999" customHeight="1" x14ac:dyDescent="0.25">
      <c r="D78" s="33" t="s">
        <v>248</v>
      </c>
      <c r="E78" s="45"/>
      <c r="F78" s="48" t="s">
        <v>3</v>
      </c>
      <c r="G78" s="49">
        <v>89</v>
      </c>
      <c r="H78" s="49">
        <v>90</v>
      </c>
      <c r="I78" s="49">
        <v>91</v>
      </c>
      <c r="J78" s="49">
        <v>92</v>
      </c>
      <c r="K78" s="49">
        <v>93</v>
      </c>
      <c r="L78" s="49">
        <v>94</v>
      </c>
      <c r="M78" s="49">
        <v>95</v>
      </c>
      <c r="N78" s="49">
        <v>96</v>
      </c>
      <c r="O78" s="49">
        <v>97</v>
      </c>
      <c r="P78" s="49">
        <v>98</v>
      </c>
      <c r="Q78" s="49">
        <v>99</v>
      </c>
      <c r="R78" s="49">
        <v>100</v>
      </c>
      <c r="S78" s="49">
        <v>101</v>
      </c>
      <c r="T78" s="49">
        <v>102</v>
      </c>
      <c r="U78" s="49">
        <v>103</v>
      </c>
    </row>
    <row r="79" spans="1:21" ht="16.899999999999999" customHeight="1" x14ac:dyDescent="0.25">
      <c r="D79" s="33"/>
      <c r="E79" s="45"/>
      <c r="F79" s="48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21" ht="16.899999999999999" customHeight="1" x14ac:dyDescent="0.25">
      <c r="D80" s="34" t="s">
        <v>249</v>
      </c>
      <c r="E80" s="46"/>
      <c r="F80" s="48"/>
      <c r="G80" s="44" t="s">
        <v>106</v>
      </c>
      <c r="H80" s="102" t="s">
        <v>107</v>
      </c>
      <c r="I80" s="117" t="s">
        <v>108</v>
      </c>
      <c r="J80" s="102" t="s">
        <v>109</v>
      </c>
      <c r="K80" s="106" t="s">
        <v>110</v>
      </c>
      <c r="L80" s="102" t="s">
        <v>111</v>
      </c>
      <c r="M80" s="102" t="s">
        <v>112</v>
      </c>
      <c r="N80" s="102" t="s">
        <v>113</v>
      </c>
      <c r="O80" s="102" t="s">
        <v>114</v>
      </c>
      <c r="P80" s="102" t="s">
        <v>115</v>
      </c>
      <c r="Q80" s="102" t="s">
        <v>116</v>
      </c>
      <c r="R80" s="102" t="s">
        <v>117</v>
      </c>
      <c r="S80" s="102" t="s">
        <v>118</v>
      </c>
      <c r="T80" s="102" t="s">
        <v>119</v>
      </c>
      <c r="U80" s="102" t="s">
        <v>120</v>
      </c>
    </row>
    <row r="81" spans="1:21" ht="16.899999999999999" customHeight="1" x14ac:dyDescent="0.25">
      <c r="D81" s="34"/>
      <c r="E81" s="46"/>
      <c r="F81" s="48"/>
      <c r="G81" s="44"/>
      <c r="H81" s="102"/>
      <c r="I81" s="117"/>
      <c r="J81" s="102"/>
      <c r="K81" s="106"/>
      <c r="L81" s="102"/>
      <c r="M81" s="102"/>
      <c r="N81" s="102"/>
      <c r="O81" s="102"/>
      <c r="P81" s="102"/>
      <c r="Q81" s="102"/>
      <c r="R81" s="102"/>
      <c r="S81" s="102"/>
      <c r="T81" s="102"/>
      <c r="U81" s="102"/>
    </row>
    <row r="82" spans="1:21" ht="16.899999999999999" customHeight="1" x14ac:dyDescent="0.25">
      <c r="D82" s="34"/>
      <c r="E82" s="46"/>
      <c r="F82" s="48"/>
      <c r="G82" s="44"/>
      <c r="H82" s="102"/>
      <c r="I82" s="117"/>
      <c r="J82" s="102"/>
      <c r="K82" s="106"/>
      <c r="L82" s="102"/>
      <c r="M82" s="102"/>
      <c r="N82" s="102"/>
      <c r="O82" s="102"/>
      <c r="P82" s="102"/>
      <c r="Q82" s="102"/>
      <c r="R82" s="102"/>
      <c r="S82" s="102"/>
      <c r="T82" s="102"/>
      <c r="U82" s="102"/>
    </row>
    <row r="83" spans="1:21" ht="16.899999999999999" customHeight="1" x14ac:dyDescent="0.25">
      <c r="D83" s="33" t="s">
        <v>250</v>
      </c>
      <c r="E83" s="45"/>
      <c r="F83" s="48"/>
      <c r="G83" s="113" t="s">
        <v>215</v>
      </c>
      <c r="H83" s="103" t="s">
        <v>216</v>
      </c>
      <c r="I83" s="107" t="s">
        <v>217</v>
      </c>
      <c r="J83" s="103" t="s">
        <v>218</v>
      </c>
      <c r="K83" s="108" t="s">
        <v>236</v>
      </c>
      <c r="L83" s="103" t="s">
        <v>219</v>
      </c>
      <c r="M83" s="103" t="s">
        <v>220</v>
      </c>
      <c r="N83" s="103" t="s">
        <v>221</v>
      </c>
      <c r="O83" s="103" t="s">
        <v>222</v>
      </c>
      <c r="P83" s="103" t="s">
        <v>223</v>
      </c>
      <c r="Q83" s="103" t="s">
        <v>224</v>
      </c>
      <c r="R83" s="103" t="s">
        <v>225</v>
      </c>
      <c r="S83" s="103" t="s">
        <v>237</v>
      </c>
      <c r="T83" s="103" t="s">
        <v>226</v>
      </c>
      <c r="U83" s="103" t="s">
        <v>227</v>
      </c>
    </row>
    <row r="84" spans="1:21" s="6" customFormat="1" ht="16.899999999999999" customHeight="1" x14ac:dyDescent="0.25">
      <c r="A84" s="3"/>
      <c r="B84" s="3"/>
      <c r="D84" s="33"/>
      <c r="E84" s="45"/>
      <c r="F84" s="48"/>
      <c r="G84" s="113"/>
      <c r="H84" s="103"/>
      <c r="I84" s="107"/>
      <c r="J84" s="103"/>
      <c r="K84" s="108"/>
      <c r="L84" s="103"/>
      <c r="M84" s="103"/>
      <c r="N84" s="103"/>
      <c r="O84" s="103"/>
      <c r="P84" s="103"/>
      <c r="Q84" s="103"/>
      <c r="R84" s="103"/>
      <c r="S84" s="103"/>
      <c r="T84" s="103"/>
      <c r="U84" s="103"/>
    </row>
    <row r="85" spans="1:21" s="6" customFormat="1" ht="16.899999999999999" customHeight="1" x14ac:dyDescent="0.25">
      <c r="A85" s="3"/>
      <c r="B85" s="3"/>
      <c r="D85" s="35" t="s">
        <v>251</v>
      </c>
      <c r="E85" s="47"/>
      <c r="F85" s="48"/>
      <c r="G85" s="42">
        <v>227</v>
      </c>
      <c r="H85" s="104">
        <v>232.04</v>
      </c>
      <c r="I85" s="109">
        <v>231.04</v>
      </c>
      <c r="J85" s="104">
        <v>238.03</v>
      </c>
      <c r="K85" s="111">
        <v>237</v>
      </c>
      <c r="L85" s="104">
        <v>244</v>
      </c>
      <c r="M85" s="104">
        <v>243</v>
      </c>
      <c r="N85" s="104">
        <v>247</v>
      </c>
      <c r="O85" s="104">
        <v>247</v>
      </c>
      <c r="P85" s="104">
        <v>251</v>
      </c>
      <c r="Q85" s="104">
        <v>252</v>
      </c>
      <c r="R85" s="104">
        <v>257</v>
      </c>
      <c r="S85" s="104">
        <v>258</v>
      </c>
      <c r="T85" s="104">
        <v>259</v>
      </c>
      <c r="U85" s="104">
        <v>266</v>
      </c>
    </row>
    <row r="86" spans="1:21" s="6" customFormat="1" ht="16.899999999999999" customHeight="1" x14ac:dyDescent="0.25">
      <c r="A86" s="3"/>
      <c r="B86" s="3"/>
      <c r="D86" s="35"/>
      <c r="E86" s="47"/>
      <c r="F86" s="48"/>
      <c r="G86" s="43"/>
      <c r="H86" s="105"/>
      <c r="I86" s="110"/>
      <c r="J86" s="105"/>
      <c r="K86" s="112"/>
      <c r="L86" s="105"/>
      <c r="M86" s="105"/>
      <c r="N86" s="105"/>
      <c r="O86" s="105"/>
      <c r="P86" s="105"/>
      <c r="Q86" s="105"/>
      <c r="R86" s="105"/>
      <c r="S86" s="105"/>
      <c r="T86" s="105"/>
      <c r="U86" s="105"/>
    </row>
    <row r="87" spans="1:21" s="6" customFormat="1" ht="16.899999999999999" customHeight="1" x14ac:dyDescent="0.25">
      <c r="A87" s="3"/>
      <c r="B87" s="3"/>
      <c r="D87" s="8"/>
      <c r="E87" s="8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s="6" customFormat="1" ht="16.899999999999999" customHeight="1" x14ac:dyDescent="0.25">
      <c r="A88" s="3"/>
      <c r="B88" s="3"/>
      <c r="D88" s="8"/>
      <c r="E88" s="8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s="6" customFormat="1" ht="16.899999999999999" customHeight="1" x14ac:dyDescent="0.25">
      <c r="A89" s="3"/>
      <c r="B89" s="3"/>
      <c r="E89" s="8"/>
      <c r="F89" s="8"/>
      <c r="H89" s="36" t="s">
        <v>240</v>
      </c>
      <c r="I89" s="36"/>
      <c r="J89" s="16"/>
      <c r="K89" s="38" t="s">
        <v>252</v>
      </c>
      <c r="L89" s="38"/>
      <c r="M89" s="15"/>
      <c r="N89" s="40" t="s">
        <v>244</v>
      </c>
      <c r="O89" s="40"/>
      <c r="P89" s="15"/>
      <c r="Q89" s="50" t="s">
        <v>242</v>
      </c>
      <c r="R89" s="50"/>
      <c r="S89" s="16"/>
      <c r="T89" s="52" t="s">
        <v>246</v>
      </c>
      <c r="U89" s="52"/>
    </row>
    <row r="90" spans="1:21" s="6" customFormat="1" ht="16.899999999999999" customHeight="1" x14ac:dyDescent="0.25">
      <c r="A90" s="3"/>
      <c r="B90" s="3"/>
      <c r="E90" s="11"/>
      <c r="F90" s="11"/>
      <c r="H90" s="36"/>
      <c r="I90" s="36"/>
      <c r="J90" s="16"/>
      <c r="K90" s="38"/>
      <c r="L90" s="38"/>
      <c r="M90" s="15"/>
      <c r="N90" s="40"/>
      <c r="O90" s="40"/>
      <c r="P90" s="15"/>
      <c r="Q90" s="50"/>
      <c r="R90" s="50"/>
      <c r="S90" s="16"/>
      <c r="T90" s="52"/>
      <c r="U90" s="52"/>
    </row>
    <row r="91" spans="1:21" s="6" customFormat="1" ht="16.899999999999999" customHeight="1" x14ac:dyDescent="0.25">
      <c r="A91" s="3"/>
      <c r="B91" s="3"/>
      <c r="E91" s="11"/>
      <c r="F91" s="11"/>
      <c r="H91" s="17"/>
      <c r="I91" s="17"/>
      <c r="J91" s="17"/>
      <c r="K91" s="17"/>
      <c r="L91" s="17"/>
      <c r="M91" s="14"/>
      <c r="N91" s="17"/>
      <c r="O91" s="17"/>
      <c r="P91" s="14"/>
      <c r="Q91" s="17"/>
      <c r="R91" s="17"/>
      <c r="S91" s="17"/>
      <c r="T91" s="17"/>
      <c r="U91" s="17"/>
    </row>
    <row r="92" spans="1:21" s="6" customFormat="1" ht="16.899999999999999" customHeight="1" x14ac:dyDescent="0.25">
      <c r="A92" s="3"/>
      <c r="B92" s="3"/>
      <c r="E92" s="11"/>
      <c r="F92" s="11"/>
      <c r="H92" s="17"/>
      <c r="I92" s="17"/>
      <c r="J92" s="17"/>
      <c r="K92" s="17"/>
      <c r="L92" s="17"/>
      <c r="M92" s="14"/>
      <c r="N92" s="17"/>
      <c r="O92" s="17"/>
      <c r="P92" s="14"/>
      <c r="Q92" s="17"/>
      <c r="R92" s="17"/>
      <c r="S92" s="17"/>
      <c r="T92" s="17"/>
      <c r="U92" s="17"/>
    </row>
    <row r="93" spans="1:21" s="6" customFormat="1" ht="16.899999999999999" customHeight="1" x14ac:dyDescent="0.25">
      <c r="A93" s="3"/>
      <c r="B93" s="3"/>
      <c r="E93" s="11"/>
      <c r="F93" s="11"/>
      <c r="H93" s="37" t="s">
        <v>239</v>
      </c>
      <c r="I93" s="37"/>
      <c r="J93" s="16"/>
      <c r="K93" s="39" t="s">
        <v>247</v>
      </c>
      <c r="L93" s="39"/>
      <c r="M93" s="15"/>
      <c r="N93" s="41" t="s">
        <v>245</v>
      </c>
      <c r="O93" s="41"/>
      <c r="P93" s="15"/>
      <c r="Q93" s="51" t="s">
        <v>241</v>
      </c>
      <c r="R93" s="51"/>
      <c r="S93" s="16"/>
      <c r="T93" s="53" t="s">
        <v>243</v>
      </c>
      <c r="U93" s="53"/>
    </row>
    <row r="94" spans="1:21" ht="16.899999999999999" customHeight="1" x14ac:dyDescent="0.25">
      <c r="E94" s="11"/>
      <c r="F94" s="11"/>
      <c r="H94" s="37"/>
      <c r="I94" s="37"/>
      <c r="J94" s="16"/>
      <c r="K94" s="39"/>
      <c r="L94" s="39"/>
      <c r="M94" s="15"/>
      <c r="N94" s="41"/>
      <c r="O94" s="41"/>
      <c r="P94" s="15"/>
      <c r="Q94" s="51"/>
      <c r="R94" s="51"/>
      <c r="S94" s="16"/>
      <c r="T94" s="53"/>
      <c r="U94" s="53"/>
    </row>
    <row r="95" spans="1:21" ht="16.899999999999999" customHeight="1" x14ac:dyDescent="0.25">
      <c r="A95" s="4"/>
      <c r="B95" s="4"/>
      <c r="C95" s="1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6.899999999999999" customHeight="1" x14ac:dyDescent="0.25">
      <c r="A96" s="4"/>
      <c r="B96" s="4"/>
      <c r="C96" s="1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6.899999999999999" customHeight="1" x14ac:dyDescent="0.25">
      <c r="A97" s="4"/>
      <c r="B97" s="4"/>
      <c r="C97" s="10"/>
      <c r="E97" s="11"/>
      <c r="F97" s="11"/>
    </row>
    <row r="98" spans="1:21" ht="16.899999999999999" customHeight="1" x14ac:dyDescent="0.25">
      <c r="A98" s="4"/>
      <c r="B98" s="4"/>
      <c r="C98" s="10"/>
      <c r="D98" s="11"/>
      <c r="E98" s="11"/>
      <c r="F98" s="11"/>
    </row>
    <row r="99" spans="1:21" ht="16.899999999999999" customHeight="1" x14ac:dyDescent="0.25">
      <c r="A99" s="4"/>
      <c r="B99" s="4"/>
      <c r="C99" s="10"/>
      <c r="D99" s="11"/>
      <c r="E99" s="11"/>
      <c r="F99" s="11"/>
      <c r="G99" s="11"/>
    </row>
    <row r="100" spans="1:21" ht="16.899999999999999" customHeight="1" x14ac:dyDescent="0.25">
      <c r="A100" s="4"/>
      <c r="B100" s="4"/>
      <c r="C100" s="10"/>
      <c r="D100" s="11"/>
      <c r="E100" s="11"/>
      <c r="F100" s="11"/>
      <c r="G100" s="11"/>
    </row>
    <row r="101" spans="1:21" ht="16.899999999999999" customHeight="1" x14ac:dyDescent="0.25">
      <c r="A101" s="4"/>
      <c r="B101" s="4"/>
      <c r="C101" s="10"/>
      <c r="D101" s="11"/>
      <c r="E101" s="11"/>
      <c r="F101" s="11"/>
      <c r="G101" s="11"/>
    </row>
    <row r="102" spans="1:21" ht="16.899999999999999" customHeight="1" x14ac:dyDescent="0.25">
      <c r="A102" s="4"/>
      <c r="B102" s="4"/>
      <c r="C102" s="10"/>
      <c r="D102" s="11"/>
      <c r="E102" s="11"/>
      <c r="F102" s="11"/>
      <c r="G102" s="11"/>
    </row>
    <row r="103" spans="1:21" ht="16.899999999999999" customHeight="1" x14ac:dyDescent="0.25">
      <c r="A103" s="4"/>
      <c r="B103" s="4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6.899999999999999" customHeight="1" x14ac:dyDescent="0.25">
      <c r="A104" s="4"/>
      <c r="B104" s="4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6.899999999999999" customHeight="1" x14ac:dyDescent="0.25">
      <c r="A105" s="4"/>
      <c r="B105" s="4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6.899999999999999" customHeight="1" x14ac:dyDescent="0.25">
      <c r="A106" s="4"/>
      <c r="B106" s="4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6.899999999999999" customHeight="1" x14ac:dyDescent="0.25">
      <c r="A107" s="4"/>
      <c r="B107" s="4"/>
      <c r="C107" s="1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6.899999999999999" customHeight="1" x14ac:dyDescent="0.25">
      <c r="A108" s="4"/>
      <c r="B108" s="4"/>
      <c r="C108" s="1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6.899999999999999" customHeight="1" x14ac:dyDescent="0.25">
      <c r="A109" s="4"/>
      <c r="B109" s="4"/>
      <c r="C109" s="1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6.899999999999999" customHeight="1" x14ac:dyDescent="0.25">
      <c r="A110" s="4"/>
      <c r="B110" s="4"/>
      <c r="C110" s="1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6.899999999999999" customHeight="1" x14ac:dyDescent="0.25">
      <c r="A111" s="4"/>
      <c r="B111" s="4"/>
      <c r="C111" s="1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6.899999999999999" customHeight="1" x14ac:dyDescent="0.25">
      <c r="A112" s="4"/>
      <c r="B112" s="4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6.149999999999999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 spans="1:21" ht="16.899999999999999" customHeight="1" x14ac:dyDescent="0.25"/>
    <row r="115" spans="1:21" ht="16.899999999999999" customHeight="1" x14ac:dyDescent="0.25"/>
    <row r="116" spans="1:21" ht="16.899999999999999" customHeight="1" x14ac:dyDescent="0.25"/>
    <row r="117" spans="1:21" ht="16.899999999999999" customHeight="1" x14ac:dyDescent="0.25"/>
    <row r="118" spans="1:21" ht="16.899999999999999" customHeight="1" x14ac:dyDescent="0.25"/>
    <row r="119" spans="1:21" ht="16.899999999999999" customHeight="1" x14ac:dyDescent="0.25"/>
  </sheetData>
  <mergeCells count="528">
    <mergeCell ref="U78:U79"/>
    <mergeCell ref="U76:U77"/>
    <mergeCell ref="U71:U73"/>
    <mergeCell ref="U69:U70"/>
    <mergeCell ref="Q74:Q75"/>
    <mergeCell ref="R74:R75"/>
    <mergeCell ref="S74:S75"/>
    <mergeCell ref="T74:T75"/>
    <mergeCell ref="U74:U75"/>
    <mergeCell ref="R78:R79"/>
    <mergeCell ref="T76:T77"/>
    <mergeCell ref="S76:S77"/>
    <mergeCell ref="T78:T79"/>
    <mergeCell ref="S78:S79"/>
    <mergeCell ref="Q71:Q73"/>
    <mergeCell ref="R71:R73"/>
    <mergeCell ref="S71:S73"/>
    <mergeCell ref="O42:O44"/>
    <mergeCell ref="K58:K59"/>
    <mergeCell ref="L58:L59"/>
    <mergeCell ref="Q78:Q79"/>
    <mergeCell ref="P78:P79"/>
    <mergeCell ref="O78:O79"/>
    <mergeCell ref="R76:R77"/>
    <mergeCell ref="Q76:Q77"/>
    <mergeCell ref="P76:P77"/>
    <mergeCell ref="O76:O77"/>
    <mergeCell ref="L78:L79"/>
    <mergeCell ref="K78:K79"/>
    <mergeCell ref="K76:K77"/>
    <mergeCell ref="L76:L77"/>
    <mergeCell ref="M76:M77"/>
    <mergeCell ref="N76:N77"/>
    <mergeCell ref="K69:K70"/>
    <mergeCell ref="N69:N70"/>
    <mergeCell ref="M69:M70"/>
    <mergeCell ref="M78:M79"/>
    <mergeCell ref="O65:O66"/>
    <mergeCell ref="O74:O75"/>
    <mergeCell ref="P65:P66"/>
    <mergeCell ref="L60:L62"/>
    <mergeCell ref="A58:A66"/>
    <mergeCell ref="H65:H66"/>
    <mergeCell ref="D18:D19"/>
    <mergeCell ref="D9:D10"/>
    <mergeCell ref="D31:D32"/>
    <mergeCell ref="D15:D17"/>
    <mergeCell ref="D13:D14"/>
    <mergeCell ref="F69:F77"/>
    <mergeCell ref="H69:H70"/>
    <mergeCell ref="D36:D37"/>
    <mergeCell ref="G36:G37"/>
    <mergeCell ref="F36:F37"/>
    <mergeCell ref="E36:E37"/>
    <mergeCell ref="H36:H37"/>
    <mergeCell ref="G76:G77"/>
    <mergeCell ref="H76:H77"/>
    <mergeCell ref="G33:G35"/>
    <mergeCell ref="G38:G39"/>
    <mergeCell ref="G60:G62"/>
    <mergeCell ref="H47:H48"/>
    <mergeCell ref="H49:H50"/>
    <mergeCell ref="G47:G48"/>
    <mergeCell ref="G49:G50"/>
    <mergeCell ref="B4:B12"/>
    <mergeCell ref="E65:E66"/>
    <mergeCell ref="E33:E35"/>
    <mergeCell ref="E31:E32"/>
    <mergeCell ref="O45:O46"/>
    <mergeCell ref="N45:N46"/>
    <mergeCell ref="N54:N55"/>
    <mergeCell ref="B13:B21"/>
    <mergeCell ref="B22:B30"/>
    <mergeCell ref="B31:B39"/>
    <mergeCell ref="B40:B48"/>
    <mergeCell ref="B49:B57"/>
    <mergeCell ref="B58:B66"/>
    <mergeCell ref="D65:D66"/>
    <mergeCell ref="D56:D57"/>
    <mergeCell ref="O31:O32"/>
    <mergeCell ref="N31:N32"/>
    <mergeCell ref="G31:G32"/>
    <mergeCell ref="H38:H39"/>
    <mergeCell ref="H33:H35"/>
    <mergeCell ref="J60:J62"/>
    <mergeCell ref="K60:K62"/>
    <mergeCell ref="J36:J37"/>
    <mergeCell ref="I36:I37"/>
    <mergeCell ref="K36:K37"/>
    <mergeCell ref="E18:E19"/>
    <mergeCell ref="D60:D62"/>
    <mergeCell ref="F40:F41"/>
    <mergeCell ref="F42:F44"/>
    <mergeCell ref="D27:D28"/>
    <mergeCell ref="E27:E28"/>
    <mergeCell ref="E54:E55"/>
    <mergeCell ref="E38:E39"/>
    <mergeCell ref="F4:O30"/>
    <mergeCell ref="H31:H32"/>
    <mergeCell ref="F38:F39"/>
    <mergeCell ref="F33:F35"/>
    <mergeCell ref="F31:F32"/>
    <mergeCell ref="O36:O37"/>
    <mergeCell ref="N36:N37"/>
    <mergeCell ref="M36:M37"/>
    <mergeCell ref="L36:L37"/>
    <mergeCell ref="N56:N57"/>
    <mergeCell ref="O56:O57"/>
    <mergeCell ref="N33:N35"/>
    <mergeCell ref="O33:O35"/>
    <mergeCell ref="N38:N39"/>
    <mergeCell ref="O38:O39"/>
    <mergeCell ref="N42:N44"/>
    <mergeCell ref="J65:J66"/>
    <mergeCell ref="K65:K66"/>
    <mergeCell ref="L65:L66"/>
    <mergeCell ref="H80:H82"/>
    <mergeCell ref="I80:I82"/>
    <mergeCell ref="J80:J82"/>
    <mergeCell ref="H74:H75"/>
    <mergeCell ref="L69:L70"/>
    <mergeCell ref="N78:N79"/>
    <mergeCell ref="J78:J79"/>
    <mergeCell ref="I78:I79"/>
    <mergeCell ref="H78:H79"/>
    <mergeCell ref="I76:I77"/>
    <mergeCell ref="J76:J77"/>
    <mergeCell ref="J69:J70"/>
    <mergeCell ref="I69:I70"/>
    <mergeCell ref="J74:J75"/>
    <mergeCell ref="I74:I75"/>
    <mergeCell ref="J71:J73"/>
    <mergeCell ref="K71:K73"/>
    <mergeCell ref="L71:L73"/>
    <mergeCell ref="M71:M73"/>
    <mergeCell ref="M60:M62"/>
    <mergeCell ref="I65:I66"/>
    <mergeCell ref="G65:G66"/>
    <mergeCell ref="N60:N62"/>
    <mergeCell ref="O69:O70"/>
    <mergeCell ref="P69:P70"/>
    <mergeCell ref="N74:N75"/>
    <mergeCell ref="M65:M66"/>
    <mergeCell ref="N63:N64"/>
    <mergeCell ref="M63:M64"/>
    <mergeCell ref="L63:L64"/>
    <mergeCell ref="O60:O62"/>
    <mergeCell ref="N71:N73"/>
    <mergeCell ref="O71:O73"/>
    <mergeCell ref="P71:P73"/>
    <mergeCell ref="M74:M75"/>
    <mergeCell ref="K74:K75"/>
    <mergeCell ref="L74:L75"/>
    <mergeCell ref="P74:P75"/>
    <mergeCell ref="O63:O64"/>
    <mergeCell ref="N65:N66"/>
    <mergeCell ref="G71:G73"/>
    <mergeCell ref="H71:H73"/>
    <mergeCell ref="I71:I73"/>
    <mergeCell ref="G54:G55"/>
    <mergeCell ref="H54:H55"/>
    <mergeCell ref="I54:I55"/>
    <mergeCell ref="J54:J55"/>
    <mergeCell ref="K54:K55"/>
    <mergeCell ref="K63:K64"/>
    <mergeCell ref="J63:J64"/>
    <mergeCell ref="I63:I64"/>
    <mergeCell ref="H63:H64"/>
    <mergeCell ref="G63:G64"/>
    <mergeCell ref="J58:J59"/>
    <mergeCell ref="U1:U2"/>
    <mergeCell ref="T71:T73"/>
    <mergeCell ref="S69:S70"/>
    <mergeCell ref="T69:T70"/>
    <mergeCell ref="Q69:Q70"/>
    <mergeCell ref="R69:R70"/>
    <mergeCell ref="Q24:Q26"/>
    <mergeCell ref="R24:R26"/>
    <mergeCell ref="S24:S26"/>
    <mergeCell ref="T24:T26"/>
    <mergeCell ref="U24:U26"/>
    <mergeCell ref="R22:R23"/>
    <mergeCell ref="S22:S23"/>
    <mergeCell ref="T22:T23"/>
    <mergeCell ref="U36:U37"/>
    <mergeCell ref="T36:T37"/>
    <mergeCell ref="T51:T53"/>
    <mergeCell ref="U51:U53"/>
    <mergeCell ref="T47:T48"/>
    <mergeCell ref="U47:U48"/>
    <mergeCell ref="T40:T41"/>
    <mergeCell ref="U40:U41"/>
    <mergeCell ref="S31:S32"/>
    <mergeCell ref="T31:T32"/>
    <mergeCell ref="U4:U5"/>
    <mergeCell ref="U6:U8"/>
    <mergeCell ref="U11:U12"/>
    <mergeCell ref="P29:P30"/>
    <mergeCell ref="Q29:Q30"/>
    <mergeCell ref="R29:R30"/>
    <mergeCell ref="S29:S30"/>
    <mergeCell ref="T29:T30"/>
    <mergeCell ref="U29:U30"/>
    <mergeCell ref="P24:P26"/>
    <mergeCell ref="U9:U10"/>
    <mergeCell ref="U18:U19"/>
    <mergeCell ref="T18:T19"/>
    <mergeCell ref="S18:S19"/>
    <mergeCell ref="R18:R19"/>
    <mergeCell ref="Q18:Q19"/>
    <mergeCell ref="U22:U23"/>
    <mergeCell ref="R15:R17"/>
    <mergeCell ref="S15:S17"/>
    <mergeCell ref="T15:T17"/>
    <mergeCell ref="U15:U17"/>
    <mergeCell ref="T27:T28"/>
    <mergeCell ref="S27:S28"/>
    <mergeCell ref="R27:R28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D1:D2"/>
    <mergeCell ref="E1:E2"/>
    <mergeCell ref="F1:F2"/>
    <mergeCell ref="G1:G2"/>
    <mergeCell ref="G83:G84"/>
    <mergeCell ref="G74:G75"/>
    <mergeCell ref="G69:G70"/>
    <mergeCell ref="D22:D23"/>
    <mergeCell ref="D24:D26"/>
    <mergeCell ref="D29:D30"/>
    <mergeCell ref="E13:E14"/>
    <mergeCell ref="E15:E17"/>
    <mergeCell ref="E20:E21"/>
    <mergeCell ref="E22:E23"/>
    <mergeCell ref="E24:E26"/>
    <mergeCell ref="E29:E30"/>
    <mergeCell ref="G58:G59"/>
    <mergeCell ref="D40:D41"/>
    <mergeCell ref="D42:D44"/>
    <mergeCell ref="D47:D48"/>
    <mergeCell ref="F47:F48"/>
    <mergeCell ref="E45:E46"/>
    <mergeCell ref="D45:D46"/>
    <mergeCell ref="D58:D59"/>
    <mergeCell ref="T85:T86"/>
    <mergeCell ref="U80:U82"/>
    <mergeCell ref="U85:U86"/>
    <mergeCell ref="M85:M86"/>
    <mergeCell ref="N85:N86"/>
    <mergeCell ref="O85:O86"/>
    <mergeCell ref="P85:P86"/>
    <mergeCell ref="Q85:Q86"/>
    <mergeCell ref="R85:R86"/>
    <mergeCell ref="R80:R82"/>
    <mergeCell ref="S80:S82"/>
    <mergeCell ref="T80:T82"/>
    <mergeCell ref="O80:O82"/>
    <mergeCell ref="P83:P84"/>
    <mergeCell ref="O83:O84"/>
    <mergeCell ref="U83:U84"/>
    <mergeCell ref="T83:T84"/>
    <mergeCell ref="S83:S84"/>
    <mergeCell ref="R83:R84"/>
    <mergeCell ref="Q83:Q84"/>
    <mergeCell ref="Q80:Q82"/>
    <mergeCell ref="M83:M84"/>
    <mergeCell ref="N83:N84"/>
    <mergeCell ref="S85:S86"/>
    <mergeCell ref="K80:K82"/>
    <mergeCell ref="L80:L82"/>
    <mergeCell ref="M80:M82"/>
    <mergeCell ref="N80:N82"/>
    <mergeCell ref="H83:H84"/>
    <mergeCell ref="I83:I84"/>
    <mergeCell ref="J83:J84"/>
    <mergeCell ref="K83:K84"/>
    <mergeCell ref="L83:L84"/>
    <mergeCell ref="H85:H86"/>
    <mergeCell ref="I85:I86"/>
    <mergeCell ref="J85:J86"/>
    <mergeCell ref="K85:K86"/>
    <mergeCell ref="L85:L86"/>
    <mergeCell ref="P80:P82"/>
    <mergeCell ref="P20:P21"/>
    <mergeCell ref="Q20:Q21"/>
    <mergeCell ref="R20:R21"/>
    <mergeCell ref="S20:S21"/>
    <mergeCell ref="T20:T21"/>
    <mergeCell ref="U20:U21"/>
    <mergeCell ref="P13:P14"/>
    <mergeCell ref="Q13:Q14"/>
    <mergeCell ref="R13:R14"/>
    <mergeCell ref="S13:S14"/>
    <mergeCell ref="T13:T14"/>
    <mergeCell ref="U13:U14"/>
    <mergeCell ref="P15:P17"/>
    <mergeCell ref="Q15:Q17"/>
    <mergeCell ref="P18:P19"/>
    <mergeCell ref="P22:P23"/>
    <mergeCell ref="Q22:Q23"/>
    <mergeCell ref="T33:T35"/>
    <mergeCell ref="U33:U35"/>
    <mergeCell ref="P31:P32"/>
    <mergeCell ref="Q31:Q32"/>
    <mergeCell ref="R31:R32"/>
    <mergeCell ref="P27:P28"/>
    <mergeCell ref="T65:T66"/>
    <mergeCell ref="U65:U66"/>
    <mergeCell ref="U63:U64"/>
    <mergeCell ref="T63:T64"/>
    <mergeCell ref="P38:P39"/>
    <mergeCell ref="Q38:Q39"/>
    <mergeCell ref="R38:R39"/>
    <mergeCell ref="S38:S39"/>
    <mergeCell ref="T38:T39"/>
    <mergeCell ref="U38:U39"/>
    <mergeCell ref="S54:S55"/>
    <mergeCell ref="R54:R55"/>
    <mergeCell ref="Q54:Q55"/>
    <mergeCell ref="U45:U46"/>
    <mergeCell ref="T45:T46"/>
    <mergeCell ref="S45:S46"/>
    <mergeCell ref="T58:T59"/>
    <mergeCell ref="U58:U59"/>
    <mergeCell ref="P60:P62"/>
    <mergeCell ref="P36:P37"/>
    <mergeCell ref="U27:U28"/>
    <mergeCell ref="T60:T62"/>
    <mergeCell ref="U60:U62"/>
    <mergeCell ref="T42:T44"/>
    <mergeCell ref="U42:U44"/>
    <mergeCell ref="R40:R41"/>
    <mergeCell ref="S40:S41"/>
    <mergeCell ref="T56:T57"/>
    <mergeCell ref="U56:U57"/>
    <mergeCell ref="T49:T50"/>
    <mergeCell ref="U49:U50"/>
    <mergeCell ref="U31:U32"/>
    <mergeCell ref="Q27:Q28"/>
    <mergeCell ref="R33:R35"/>
    <mergeCell ref="S33:S35"/>
    <mergeCell ref="S36:S37"/>
    <mergeCell ref="R36:R37"/>
    <mergeCell ref="Q36:Q37"/>
    <mergeCell ref="N58:N59"/>
    <mergeCell ref="O58:O59"/>
    <mergeCell ref="P58:P59"/>
    <mergeCell ref="Q58:Q59"/>
    <mergeCell ref="R58:R59"/>
    <mergeCell ref="S58:S59"/>
    <mergeCell ref="P33:P35"/>
    <mergeCell ref="Q33:Q35"/>
    <mergeCell ref="P54:P55"/>
    <mergeCell ref="N47:N48"/>
    <mergeCell ref="O47:O48"/>
    <mergeCell ref="O54:O55"/>
    <mergeCell ref="P56:P57"/>
    <mergeCell ref="Q56:Q57"/>
    <mergeCell ref="R56:R57"/>
    <mergeCell ref="S56:S57"/>
    <mergeCell ref="R42:R44"/>
    <mergeCell ref="S42:S44"/>
    <mergeCell ref="P42:P44"/>
    <mergeCell ref="Q42:Q44"/>
    <mergeCell ref="N40:N41"/>
    <mergeCell ref="O40:O41"/>
    <mergeCell ref="P40:P41"/>
    <mergeCell ref="Q40:Q41"/>
    <mergeCell ref="Q65:Q66"/>
    <mergeCell ref="R65:R66"/>
    <mergeCell ref="S65:S66"/>
    <mergeCell ref="R49:R50"/>
    <mergeCell ref="S49:S50"/>
    <mergeCell ref="P47:P48"/>
    <mergeCell ref="Q47:Q48"/>
    <mergeCell ref="R47:R48"/>
    <mergeCell ref="P45:P46"/>
    <mergeCell ref="Q60:Q62"/>
    <mergeCell ref="R60:R62"/>
    <mergeCell ref="S60:S62"/>
    <mergeCell ref="P63:P64"/>
    <mergeCell ref="S63:S64"/>
    <mergeCell ref="R63:R64"/>
    <mergeCell ref="Q63:Q64"/>
    <mergeCell ref="R45:R46"/>
    <mergeCell ref="Q45:Q46"/>
    <mergeCell ref="N51:N53"/>
    <mergeCell ref="O51:O53"/>
    <mergeCell ref="P51:P53"/>
    <mergeCell ref="Q51:Q53"/>
    <mergeCell ref="R51:R53"/>
    <mergeCell ref="S51:S53"/>
    <mergeCell ref="U54:U55"/>
    <mergeCell ref="T54:T55"/>
    <mergeCell ref="S47:S48"/>
    <mergeCell ref="N49:N50"/>
    <mergeCell ref="O49:O50"/>
    <mergeCell ref="P49:P50"/>
    <mergeCell ref="Q49:Q50"/>
    <mergeCell ref="M58:M59"/>
    <mergeCell ref="L56:L57"/>
    <mergeCell ref="M56:M57"/>
    <mergeCell ref="J49:J50"/>
    <mergeCell ref="K49:K50"/>
    <mergeCell ref="L49:L50"/>
    <mergeCell ref="M49:M50"/>
    <mergeCell ref="J51:J53"/>
    <mergeCell ref="K51:K53"/>
    <mergeCell ref="L51:L53"/>
    <mergeCell ref="M51:M53"/>
    <mergeCell ref="J56:J57"/>
    <mergeCell ref="K56:K57"/>
    <mergeCell ref="M54:M55"/>
    <mergeCell ref="L54:L55"/>
    <mergeCell ref="I31:I32"/>
    <mergeCell ref="I33:I35"/>
    <mergeCell ref="J31:J32"/>
    <mergeCell ref="K31:K32"/>
    <mergeCell ref="L31:L32"/>
    <mergeCell ref="M31:M32"/>
    <mergeCell ref="J33:J35"/>
    <mergeCell ref="K33:K35"/>
    <mergeCell ref="L33:L35"/>
    <mergeCell ref="M33:M35"/>
    <mergeCell ref="J47:J48"/>
    <mergeCell ref="K47:K48"/>
    <mergeCell ref="L47:L48"/>
    <mergeCell ref="M47:M48"/>
    <mergeCell ref="J40:J41"/>
    <mergeCell ref="K40:K41"/>
    <mergeCell ref="L40:L41"/>
    <mergeCell ref="M40:M41"/>
    <mergeCell ref="J42:J44"/>
    <mergeCell ref="K45:K46"/>
    <mergeCell ref="J45:J46"/>
    <mergeCell ref="M45:M46"/>
    <mergeCell ref="L45:L46"/>
    <mergeCell ref="H40:H41"/>
    <mergeCell ref="H42:H44"/>
    <mergeCell ref="G40:G41"/>
    <mergeCell ref="G42:G44"/>
    <mergeCell ref="K42:K44"/>
    <mergeCell ref="L42:L44"/>
    <mergeCell ref="M42:M44"/>
    <mergeCell ref="K38:K39"/>
    <mergeCell ref="L38:L39"/>
    <mergeCell ref="M38:M39"/>
    <mergeCell ref="I38:I39"/>
    <mergeCell ref="J38:J39"/>
    <mergeCell ref="I40:I41"/>
    <mergeCell ref="I42:I44"/>
    <mergeCell ref="D33:D35"/>
    <mergeCell ref="D38:D39"/>
    <mergeCell ref="D54:D55"/>
    <mergeCell ref="I49:I50"/>
    <mergeCell ref="H45:H46"/>
    <mergeCell ref="G45:G46"/>
    <mergeCell ref="F45:F46"/>
    <mergeCell ref="E58:E59"/>
    <mergeCell ref="E60:E62"/>
    <mergeCell ref="E49:E50"/>
    <mergeCell ref="I51:I53"/>
    <mergeCell ref="I56:I57"/>
    <mergeCell ref="I58:I59"/>
    <mergeCell ref="I60:I62"/>
    <mergeCell ref="G51:G53"/>
    <mergeCell ref="G56:G57"/>
    <mergeCell ref="H51:H53"/>
    <mergeCell ref="H56:H57"/>
    <mergeCell ref="H58:H59"/>
    <mergeCell ref="H60:H62"/>
    <mergeCell ref="I45:I46"/>
    <mergeCell ref="I47:I48"/>
    <mergeCell ref="F49:F57"/>
    <mergeCell ref="F58:F66"/>
    <mergeCell ref="Q89:R90"/>
    <mergeCell ref="Q93:R94"/>
    <mergeCell ref="T89:U90"/>
    <mergeCell ref="T93:U94"/>
    <mergeCell ref="A113:U113"/>
    <mergeCell ref="E63:E64"/>
    <mergeCell ref="D63:D64"/>
    <mergeCell ref="E47:E48"/>
    <mergeCell ref="A4:A12"/>
    <mergeCell ref="A13:A21"/>
    <mergeCell ref="A22:A30"/>
    <mergeCell ref="A31:A39"/>
    <mergeCell ref="A40:A48"/>
    <mergeCell ref="A49:A57"/>
    <mergeCell ref="E56:E57"/>
    <mergeCell ref="E51:E53"/>
    <mergeCell ref="D4:D5"/>
    <mergeCell ref="D6:D8"/>
    <mergeCell ref="D11:D12"/>
    <mergeCell ref="D49:D50"/>
    <mergeCell ref="D51:D53"/>
    <mergeCell ref="D20:D21"/>
    <mergeCell ref="E42:E44"/>
    <mergeCell ref="E40:E41"/>
    <mergeCell ref="D78:D79"/>
    <mergeCell ref="D80:D82"/>
    <mergeCell ref="D83:D84"/>
    <mergeCell ref="D85:D86"/>
    <mergeCell ref="H89:I90"/>
    <mergeCell ref="H93:I94"/>
    <mergeCell ref="K89:L90"/>
    <mergeCell ref="K93:L94"/>
    <mergeCell ref="N89:O90"/>
    <mergeCell ref="N93:O94"/>
    <mergeCell ref="G85:G86"/>
    <mergeCell ref="G80:G82"/>
    <mergeCell ref="E78:E79"/>
    <mergeCell ref="E80:E82"/>
    <mergeCell ref="E83:E84"/>
    <mergeCell ref="E85:E86"/>
    <mergeCell ref="F78:F86"/>
    <mergeCell ref="G78:G79"/>
  </mergeCells>
  <pageMargins left="0.39370078740157483" right="0.39370078740157483" top="0.39370078740157483" bottom="0.39370078740157483" header="0.31496062992125984" footer="0.31496062992125984"/>
  <pageSetup paperSize="9"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F860-D8D1-477E-9869-3C897E940DEF}">
  <dimension ref="B2:P23"/>
  <sheetViews>
    <sheetView zoomScaleNormal="100" workbookViewId="0">
      <selection activeCell="N23" sqref="N23"/>
    </sheetView>
  </sheetViews>
  <sheetFormatPr defaultRowHeight="15" x14ac:dyDescent="0.25"/>
  <cols>
    <col min="1" max="1" width="5.85546875" customWidth="1"/>
    <col min="2" max="2" width="14.5703125" customWidth="1"/>
    <col min="5" max="5" width="19.5703125" customWidth="1"/>
    <col min="7" max="7" width="11.85546875" customWidth="1"/>
    <col min="8" max="8" width="6.140625" customWidth="1"/>
    <col min="9" max="9" width="14" customWidth="1"/>
    <col min="10" max="10" width="14.85546875" bestFit="1" customWidth="1"/>
    <col min="12" max="12" width="18.7109375" bestFit="1" customWidth="1"/>
    <col min="14" max="14" width="10.5703125" bestFit="1" customWidth="1"/>
  </cols>
  <sheetData>
    <row r="2" spans="2:16" ht="21" customHeight="1" x14ac:dyDescent="0.4">
      <c r="B2" s="128" t="s">
        <v>266</v>
      </c>
      <c r="C2" s="128"/>
      <c r="D2" s="128"/>
      <c r="E2" s="128"/>
      <c r="F2" s="128"/>
      <c r="G2" s="128"/>
      <c r="I2" s="123" t="s">
        <v>265</v>
      </c>
      <c r="J2" s="123"/>
      <c r="K2" s="123"/>
      <c r="L2" s="123"/>
      <c r="M2" s="123"/>
      <c r="N2" s="123"/>
    </row>
    <row r="3" spans="2:16" ht="9.75" customHeight="1" x14ac:dyDescent="0.25">
      <c r="B3" s="20"/>
      <c r="C3" s="20"/>
      <c r="D3" s="20"/>
      <c r="E3" s="20"/>
      <c r="F3" s="20"/>
      <c r="G3" s="20"/>
      <c r="I3" s="20"/>
      <c r="J3" s="20"/>
      <c r="K3" s="20"/>
      <c r="L3" s="20"/>
      <c r="M3" s="20"/>
      <c r="N3" s="20"/>
    </row>
    <row r="4" spans="2:16" ht="15.75" x14ac:dyDescent="0.25">
      <c r="B4" s="23" t="s">
        <v>253</v>
      </c>
      <c r="C4" s="129" t="s">
        <v>254</v>
      </c>
      <c r="D4" s="129"/>
      <c r="E4" s="23" t="s">
        <v>255</v>
      </c>
      <c r="F4" s="129" t="s">
        <v>256</v>
      </c>
      <c r="G4" s="129"/>
      <c r="I4" s="26" t="s">
        <v>253</v>
      </c>
      <c r="J4" s="26" t="s">
        <v>254</v>
      </c>
      <c r="K4" s="26"/>
      <c r="L4" s="26" t="s">
        <v>255</v>
      </c>
      <c r="M4" s="26" t="s">
        <v>256</v>
      </c>
      <c r="N4" s="27"/>
    </row>
    <row r="5" spans="2:16" ht="15.75" x14ac:dyDescent="0.25">
      <c r="B5" s="19" t="s">
        <v>55</v>
      </c>
      <c r="C5" s="24">
        <v>1</v>
      </c>
      <c r="D5" s="24" t="s">
        <v>258</v>
      </c>
      <c r="E5" s="24">
        <f>tabela_periodica!Q20</f>
        <v>12.010999999999999</v>
      </c>
      <c r="F5" s="24" t="s">
        <v>257</v>
      </c>
      <c r="G5" s="29">
        <f>E5*C5</f>
        <v>12.010999999999999</v>
      </c>
      <c r="I5" s="28" t="s">
        <v>55</v>
      </c>
      <c r="J5" s="28">
        <v>6</v>
      </c>
      <c r="K5" s="28" t="s">
        <v>258</v>
      </c>
      <c r="L5" s="28">
        <f>tabela_periodica!Q20</f>
        <v>12.010999999999999</v>
      </c>
      <c r="M5" s="28" t="s">
        <v>257</v>
      </c>
      <c r="N5" s="28">
        <f>J5*L5</f>
        <v>72.066000000000003</v>
      </c>
      <c r="O5" s="18"/>
      <c r="P5" s="18"/>
    </row>
    <row r="6" spans="2:16" ht="15.75" x14ac:dyDescent="0.25">
      <c r="B6" s="19" t="s">
        <v>57</v>
      </c>
      <c r="C6" s="24">
        <v>2</v>
      </c>
      <c r="D6" s="24" t="s">
        <v>258</v>
      </c>
      <c r="E6" s="24">
        <f>tabela_periodica!S20</f>
        <v>15.999000000000001</v>
      </c>
      <c r="F6" s="24" t="s">
        <v>257</v>
      </c>
      <c r="G6" s="29">
        <f>E6*C6</f>
        <v>31.998000000000001</v>
      </c>
      <c r="I6" s="28" t="s">
        <v>57</v>
      </c>
      <c r="J6" s="28">
        <v>6</v>
      </c>
      <c r="K6" s="28" t="s">
        <v>258</v>
      </c>
      <c r="L6" s="28">
        <f>tabela_periodica!S20</f>
        <v>15.999000000000001</v>
      </c>
      <c r="M6" s="28" t="s">
        <v>257</v>
      </c>
      <c r="N6" s="28">
        <f t="shared" ref="N6:N7" si="0">J6*L6</f>
        <v>95.994</v>
      </c>
      <c r="O6" s="18"/>
      <c r="P6" s="18"/>
    </row>
    <row r="7" spans="2:16" ht="18.75" customHeight="1" x14ac:dyDescent="0.25">
      <c r="B7" s="130" t="s">
        <v>259</v>
      </c>
      <c r="C7" s="130"/>
      <c r="D7" s="130"/>
      <c r="E7" s="130"/>
      <c r="F7" s="24" t="s">
        <v>257</v>
      </c>
      <c r="G7" s="24">
        <f>SUM(G5:G6)</f>
        <v>44.009</v>
      </c>
      <c r="I7" s="28" t="s">
        <v>4</v>
      </c>
      <c r="J7" s="28">
        <v>12</v>
      </c>
      <c r="K7" s="28" t="s">
        <v>258</v>
      </c>
      <c r="L7" s="28">
        <f>tabela_periodica!D11</f>
        <v>1.008</v>
      </c>
      <c r="M7" s="28" t="s">
        <v>257</v>
      </c>
      <c r="N7" s="28">
        <f t="shared" si="0"/>
        <v>12.096</v>
      </c>
      <c r="O7" s="18"/>
      <c r="P7" s="18"/>
    </row>
    <row r="8" spans="2:16" ht="15.75" x14ac:dyDescent="0.25">
      <c r="B8" s="25"/>
      <c r="C8" s="25"/>
      <c r="D8" s="25"/>
      <c r="E8" s="25"/>
      <c r="F8" s="25"/>
      <c r="G8" s="25"/>
      <c r="I8" s="124" t="s">
        <v>262</v>
      </c>
      <c r="J8" s="124"/>
      <c r="K8" s="124"/>
      <c r="L8" s="124"/>
      <c r="M8" s="28" t="s">
        <v>257</v>
      </c>
      <c r="N8" s="28">
        <f>SUM(N5:N7)</f>
        <v>180.15600000000001</v>
      </c>
      <c r="O8" s="18"/>
      <c r="P8" s="18"/>
    </row>
    <row r="9" spans="2:16" ht="15.75" x14ac:dyDescent="0.25">
      <c r="B9" s="25"/>
      <c r="C9" s="25"/>
      <c r="D9" s="25"/>
      <c r="E9" s="25"/>
      <c r="F9" s="25"/>
      <c r="G9" s="25"/>
    </row>
    <row r="10" spans="2:16" ht="15.75" x14ac:dyDescent="0.25">
      <c r="B10" s="128" t="s">
        <v>260</v>
      </c>
      <c r="C10" s="128"/>
      <c r="D10" s="128"/>
      <c r="E10" s="128"/>
      <c r="F10" s="128"/>
      <c r="G10" s="128"/>
      <c r="I10" s="123" t="s">
        <v>264</v>
      </c>
      <c r="J10" s="123"/>
      <c r="K10" s="123"/>
      <c r="L10" s="123"/>
      <c r="M10" s="123"/>
      <c r="N10" s="123"/>
    </row>
    <row r="11" spans="2:16" ht="16.5" thickBot="1" x14ac:dyDescent="0.3">
      <c r="B11" s="20"/>
      <c r="C11" s="20"/>
      <c r="D11" s="20"/>
      <c r="E11" s="20"/>
      <c r="F11" s="20"/>
      <c r="G11" s="20"/>
      <c r="I11" s="20"/>
      <c r="J11" s="20"/>
      <c r="K11" s="20"/>
      <c r="L11" s="20"/>
      <c r="M11" s="20"/>
      <c r="N11" s="20"/>
    </row>
    <row r="12" spans="2:16" ht="16.5" thickBot="1" x14ac:dyDescent="0.3">
      <c r="B12" s="22" t="s">
        <v>253</v>
      </c>
      <c r="C12" s="131" t="s">
        <v>254</v>
      </c>
      <c r="D12" s="132"/>
      <c r="E12" s="22" t="s">
        <v>255</v>
      </c>
      <c r="F12" s="131" t="s">
        <v>256</v>
      </c>
      <c r="G12" s="132"/>
      <c r="I12" s="26" t="s">
        <v>253</v>
      </c>
      <c r="J12" s="26" t="s">
        <v>254</v>
      </c>
      <c r="K12" s="26"/>
      <c r="L12" s="26" t="s">
        <v>255</v>
      </c>
      <c r="M12" s="26" t="s">
        <v>256</v>
      </c>
      <c r="N12" s="27"/>
    </row>
    <row r="13" spans="2:16" ht="16.5" thickBot="1" x14ac:dyDescent="0.3">
      <c r="B13" s="21" t="s">
        <v>4</v>
      </c>
      <c r="C13" s="21">
        <v>1</v>
      </c>
      <c r="D13" s="21" t="s">
        <v>258</v>
      </c>
      <c r="E13" s="21">
        <f>tabela_periodica!D11</f>
        <v>1.008</v>
      </c>
      <c r="F13" s="21" t="s">
        <v>257</v>
      </c>
      <c r="G13" s="21">
        <f>C13*E13</f>
        <v>1.008</v>
      </c>
      <c r="I13" s="28" t="s">
        <v>0</v>
      </c>
      <c r="J13" s="28">
        <v>1</v>
      </c>
      <c r="K13" s="28" t="s">
        <v>258</v>
      </c>
      <c r="L13" s="28">
        <f>tabela_periodica!D29</f>
        <v>22.99</v>
      </c>
      <c r="M13" s="28" t="s">
        <v>257</v>
      </c>
      <c r="N13" s="28">
        <f>J13*L13</f>
        <v>22.99</v>
      </c>
    </row>
    <row r="14" spans="2:16" ht="16.5" thickBot="1" x14ac:dyDescent="0.3">
      <c r="B14" s="21" t="s">
        <v>62</v>
      </c>
      <c r="C14" s="21">
        <v>1</v>
      </c>
      <c r="D14" s="21" t="s">
        <v>258</v>
      </c>
      <c r="E14" s="21">
        <f>tabela_periodica!T29</f>
        <v>35.450000000000003</v>
      </c>
      <c r="F14" s="21" t="s">
        <v>257</v>
      </c>
      <c r="G14" s="21">
        <f>C14*E14</f>
        <v>35.450000000000003</v>
      </c>
      <c r="I14" s="28" t="s">
        <v>62</v>
      </c>
      <c r="J14" s="28">
        <v>1</v>
      </c>
      <c r="K14" s="28" t="s">
        <v>258</v>
      </c>
      <c r="L14" s="28">
        <f>tabela_periodica!T29</f>
        <v>35.450000000000003</v>
      </c>
      <c r="M14" s="28" t="s">
        <v>257</v>
      </c>
      <c r="N14" s="28">
        <f>J14*L14</f>
        <v>35.450000000000003</v>
      </c>
    </row>
    <row r="15" spans="2:16" ht="16.5" thickBot="1" x14ac:dyDescent="0.3">
      <c r="B15" s="125" t="s">
        <v>261</v>
      </c>
      <c r="C15" s="126"/>
      <c r="D15" s="126"/>
      <c r="E15" s="127"/>
      <c r="F15" s="21" t="s">
        <v>257</v>
      </c>
      <c r="G15" s="21">
        <f>SUM(G13:G14)</f>
        <v>36.458000000000006</v>
      </c>
      <c r="I15" s="124" t="s">
        <v>263</v>
      </c>
      <c r="J15" s="124"/>
      <c r="K15" s="124"/>
      <c r="L15" s="124"/>
      <c r="M15" s="28" t="s">
        <v>257</v>
      </c>
      <c r="N15" s="28">
        <f>SUM(N13:N14)</f>
        <v>58.44</v>
      </c>
    </row>
    <row r="17" spans="9:14" ht="18" x14ac:dyDescent="0.3">
      <c r="I17" s="123" t="s">
        <v>267</v>
      </c>
      <c r="J17" s="123"/>
      <c r="K17" s="123"/>
      <c r="L17" s="123"/>
      <c r="M17" s="123"/>
      <c r="N17" s="123"/>
    </row>
    <row r="18" spans="9:14" ht="15.75" x14ac:dyDescent="0.25">
      <c r="I18" s="20"/>
      <c r="J18" s="20"/>
      <c r="K18" s="20"/>
      <c r="L18" s="20"/>
      <c r="M18" s="20"/>
      <c r="N18" s="20"/>
    </row>
    <row r="19" spans="9:14" ht="15.75" x14ac:dyDescent="0.25">
      <c r="I19" s="26" t="s">
        <v>253</v>
      </c>
      <c r="J19" s="26" t="s">
        <v>254</v>
      </c>
      <c r="K19" s="26"/>
      <c r="L19" s="26" t="s">
        <v>255</v>
      </c>
      <c r="M19" s="26" t="s">
        <v>256</v>
      </c>
      <c r="N19" s="27"/>
    </row>
    <row r="20" spans="9:14" ht="15.75" x14ac:dyDescent="0.25">
      <c r="I20" s="28" t="s">
        <v>13</v>
      </c>
      <c r="J20" s="28">
        <v>1</v>
      </c>
      <c r="K20" s="28" t="s">
        <v>258</v>
      </c>
      <c r="L20" s="30">
        <f>tabela_periodica!E38</f>
        <v>40.078000000000003</v>
      </c>
      <c r="M20" s="30" t="s">
        <v>257</v>
      </c>
      <c r="N20" s="32">
        <f>J20*L20</f>
        <v>40.078000000000003</v>
      </c>
    </row>
    <row r="21" spans="9:14" ht="15.75" x14ac:dyDescent="0.25">
      <c r="I21" s="28" t="s">
        <v>62</v>
      </c>
      <c r="J21" s="28">
        <v>2</v>
      </c>
      <c r="K21" s="28" t="s">
        <v>258</v>
      </c>
      <c r="L21" s="31">
        <f>tabela_periodica!T29</f>
        <v>35.450000000000003</v>
      </c>
      <c r="M21" s="28" t="s">
        <v>257</v>
      </c>
      <c r="N21" s="32">
        <f t="shared" ref="N21:N22" si="1">J21*L21</f>
        <v>70.900000000000006</v>
      </c>
    </row>
    <row r="22" spans="9:14" ht="15.75" x14ac:dyDescent="0.25">
      <c r="I22" s="28" t="s">
        <v>57</v>
      </c>
      <c r="J22" s="28">
        <v>2</v>
      </c>
      <c r="K22" s="28" t="s">
        <v>258</v>
      </c>
      <c r="L22" s="30">
        <f>tabela_periodica!S20</f>
        <v>15.999000000000001</v>
      </c>
      <c r="M22" s="28" t="s">
        <v>257</v>
      </c>
      <c r="N22" s="32">
        <f t="shared" si="1"/>
        <v>31.998000000000001</v>
      </c>
    </row>
    <row r="23" spans="9:14" ht="15.75" x14ac:dyDescent="0.25">
      <c r="I23" s="124" t="s">
        <v>268</v>
      </c>
      <c r="J23" s="124"/>
      <c r="K23" s="124"/>
      <c r="L23" s="124"/>
      <c r="M23" s="28" t="s">
        <v>257</v>
      </c>
      <c r="N23" s="31">
        <f>SUM(N20:N22)</f>
        <v>142.976</v>
      </c>
    </row>
  </sheetData>
  <mergeCells count="14">
    <mergeCell ref="I17:N17"/>
    <mergeCell ref="I23:L23"/>
    <mergeCell ref="B15:E15"/>
    <mergeCell ref="B10:G10"/>
    <mergeCell ref="I2:N2"/>
    <mergeCell ref="I8:L8"/>
    <mergeCell ref="I10:N10"/>
    <mergeCell ref="I15:L15"/>
    <mergeCell ref="C4:D4"/>
    <mergeCell ref="F4:G4"/>
    <mergeCell ref="B7:E7"/>
    <mergeCell ref="B2:G2"/>
    <mergeCell ref="C12:D12"/>
    <mergeCell ref="F12:G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tabela_periodica</vt:lpstr>
      <vt:lpstr>Cálculos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MELO BARROS</dc:creator>
  <cp:lastModifiedBy>Wagner Cesar Vieira</cp:lastModifiedBy>
  <cp:lastPrinted>2023-04-10T03:31:01Z</cp:lastPrinted>
  <dcterms:created xsi:type="dcterms:W3CDTF">2023-01-26T17:24:19Z</dcterms:created>
  <dcterms:modified xsi:type="dcterms:W3CDTF">2026-09-22T23:42:00Z</dcterms:modified>
</cp:coreProperties>
</file>